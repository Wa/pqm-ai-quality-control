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jianye.qian1\Desktop\183B2负极\"/>
    </mc:Choice>
  </mc:AlternateContent>
  <bookViews>
    <workbookView xWindow="-120" yWindow="-120" windowWidth="20750" windowHeight="11760" tabRatio="848" activeTab="1"/>
  </bookViews>
  <sheets>
    <sheet name=" 修订履历" sheetId="54" r:id="rId1"/>
    <sheet name="负极涂布工序控制计划" sheetId="55" r:id="rId2"/>
    <sheet name="防错件清单" sheetId="59" r:id="rId3"/>
    <sheet name="负极涂布附表" sheetId="57" r:id="rId4"/>
    <sheet name="隐藏可编辑" sheetId="58" state="hidden" r:id="rId5"/>
  </sheets>
  <definedNames>
    <definedName name="__B5" localSheetId="0" hidden="1">{#N/A,#N/A,FALSE,"Bare Battery F.G."}</definedName>
    <definedName name="__B5" localSheetId="3" hidden="1">{#N/A,#N/A,FALSE,"Bare Battery F.G."}</definedName>
    <definedName name="__B5" localSheetId="1" hidden="1">{#N/A,#N/A,FALSE,"Bare Battery F.G."}</definedName>
    <definedName name="__B5" localSheetId="4" hidden="1">{#N/A,#N/A,FALSE,"Bare Battery F.G."}</definedName>
    <definedName name="__B5" hidden="1">{#N/A,#N/A,FALSE,"Bare Battery F.G."}</definedName>
    <definedName name="__wrn1" localSheetId="0" hidden="1">{#N/A,#N/A,FALSE,"Bare Battery F.G."}</definedName>
    <definedName name="__wrn1" localSheetId="3" hidden="1">{#N/A,#N/A,FALSE,"Bare Battery F.G."}</definedName>
    <definedName name="__wrn1" localSheetId="1" hidden="1">{#N/A,#N/A,FALSE,"Bare Battery F.G."}</definedName>
    <definedName name="__wrn1" localSheetId="4" hidden="1">{#N/A,#N/A,FALSE,"Bare Battery F.G."}</definedName>
    <definedName name="__wrn1" hidden="1">{#N/A,#N/A,FALSE,"Bare Battery F.G."}</definedName>
    <definedName name="_B5" localSheetId="0" hidden="1">{#N/A,#N/A,FALSE,"Bare Battery F.G."}</definedName>
    <definedName name="_B5" localSheetId="3" hidden="1">{#N/A,#N/A,FALSE,"Bare Battery F.G."}</definedName>
    <definedName name="_B5" localSheetId="1" hidden="1">{#N/A,#N/A,FALSE,"Bare Battery F.G."}</definedName>
    <definedName name="_B5" localSheetId="4" hidden="1">{#N/A,#N/A,FALSE,"Bare Battery F.G."}</definedName>
    <definedName name="_B5" hidden="1">{#N/A,#N/A,FALSE,"Bare Battery F.G."}</definedName>
    <definedName name="_xlnm._FilterDatabase" localSheetId="1" hidden="1">负极涂布工序控制计划!$A$9:$AA$57</definedName>
    <definedName name="_wrn1" localSheetId="0" hidden="1">{#N/A,#N/A,FALSE,"Bare Battery F.G."}</definedName>
    <definedName name="_wrn1" localSheetId="3" hidden="1">{#N/A,#N/A,FALSE,"Bare Battery F.G."}</definedName>
    <definedName name="_wrn1" localSheetId="1" hidden="1">{#N/A,#N/A,FALSE,"Bare Battery F.G."}</definedName>
    <definedName name="_wrn1" localSheetId="4" hidden="1">{#N/A,#N/A,FALSE,"Bare Battery F.G."}</definedName>
    <definedName name="_wrn1" hidden="1">{#N/A,#N/A,FALSE,"Bare Battery F.G."}</definedName>
    <definedName name="abcdec" localSheetId="0" hidden="1">{#N/A,#N/A,FALSE,"Bare Battery F.G."}</definedName>
    <definedName name="abcdec" localSheetId="3" hidden="1">{#N/A,#N/A,FALSE,"Bare Battery F.G."}</definedName>
    <definedName name="abcdec" localSheetId="1" hidden="1">{#N/A,#N/A,FALSE,"Bare Battery F.G."}</definedName>
    <definedName name="abcdec" localSheetId="4" hidden="1">{#N/A,#N/A,FALSE,"Bare Battery F.G."}</definedName>
    <definedName name="abcdec" hidden="1">{#N/A,#N/A,FALSE,"Bare Battery F.G."}</definedName>
    <definedName name="AL" localSheetId="0" hidden="1">{#N/A,#N/A,FALSE,"Bare Battery F.G."}</definedName>
    <definedName name="AL" localSheetId="3" hidden="1">{#N/A,#N/A,FALSE,"Bare Battery F.G."}</definedName>
    <definedName name="AL" localSheetId="1" hidden="1">{#N/A,#N/A,FALSE,"Bare Battery F.G."}</definedName>
    <definedName name="AL" localSheetId="4" hidden="1">{#N/A,#N/A,FALSE,"Bare Battery F.G."}</definedName>
    <definedName name="AL" hidden="1">{#N/A,#N/A,FALSE,"Bare Battery F.G."}</definedName>
    <definedName name="auto" localSheetId="0" hidden="1">{#N/A,#N/A,FALSE,"Bare Battery F.G."}</definedName>
    <definedName name="auto" localSheetId="3" hidden="1">{#N/A,#N/A,FALSE,"Bare Battery F.G."}</definedName>
    <definedName name="auto" localSheetId="1" hidden="1">{#N/A,#N/A,FALSE,"Bare Battery F.G."}</definedName>
    <definedName name="auto" localSheetId="4" hidden="1">{#N/A,#N/A,FALSE,"Bare Battery F.G."}</definedName>
    <definedName name="auto" hidden="1">{#N/A,#N/A,FALSE,"Bare Battery F.G."}</definedName>
    <definedName name="B5GF" localSheetId="0" hidden="1">{#N/A,#N/A,FALSE,"Bare Battery F.G."}</definedName>
    <definedName name="B5GF" localSheetId="3" hidden="1">{#N/A,#N/A,FALSE,"Bare Battery F.G."}</definedName>
    <definedName name="B5GF" localSheetId="1" hidden="1">{#N/A,#N/A,FALSE,"Bare Battery F.G."}</definedName>
    <definedName name="B5GF" localSheetId="4" hidden="1">{#N/A,#N/A,FALSE,"Bare Battery F.G."}</definedName>
    <definedName name="B5GF" hidden="1">{#N/A,#N/A,FALSE,"Bare Battery F.G."}</definedName>
    <definedName name="fjdsk" localSheetId="0" hidden="1">{#N/A,#N/A,FALSE,"Bare Battery F.G."}</definedName>
    <definedName name="fjdsk" localSheetId="3" hidden="1">{#N/A,#N/A,FALSE,"Bare Battery F.G."}</definedName>
    <definedName name="fjdsk" localSheetId="1" hidden="1">{#N/A,#N/A,FALSE,"Bare Battery F.G."}</definedName>
    <definedName name="fjdsk" localSheetId="4" hidden="1">{#N/A,#N/A,FALSE,"Bare Battery F.G."}</definedName>
    <definedName name="fjdsk" hidden="1">{#N/A,#N/A,FALSE,"Bare Battery F.G."}</definedName>
    <definedName name="FUSE焊接" localSheetId="0" hidden="1">{#N/A,#N/A,FALSE,"Bare Battery F.G."}</definedName>
    <definedName name="FUSE焊接" localSheetId="3" hidden="1">{#N/A,#N/A,FALSE,"Bare Battery F.G."}</definedName>
    <definedName name="FUSE焊接" localSheetId="1" hidden="1">{#N/A,#N/A,FALSE,"Bare Battery F.G."}</definedName>
    <definedName name="FUSE焊接" localSheetId="4" hidden="1">{#N/A,#N/A,FALSE,"Bare Battery F.G."}</definedName>
    <definedName name="FUSE焊接" hidden="1">{#N/A,#N/A,FALSE,"Bare Battery F.G."}</definedName>
    <definedName name="LAYOUT" localSheetId="0" hidden="1">{#N/A,#N/A,FALSE,"Bare Battery F.G."}</definedName>
    <definedName name="LAYOUT" localSheetId="3" hidden="1">{#N/A,#N/A,FALSE,"Bare Battery F.G."}</definedName>
    <definedName name="LAYOUT" localSheetId="1" hidden="1">{#N/A,#N/A,FALSE,"Bare Battery F.G."}</definedName>
    <definedName name="LAYOUT" localSheetId="4" hidden="1">{#N/A,#N/A,FALSE,"Bare Battery F.G."}</definedName>
    <definedName name="LAYOUT" hidden="1">{#N/A,#N/A,FALSE,"Bare Battery F.G."}</definedName>
    <definedName name="N" localSheetId="0" hidden="1">{#N/A,#N/A,FALSE,"Bare Battery F.G."}</definedName>
    <definedName name="N" localSheetId="3" hidden="1">{#N/A,#N/A,FALSE,"Bare Battery F.G."}</definedName>
    <definedName name="N" localSheetId="1" hidden="1">{#N/A,#N/A,FALSE,"Bare Battery F.G."}</definedName>
    <definedName name="N" localSheetId="4" hidden="1">{#N/A,#N/A,FALSE,"Bare Battery F.G."}</definedName>
    <definedName name="N" hidden="1">{#N/A,#N/A,FALSE,"Bare Battery F.G."}</definedName>
    <definedName name="NI" localSheetId="0" hidden="1">{#N/A,#N/A,FALSE,"Bare Battery F.G."}</definedName>
    <definedName name="NI" localSheetId="3" hidden="1">{#N/A,#N/A,FALSE,"Bare Battery F.G."}</definedName>
    <definedName name="NI" localSheetId="1" hidden="1">{#N/A,#N/A,FALSE,"Bare Battery F.G."}</definedName>
    <definedName name="NI" localSheetId="4" hidden="1">{#N/A,#N/A,FALSE,"Bare Battery F.G."}</definedName>
    <definedName name="NI" hidden="1">{#N/A,#N/A,FALSE,"Bare Battery F.G."}</definedName>
    <definedName name="_xlnm.Print_Area" localSheetId="0">' 修订履历'!$A$1:$K$20</definedName>
    <definedName name="_xlnm.Print_Area" localSheetId="2">防错件清单!$A$1:$Q$18</definedName>
    <definedName name="_xlnm.Print_Area" localSheetId="3">负极涂布附表!$A$1:$O$26</definedName>
    <definedName name="_xlnm.Print_Area" localSheetId="1">负极涂布工序控制计划!$B$2:$Q$57</definedName>
    <definedName name="_xlnm.Print_Titles" localSheetId="1">负极涂布工序控制计划!$6:$9</definedName>
    <definedName name="sdd" localSheetId="0" hidden="1">{#N/A,#N/A,FALSE,"Bare Battery F.G."}</definedName>
    <definedName name="sdd" localSheetId="3" hidden="1">{#N/A,#N/A,FALSE,"Bare Battery F.G."}</definedName>
    <definedName name="sdd" localSheetId="1" hidden="1">{#N/A,#N/A,FALSE,"Bare Battery F.G."}</definedName>
    <definedName name="sdd" localSheetId="4" hidden="1">{#N/A,#N/A,FALSE,"Bare Battery F.G."}</definedName>
    <definedName name="sdd" hidden="1">{#N/A,#N/A,FALSE,"Bare Battery F.G."}</definedName>
    <definedName name="SHO" localSheetId="0" hidden="1">{#N/A,#N/A,FALSE,"Bare Battery F.G."}</definedName>
    <definedName name="SHO" localSheetId="3" hidden="1">{#N/A,#N/A,FALSE,"Bare Battery F.G."}</definedName>
    <definedName name="SHO" localSheetId="1" hidden="1">{#N/A,#N/A,FALSE,"Bare Battery F.G."}</definedName>
    <definedName name="SHO" localSheetId="4" hidden="1">{#N/A,#N/A,FALSE,"Bare Battery F.G."}</definedName>
    <definedName name="SHO" hidden="1">{#N/A,#N/A,FALSE,"Bare Battery F.G."}</definedName>
    <definedName name="SHORT" localSheetId="0" hidden="1">{#N/A,#N/A,FALSE,"Bare Battery F.G."}</definedName>
    <definedName name="SHORT" localSheetId="3" hidden="1">{#N/A,#N/A,FALSE,"Bare Battery F.G."}</definedName>
    <definedName name="SHORT" localSheetId="1" hidden="1">{#N/A,#N/A,FALSE,"Bare Battery F.G."}</definedName>
    <definedName name="SHORT" localSheetId="4" hidden="1">{#N/A,#N/A,FALSE,"Bare Battery F.G."}</definedName>
    <definedName name="SHORT" hidden="1">{#N/A,#N/A,FALSE,"Bare Battery F.G."}</definedName>
    <definedName name="welding" localSheetId="0" hidden="1">{#N/A,#N/A,FALSE,"Bare Battery F.G."}</definedName>
    <definedName name="welding" localSheetId="3" hidden="1">{#N/A,#N/A,FALSE,"Bare Battery F.G."}</definedName>
    <definedName name="welding" localSheetId="1" hidden="1">{#N/A,#N/A,FALSE,"Bare Battery F.G."}</definedName>
    <definedName name="welding" localSheetId="4" hidden="1">{#N/A,#N/A,FALSE,"Bare Battery F.G."}</definedName>
    <definedName name="welding" hidden="1">{#N/A,#N/A,FALSE,"Bare Battery F.G."}</definedName>
    <definedName name="wrn.report." localSheetId="0" hidden="1">{#N/A,#N/A,FALSE,"Bare Battery F.G."}</definedName>
    <definedName name="wrn.report." localSheetId="3" hidden="1">{#N/A,#N/A,FALSE,"Bare Battery F.G."}</definedName>
    <definedName name="wrn.report." localSheetId="1" hidden="1">{#N/A,#N/A,FALSE,"Bare Battery F.G."}</definedName>
    <definedName name="wrn.report." localSheetId="4" hidden="1">{#N/A,#N/A,FALSE,"Bare Battery F.G."}</definedName>
    <definedName name="wrn.report." hidden="1">{#N/A,#N/A,FALSE,"Bare Battery F.G."}</definedName>
    <definedName name="超声波焊接" localSheetId="0" hidden="1">{#N/A,#N/A,FALSE,"Bare Battery F.G."}</definedName>
    <definedName name="超声波焊接" localSheetId="3" hidden="1">{#N/A,#N/A,FALSE,"Bare Battery F.G."}</definedName>
    <definedName name="超声波焊接" localSheetId="1" hidden="1">{#N/A,#N/A,FALSE,"Bare Battery F.G."}</definedName>
    <definedName name="超声波焊接" localSheetId="4" hidden="1">{#N/A,#N/A,FALSE,"Bare Battery F.G."}</definedName>
    <definedName name="超声波焊接" hidden="1">{#N/A,#N/A,FALSE,"Bare Battery F.G."}</definedName>
    <definedName name="焊接" localSheetId="0" hidden="1">{#N/A,#N/A,FALSE,"Bare Battery F.G."}</definedName>
    <definedName name="焊接" localSheetId="3" hidden="1">{#N/A,#N/A,FALSE,"Bare Battery F.G."}</definedName>
    <definedName name="焊接" localSheetId="1" hidden="1">{#N/A,#N/A,FALSE,"Bare Battery F.G."}</definedName>
    <definedName name="焊接" localSheetId="4" hidden="1">{#N/A,#N/A,FALSE,"Bare Battery F.G."}</definedName>
    <definedName name="焊接" hidden="1">{#N/A,#N/A,FALSE,"Bare Battery F.G."}</definedName>
  </definedNames>
  <calcPr calcId="162913"/>
</workbook>
</file>

<file path=xl/calcChain.xml><?xml version="1.0" encoding="utf-8"?>
<calcChain xmlns="http://schemas.openxmlformats.org/spreadsheetml/2006/main">
  <c r="F18" i="58" l="1"/>
  <c r="K19" i="58" l="1"/>
  <c r="K20" i="58"/>
  <c r="K21" i="58"/>
  <c r="K22" i="58"/>
  <c r="K23" i="58"/>
  <c r="K24" i="58"/>
  <c r="K25" i="58"/>
  <c r="K26" i="58"/>
  <c r="K27" i="58"/>
  <c r="K18" i="58"/>
  <c r="J19" i="58"/>
  <c r="J20" i="58"/>
  <c r="J21" i="58"/>
  <c r="J22" i="58"/>
  <c r="J23" i="58"/>
  <c r="J24" i="58"/>
  <c r="J25" i="58"/>
  <c r="J26" i="58"/>
  <c r="J27" i="58"/>
  <c r="J18" i="58"/>
  <c r="I19" i="58"/>
  <c r="I20" i="58"/>
  <c r="I21" i="58"/>
  <c r="I22" i="58"/>
  <c r="I23" i="58"/>
  <c r="I24" i="58"/>
  <c r="I25" i="58"/>
  <c r="I26" i="58"/>
  <c r="I27" i="58"/>
  <c r="I18" i="58"/>
  <c r="H19" i="58"/>
  <c r="H20" i="58"/>
  <c r="H21" i="58"/>
  <c r="H22" i="58"/>
  <c r="H23" i="58"/>
  <c r="H24" i="58"/>
  <c r="H25" i="58"/>
  <c r="H26" i="58"/>
  <c r="H27" i="58"/>
  <c r="H18" i="58"/>
  <c r="G27" i="58"/>
  <c r="G26" i="58"/>
  <c r="G25" i="58"/>
  <c r="G24" i="58"/>
  <c r="G23" i="58"/>
  <c r="G22" i="58"/>
  <c r="G21" i="58"/>
  <c r="G20" i="58"/>
  <c r="G19" i="58"/>
  <c r="G18" i="58"/>
  <c r="F19" i="58"/>
  <c r="F20" i="58"/>
  <c r="F21" i="58"/>
  <c r="F22" i="58"/>
  <c r="F23" i="58"/>
  <c r="F24" i="58"/>
  <c r="F25" i="58"/>
  <c r="F26" i="58"/>
  <c r="F27" i="58"/>
  <c r="E19" i="58"/>
  <c r="E20" i="58"/>
  <c r="E21" i="58"/>
  <c r="E22" i="58"/>
  <c r="E23" i="58"/>
  <c r="E24" i="58"/>
  <c r="E25" i="58"/>
  <c r="E26" i="58"/>
  <c r="E27" i="58"/>
  <c r="E18" i="58"/>
  <c r="D19" i="58"/>
  <c r="D20" i="58"/>
  <c r="D21" i="58"/>
  <c r="D22" i="58"/>
  <c r="D23" i="58"/>
  <c r="D24" i="58"/>
  <c r="D25" i="58"/>
  <c r="D26" i="58"/>
  <c r="D27" i="58"/>
  <c r="D18" i="58"/>
  <c r="C22" i="58" l="1"/>
  <c r="C23" i="58" l="1"/>
  <c r="C21" i="58"/>
  <c r="C20" i="58" l="1"/>
  <c r="C24" i="58"/>
  <c r="C19" i="58" l="1"/>
  <c r="C25" i="58"/>
  <c r="C26" i="58" l="1"/>
  <c r="C18" i="58"/>
  <c r="C27" i="58" l="1"/>
</calcChain>
</file>

<file path=xl/sharedStrings.xml><?xml version="1.0" encoding="utf-8"?>
<sst xmlns="http://schemas.openxmlformats.org/spreadsheetml/2006/main" count="764" uniqueCount="408">
  <si>
    <t>负极涂布工序控制计划</t>
  </si>
  <si>
    <t>生效日期</t>
  </si>
  <si>
    <t>有效日期</t>
  </si>
  <si>
    <t>至下次变更之前</t>
  </si>
  <si>
    <r>
      <rPr>
        <b/>
        <sz val="16"/>
        <color theme="1"/>
        <rFont val="Times New Roman"/>
        <family val="1"/>
      </rPr>
      <t xml:space="preserve"> </t>
    </r>
    <r>
      <rPr>
        <b/>
        <sz val="16"/>
        <color theme="1"/>
        <rFont val="宋体"/>
        <family val="3"/>
        <charset val="134"/>
      </rPr>
      <t>修订履历</t>
    </r>
  </si>
  <si>
    <r>
      <rPr>
        <sz val="12"/>
        <rFont val="宋体"/>
        <family val="3"/>
        <charset val="134"/>
      </rPr>
      <t>序号</t>
    </r>
  </si>
  <si>
    <r>
      <rPr>
        <sz val="12"/>
        <rFont val="宋体"/>
        <family val="3"/>
        <charset val="134"/>
      </rPr>
      <t>版本</t>
    </r>
  </si>
  <si>
    <r>
      <rPr>
        <sz val="12"/>
        <color theme="1"/>
        <rFont val="宋体"/>
        <family val="3"/>
        <charset val="134"/>
      </rPr>
      <t>变更内容</t>
    </r>
  </si>
  <si>
    <r>
      <rPr>
        <sz val="12"/>
        <color theme="1"/>
        <rFont val="宋体"/>
        <family val="3"/>
        <charset val="134"/>
      </rPr>
      <t>修订人</t>
    </r>
  </si>
  <si>
    <r>
      <rPr>
        <sz val="12"/>
        <color theme="1"/>
        <rFont val="宋体"/>
        <family val="3"/>
        <charset val="134"/>
      </rPr>
      <t>修订日期</t>
    </r>
  </si>
  <si>
    <t>文件发放</t>
  </si>
  <si>
    <t>序号</t>
  </si>
  <si>
    <t>发放部门</t>
  </si>
  <si>
    <r>
      <rPr>
        <sz val="12"/>
        <rFont val="宋体"/>
        <family val="3"/>
        <charset val="134"/>
      </rPr>
      <t>发放产线</t>
    </r>
    <r>
      <rPr>
        <sz val="12"/>
        <rFont val="Times New Roman"/>
        <family val="1"/>
      </rPr>
      <t>/</t>
    </r>
    <r>
      <rPr>
        <sz val="12"/>
        <rFont val="宋体"/>
        <family val="3"/>
        <charset val="134"/>
      </rPr>
      <t>室</t>
    </r>
  </si>
  <si>
    <t>发放工位</t>
  </si>
  <si>
    <t>负极涂布</t>
  </si>
  <si>
    <t>/</t>
  </si>
  <si>
    <t>负极涂布环境</t>
  </si>
  <si>
    <t>（23.0±5.0）℃</t>
  </si>
  <si>
    <t>温湿度计</t>
  </si>
  <si>
    <t>1次</t>
  </si>
  <si>
    <t>1、暂停生产；
2、通知动力运行调整空调系统，待环境恢复后启用；
3、对异常品进行追溯隔离，通知工程师</t>
  </si>
  <si>
    <t>每班</t>
  </si>
  <si>
    <t xml:space="preserve">来料确认 </t>
  </si>
  <si>
    <t>所用浆料型号</t>
  </si>
  <si>
    <t>浆料准运前确认1次</t>
  </si>
  <si>
    <t>每罐</t>
  </si>
  <si>
    <t>1、暂停生产；
2、更换合格的负极浆料。</t>
  </si>
  <si>
    <t>铜箔宽度</t>
  </si>
  <si>
    <t>每卷</t>
  </si>
  <si>
    <t>铜箔厚度</t>
  </si>
  <si>
    <t>万分尺
（0.1μm）</t>
  </si>
  <si>
    <t>电子天平（0.0001g）</t>
  </si>
  <si>
    <t xml:space="preserve">
无污渍、无褶皱
</t>
  </si>
  <si>
    <t>目视</t>
  </si>
  <si>
    <t>涂布速度</t>
  </si>
  <si>
    <t>伺服电机</t>
  </si>
  <si>
    <t>烘箱温度</t>
  </si>
  <si>
    <t>见附表1</t>
  </si>
  <si>
    <t>温度传感器</t>
  </si>
  <si>
    <t>1、通知设备工程师进行原因排查分析；
2、通知工艺工程师进行判定。</t>
  </si>
  <si>
    <t>风机</t>
  </si>
  <si>
    <t>模头间隙</t>
  </si>
  <si>
    <t>☆</t>
  </si>
  <si>
    <t>张力传感器</t>
  </si>
  <si>
    <t>1、机尾员工记录
2、定期校验</t>
  </si>
  <si>
    <t>单面极片厚度极差</t>
  </si>
  <si>
    <t>失重仪</t>
  </si>
  <si>
    <t>极片表面质量</t>
  </si>
  <si>
    <r>
      <rPr>
        <b/>
        <sz val="10"/>
        <rFont val="宋体"/>
        <family val="3"/>
        <charset val="134"/>
      </rPr>
      <t>备注</t>
    </r>
  </si>
  <si>
    <r>
      <rPr>
        <sz val="10"/>
        <rFont val="Times New Roman"/>
        <family val="1"/>
      </rPr>
      <t>1</t>
    </r>
    <r>
      <rPr>
        <sz val="10"/>
        <rFont val="宋体"/>
        <family val="3"/>
        <charset val="134"/>
      </rPr>
      <t>、过程编号、过程名称、作业步骤、产品特性、过程特性的描述，在过程流程图、</t>
    </r>
    <r>
      <rPr>
        <sz val="10"/>
        <rFont val="Times New Roman"/>
        <family val="1"/>
      </rPr>
      <t>PFMEA</t>
    </r>
    <r>
      <rPr>
        <sz val="10"/>
        <rFont val="宋体"/>
        <family val="3"/>
        <charset val="134"/>
      </rPr>
      <t xml:space="preserve">、控制计划中应保持统一。
</t>
    </r>
    <r>
      <rPr>
        <sz val="10"/>
        <rFont val="Times New Roman"/>
        <family val="1"/>
      </rPr>
      <t>1</t>
    </r>
    <r>
      <rPr>
        <sz val="10"/>
        <rFont val="宋体"/>
        <family val="3"/>
        <charset val="134"/>
      </rPr>
      <t>、</t>
    </r>
    <r>
      <rPr>
        <sz val="10"/>
        <rFont val="Times New Roman"/>
        <family val="1"/>
      </rPr>
      <t>Process description should be same with process flow chart, PFMEA and control plan.
2</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表示产品与安全有关的特殊特性符号，关键产品参数</t>
    </r>
    <r>
      <rPr>
        <sz val="10"/>
        <rFont val="Times New Roman"/>
        <family val="1"/>
      </rPr>
      <t>/</t>
    </r>
    <r>
      <rPr>
        <sz val="10"/>
        <rFont val="宋体"/>
        <family val="3"/>
        <charset val="134"/>
      </rPr>
      <t>关键过程参数</t>
    </r>
    <r>
      <rPr>
        <sz val="10"/>
        <rFont val="Times New Roman"/>
        <family val="1"/>
      </rPr>
      <t>/</t>
    </r>
    <r>
      <rPr>
        <sz val="10"/>
        <rFont val="宋体"/>
        <family val="3"/>
        <charset val="134"/>
      </rPr>
      <t>关键工序；</t>
    </r>
    <r>
      <rPr>
        <sz val="10"/>
        <rFont val="Times New Roman"/>
        <family val="1"/>
      </rPr>
      <t>“</t>
    </r>
    <r>
      <rPr>
        <sz val="10"/>
        <rFont val="宋体"/>
        <family val="3"/>
        <charset val="134"/>
      </rPr>
      <t>☆</t>
    </r>
    <r>
      <rPr>
        <sz val="10"/>
        <rFont val="Times New Roman"/>
        <family val="1"/>
      </rPr>
      <t>”</t>
    </r>
    <r>
      <rPr>
        <sz val="10"/>
        <rFont val="宋体"/>
        <family val="3"/>
        <charset val="134"/>
      </rPr>
      <t>表示产品与安全无关的特殊特性符号，重要产品参数</t>
    </r>
    <r>
      <rPr>
        <sz val="10"/>
        <rFont val="Times New Roman"/>
        <family val="1"/>
      </rPr>
      <t>/</t>
    </r>
    <r>
      <rPr>
        <sz val="10"/>
        <rFont val="宋体"/>
        <family val="3"/>
        <charset val="134"/>
      </rPr>
      <t>重要过程参数</t>
    </r>
    <r>
      <rPr>
        <sz val="10"/>
        <rFont val="Times New Roman"/>
        <family val="1"/>
      </rPr>
      <t>/</t>
    </r>
    <r>
      <rPr>
        <sz val="10"/>
        <rFont val="宋体"/>
        <family val="3"/>
        <charset val="134"/>
      </rPr>
      <t>重要工序。</t>
    </r>
    <r>
      <rPr>
        <sz val="10"/>
        <rFont val="Times New Roman"/>
        <family val="1"/>
      </rPr>
      <t xml:space="preserve"> 
2</t>
    </r>
    <r>
      <rPr>
        <sz val="10"/>
        <rFont val="宋体"/>
        <family val="3"/>
        <charset val="134"/>
      </rPr>
      <t>、</t>
    </r>
    <r>
      <rPr>
        <sz val="10"/>
        <rFont val="Times New Roman"/>
        <family val="1"/>
      </rPr>
      <t>“</t>
    </r>
    <r>
      <rPr>
        <sz val="10"/>
        <rFont val="宋体"/>
        <family val="3"/>
        <charset val="134"/>
      </rPr>
      <t>★</t>
    </r>
    <r>
      <rPr>
        <sz val="10"/>
        <rFont val="Times New Roman"/>
        <family val="1"/>
      </rPr>
      <t>”: characteristics related with product safety and critical product parameter/process  parameter/ process;“</t>
    </r>
    <r>
      <rPr>
        <sz val="10"/>
        <rFont val="宋体"/>
        <family val="3"/>
        <charset val="134"/>
      </rPr>
      <t>☆</t>
    </r>
    <r>
      <rPr>
        <sz val="10"/>
        <rFont val="Times New Roman"/>
        <family val="1"/>
      </rPr>
      <t>”: characteristics related with significant product parameter/process  parameter/ process, but not related with product safety.
3</t>
    </r>
    <r>
      <rPr>
        <sz val="10"/>
        <rFont val="宋体"/>
        <family val="3"/>
        <charset val="134"/>
      </rPr>
      <t>、</t>
    </r>
    <r>
      <rPr>
        <sz val="10"/>
        <rFont val="Times New Roman"/>
        <family val="1"/>
      </rPr>
      <t>“</t>
    </r>
    <r>
      <rPr>
        <sz val="10"/>
        <rFont val="宋体"/>
        <family val="3"/>
        <charset val="134"/>
      </rPr>
      <t>△</t>
    </r>
    <r>
      <rPr>
        <sz val="10"/>
        <rFont val="Times New Roman"/>
        <family val="1"/>
      </rPr>
      <t>"</t>
    </r>
    <r>
      <rPr>
        <sz val="10"/>
        <rFont val="宋体"/>
        <family val="3"/>
        <charset val="134"/>
      </rPr>
      <t>表示该处生产设备</t>
    </r>
    <r>
      <rPr>
        <sz val="10"/>
        <rFont val="Times New Roman"/>
        <family val="1"/>
      </rPr>
      <t>/</t>
    </r>
    <r>
      <rPr>
        <sz val="10"/>
        <rFont val="宋体"/>
        <family val="3"/>
        <charset val="134"/>
      </rPr>
      <t xml:space="preserve">工装模具具有防错功能。
</t>
    </r>
    <r>
      <rPr>
        <sz val="10"/>
        <rFont val="Times New Roman"/>
        <family val="1"/>
      </rPr>
      <t>3</t>
    </r>
    <r>
      <rPr>
        <sz val="10"/>
        <rFont val="宋体"/>
        <family val="3"/>
        <charset val="134"/>
      </rPr>
      <t>、</t>
    </r>
    <r>
      <rPr>
        <sz val="10"/>
        <rFont val="Times New Roman"/>
        <family val="1"/>
      </rPr>
      <t>“</t>
    </r>
    <r>
      <rPr>
        <sz val="10"/>
        <rFont val="宋体"/>
        <family val="3"/>
        <charset val="134"/>
      </rPr>
      <t>△</t>
    </r>
    <r>
      <rPr>
        <sz val="10"/>
        <rFont val="Times New Roman"/>
        <family val="1"/>
      </rPr>
      <t>”: Machine/Tooling/Jig have error proofing function</t>
    </r>
    <r>
      <rPr>
        <sz val="10"/>
        <rFont val="宋体"/>
        <family val="3"/>
        <charset val="134"/>
      </rPr>
      <t>。</t>
    </r>
  </si>
  <si>
    <t>李晓坡</t>
  </si>
  <si>
    <t>附表1 涂布烘箱参数</t>
  </si>
  <si>
    <t>第1段</t>
  </si>
  <si>
    <t>第2段</t>
  </si>
  <si>
    <t>第3段</t>
  </si>
  <si>
    <t>第4段</t>
  </si>
  <si>
    <t>第5段</t>
  </si>
  <si>
    <t>第6段</t>
  </si>
  <si>
    <t>温度/℃</t>
  </si>
  <si>
    <t>设定下限</t>
  </si>
  <si>
    <t>设定上限</t>
  </si>
  <si>
    <t>风量/rpm</t>
  </si>
  <si>
    <t>附表2 涂布面密度</t>
  </si>
  <si>
    <t>单面面密度
（g/m^2）</t>
  </si>
  <si>
    <t>箔材厚度
（um）</t>
  </si>
  <si>
    <t>箔材面密度
（g/m^2）</t>
  </si>
  <si>
    <t>取样小圆直径（mm）</t>
  </si>
  <si>
    <t>箔材小圆重量
（g）</t>
  </si>
  <si>
    <t>单面小圆重量（g）</t>
  </si>
  <si>
    <t>双面小圆重量（g）</t>
  </si>
  <si>
    <t>首件下限</t>
  </si>
  <si>
    <t>首件上限</t>
  </si>
  <si>
    <t>过程下限</t>
  </si>
  <si>
    <t>过程上限</t>
  </si>
  <si>
    <t>≤0.5mm</t>
  </si>
  <si>
    <t>存储时间</t>
  </si>
  <si>
    <t>温度</t>
  </si>
  <si>
    <t>湿度</t>
  </si>
  <si>
    <t>洁净度</t>
  </si>
  <si>
    <t xml:space="preserve">
负极涂布机尾大环境</t>
    <phoneticPr fontId="41" type="noConversion"/>
  </si>
  <si>
    <t>极卷标识卡</t>
    <phoneticPr fontId="41" type="noConversion"/>
  </si>
  <si>
    <t>温湿度计</t>
    <phoneticPr fontId="41" type="noConversion"/>
  </si>
  <si>
    <t>/</t>
    <phoneticPr fontId="41" type="noConversion"/>
  </si>
  <si>
    <t>/</t>
    <phoneticPr fontId="41" type="noConversion"/>
  </si>
  <si>
    <t>/</t>
    <phoneticPr fontId="41" type="noConversion"/>
  </si>
  <si>
    <t xml:space="preserve">铜箔面密度 </t>
  </si>
  <si>
    <t>≤3µm</t>
  </si>
  <si>
    <t>≤5µm</t>
  </si>
  <si>
    <t>≤72h</t>
  </si>
  <si>
    <t>菲林尺（0.1mm）</t>
    <phoneticPr fontId="41" type="noConversion"/>
  </si>
  <si>
    <t>极卷存储</t>
    <phoneticPr fontId="41" type="noConversion"/>
  </si>
  <si>
    <t>☆</t>
    <phoneticPr fontId="41" type="noConversion"/>
  </si>
  <si>
    <t>极片单双面错位</t>
    <phoneticPr fontId="41" type="noConversion"/>
  </si>
  <si>
    <t>温度</t>
    <phoneticPr fontId="41" type="noConversion"/>
  </si>
  <si>
    <t>湿度</t>
    <phoneticPr fontId="41" type="noConversion"/>
  </si>
  <si>
    <t>洁净度</t>
    <phoneticPr fontId="41" type="noConversion"/>
  </si>
  <si>
    <t>每4小时</t>
    <phoneticPr fontId="41" type="noConversion"/>
  </si>
  <si>
    <t>1、生产点检并记录
2、定期校准温湿度计</t>
    <phoneticPr fontId="41" type="noConversion"/>
  </si>
  <si>
    <t>1、生产点检并记录
2、定期校准温湿度计</t>
    <phoneticPr fontId="41" type="noConversion"/>
  </si>
  <si>
    <t>1、质检点检并记录
2、定期校准洁净度仪</t>
    <phoneticPr fontId="41" type="noConversion"/>
  </si>
  <si>
    <t>铜箔上机前检验并记录</t>
    <phoneticPr fontId="41" type="noConversion"/>
  </si>
  <si>
    <t>电子天平
（0.0001g）/β-Ray测重仪</t>
    <phoneticPr fontId="41" type="noConversion"/>
  </si>
  <si>
    <t>电子天平
（0.0001g）/β-Ray测重仪</t>
    <phoneticPr fontId="41" type="noConversion"/>
  </si>
  <si>
    <t>1、机尾员工目视确认
2、质检员工目视确认并记录</t>
    <phoneticPr fontId="41" type="noConversion"/>
  </si>
  <si>
    <t xml:space="preserve">强光手电打光目视
</t>
    <phoneticPr fontId="41" type="noConversion"/>
  </si>
  <si>
    <t>1、点检并记录
2、定期校验</t>
    <phoneticPr fontId="41" type="noConversion"/>
  </si>
  <si>
    <t>1、对不合格品进行标识隔离、通知质检按照不合格品处理流程进行处理；
2、操作人员更换或清洗涂布过滤系统，重新对供料系统和涂布模头打循环；
3、调整完成后对产品进行取样检验，持续两次取样合格后恢复正常检验。</t>
    <phoneticPr fontId="41" type="noConversion"/>
  </si>
  <si>
    <t>1、对不合格品进行标识隔离、按照不合格品处理流程进行处理；
2、通知生产员工调整烘箱温度和风速；
3、调整完成后对产品进行取样检验，持续两次取样合格后恢复正常检验。</t>
    <phoneticPr fontId="41" type="noConversion"/>
  </si>
  <si>
    <t>1、生产点检并记录
2、定期校准温湿度计</t>
    <phoneticPr fontId="41" type="noConversion"/>
  </si>
  <si>
    <t>1、通知动力运行调整空调系统，待环境恢复后启用；
2、对异常品进行追溯隔离，通知工程师</t>
    <phoneticPr fontId="41" type="noConversion"/>
  </si>
  <si>
    <t>1、质检点检并记录
2、定期校准洁净度仪</t>
    <phoneticPr fontId="41" type="noConversion"/>
  </si>
  <si>
    <t>(23.0±5.0)℃</t>
    <phoneticPr fontId="41" type="noConversion"/>
  </si>
  <si>
    <t>1、对不合格品进行标识隔离、通知质检员按照不合格品处理流程进行处理；
2、通知机头员工调整涂布模头间隙及纠偏等；
3、调整完成后对产品进行取样检验，持续两次取样合格后恢复正常检验。</t>
    <phoneticPr fontId="41" type="noConversion"/>
  </si>
  <si>
    <t>负极涂布</t>
    <phoneticPr fontId="41" type="noConversion"/>
  </si>
  <si>
    <t>1、对不合格品进行标识隔离、通知质检按照不合格品处理流程进行处理；
2、操作人员调整涂布间隙、更换不同规格垫片；
3、调整完成后对产品进行取样检验，持续两次取样合格后恢复正常检验。</t>
    <phoneticPr fontId="41" type="noConversion"/>
  </si>
  <si>
    <t>1、对不合格品进行标识隔离、通知质检按照不合格品处理流程进行处理；
2、操作人员调整涂布间隙、更换不同规格垫片；
3、调整完成后对产品进行取样检验，持续两次取样合格后恢复正常检验。</t>
    <phoneticPr fontId="41" type="noConversion"/>
  </si>
  <si>
    <t xml:space="preserve">
负极涂布机
</t>
    <phoneticPr fontId="41" type="noConversion"/>
  </si>
  <si>
    <t>1次</t>
    <phoneticPr fontId="41" type="noConversion"/>
  </si>
  <si>
    <t>铜箔表面质量</t>
    <phoneticPr fontId="41" type="noConversion"/>
  </si>
  <si>
    <t>万分尺
（0.1μm）</t>
    <phoneticPr fontId="41" type="noConversion"/>
  </si>
  <si>
    <t>极片A面+B面密度</t>
    <phoneticPr fontId="41" type="noConversion"/>
  </si>
  <si>
    <t>极片A面+B面面密度（首检中值确认）</t>
    <phoneticPr fontId="41" type="noConversion"/>
  </si>
  <si>
    <t>高斯计</t>
  </si>
  <si>
    <t>1、通知设备工程师进行原因排查及修正；
2、通知工艺质量进行判定</t>
  </si>
  <si>
    <t>磁棒与极片表面间距</t>
  </si>
  <si>
    <t>卷首1次</t>
  </si>
  <si>
    <t>1、对不合格品进行标识隔离、通知质检按照不合格品处理流程进行处理；
2、操作人员调整涂布间隙、更换不同规格垫片；
3、调整完成后对产品进行取样检验，持续两次取样合格后恢复正常检验。</t>
    <phoneticPr fontId="41" type="noConversion"/>
  </si>
  <si>
    <r>
      <rPr>
        <b/>
        <sz val="10"/>
        <color theme="1"/>
        <rFont val="宋体"/>
        <family val="3"/>
        <charset val="134"/>
      </rPr>
      <t xml:space="preserve">过程编号
</t>
    </r>
    <r>
      <rPr>
        <b/>
        <sz val="10"/>
        <color theme="1"/>
        <rFont val="Times New Roman"/>
        <family val="1"/>
      </rPr>
      <t>Process No.</t>
    </r>
  </si>
  <si>
    <r>
      <rPr>
        <b/>
        <sz val="10"/>
        <color theme="1"/>
        <rFont val="宋体"/>
        <family val="3"/>
        <charset val="134"/>
      </rPr>
      <t xml:space="preserve">过程名称
</t>
    </r>
    <r>
      <rPr>
        <b/>
        <sz val="10"/>
        <color theme="1"/>
        <rFont val="Times New Roman"/>
        <family val="1"/>
      </rPr>
      <t>Process</t>
    </r>
  </si>
  <si>
    <r>
      <rPr>
        <b/>
        <sz val="10"/>
        <color theme="1"/>
        <rFont val="宋体"/>
        <family val="3"/>
        <charset val="134"/>
      </rPr>
      <t>生产设备</t>
    </r>
    <r>
      <rPr>
        <b/>
        <sz val="10"/>
        <color theme="1"/>
        <rFont val="Times New Roman"/>
        <family val="1"/>
      </rPr>
      <t xml:space="preserve">
</t>
    </r>
    <r>
      <rPr>
        <b/>
        <sz val="10"/>
        <color theme="1"/>
        <rFont val="宋体"/>
        <family val="3"/>
        <charset val="134"/>
      </rPr>
      <t xml:space="preserve">工装模具
</t>
    </r>
    <r>
      <rPr>
        <b/>
        <sz val="10"/>
        <color theme="1"/>
        <rFont val="Times New Roman"/>
        <family val="1"/>
      </rPr>
      <t>Machine/Tooling/Jig</t>
    </r>
  </si>
  <si>
    <r>
      <rPr>
        <b/>
        <sz val="10"/>
        <color theme="1"/>
        <rFont val="宋体"/>
        <family val="3"/>
        <charset val="134"/>
      </rPr>
      <t xml:space="preserve">特性
</t>
    </r>
    <r>
      <rPr>
        <b/>
        <sz val="10"/>
        <color theme="1"/>
        <rFont val="Times New Roman"/>
        <family val="1"/>
      </rPr>
      <t>characteristics</t>
    </r>
  </si>
  <si>
    <r>
      <rPr>
        <b/>
        <sz val="10"/>
        <color theme="1"/>
        <rFont val="宋体"/>
        <family val="3"/>
        <charset val="134"/>
      </rPr>
      <t xml:space="preserve">方法
</t>
    </r>
    <r>
      <rPr>
        <b/>
        <sz val="10"/>
        <color theme="1"/>
        <rFont val="Times New Roman"/>
        <family val="1"/>
      </rPr>
      <t>Method</t>
    </r>
  </si>
  <si>
    <r>
      <rPr>
        <b/>
        <sz val="10"/>
        <color theme="1"/>
        <rFont val="宋体"/>
        <family val="3"/>
        <charset val="134"/>
      </rPr>
      <t xml:space="preserve">反应计划
</t>
    </r>
    <r>
      <rPr>
        <b/>
        <sz val="10"/>
        <color theme="1"/>
        <rFont val="Times New Roman"/>
        <family val="1"/>
      </rPr>
      <t xml:space="preserve">Reaction plan </t>
    </r>
  </si>
  <si>
    <r>
      <rPr>
        <b/>
        <sz val="10"/>
        <color theme="1"/>
        <rFont val="宋体"/>
        <family val="3"/>
        <charset val="134"/>
      </rPr>
      <t xml:space="preserve">编号
</t>
    </r>
    <r>
      <rPr>
        <b/>
        <sz val="10"/>
        <color theme="1"/>
        <rFont val="Times New Roman"/>
        <family val="1"/>
      </rPr>
      <t>No.</t>
    </r>
  </si>
  <si>
    <r>
      <rPr>
        <b/>
        <sz val="10"/>
        <color theme="1"/>
        <rFont val="宋体"/>
        <family val="3"/>
        <charset val="134"/>
      </rPr>
      <t xml:space="preserve">产品
</t>
    </r>
    <r>
      <rPr>
        <b/>
        <sz val="10"/>
        <color theme="1"/>
        <rFont val="Times New Roman"/>
        <family val="1"/>
      </rPr>
      <t>Products</t>
    </r>
  </si>
  <si>
    <r>
      <rPr>
        <b/>
        <sz val="10"/>
        <color theme="1"/>
        <rFont val="宋体"/>
        <family val="3"/>
        <charset val="134"/>
      </rPr>
      <t xml:space="preserve">过程
</t>
    </r>
    <r>
      <rPr>
        <b/>
        <sz val="10"/>
        <color theme="1"/>
        <rFont val="Times New Roman"/>
        <family val="1"/>
      </rPr>
      <t>Process</t>
    </r>
  </si>
  <si>
    <r>
      <rPr>
        <b/>
        <sz val="10"/>
        <color theme="1"/>
        <rFont val="宋体"/>
        <family val="3"/>
        <charset val="134"/>
      </rPr>
      <t xml:space="preserve">特殊特性分类
</t>
    </r>
    <r>
      <rPr>
        <b/>
        <sz val="10"/>
        <color theme="1"/>
        <rFont val="Times New Roman"/>
        <family val="1"/>
      </rPr>
      <t>Classification</t>
    </r>
  </si>
  <si>
    <r>
      <rPr>
        <b/>
        <sz val="10"/>
        <color theme="1"/>
        <rFont val="宋体"/>
        <family val="3"/>
        <charset val="134"/>
      </rPr>
      <t>产品</t>
    </r>
    <r>
      <rPr>
        <b/>
        <sz val="10"/>
        <color theme="1"/>
        <rFont val="Times New Roman"/>
        <family val="1"/>
      </rPr>
      <t>/</t>
    </r>
    <r>
      <rPr>
        <b/>
        <sz val="10"/>
        <color theme="1"/>
        <rFont val="宋体"/>
        <family val="3"/>
        <charset val="134"/>
      </rPr>
      <t>过程产品</t>
    </r>
    <r>
      <rPr>
        <b/>
        <sz val="10"/>
        <color theme="1"/>
        <rFont val="Times New Roman"/>
        <family val="1"/>
      </rPr>
      <t>/</t>
    </r>
    <r>
      <rPr>
        <b/>
        <sz val="10"/>
        <color theme="1"/>
        <rFont val="宋体"/>
        <family val="3"/>
        <charset val="134"/>
      </rPr>
      <t>过程规范</t>
    </r>
    <r>
      <rPr>
        <b/>
        <sz val="10"/>
        <color theme="1"/>
        <rFont val="Times New Roman"/>
        <family val="1"/>
      </rPr>
      <t>/</t>
    </r>
    <r>
      <rPr>
        <b/>
        <sz val="10"/>
        <color theme="1"/>
        <rFont val="宋体"/>
        <family val="3"/>
        <charset val="134"/>
      </rPr>
      <t xml:space="preserve">公差
</t>
    </r>
    <r>
      <rPr>
        <b/>
        <sz val="10"/>
        <color theme="1"/>
        <rFont val="Times New Roman"/>
        <family val="1"/>
      </rPr>
      <t>Specification/Tolerance</t>
    </r>
  </si>
  <si>
    <r>
      <rPr>
        <b/>
        <sz val="10"/>
        <color theme="1"/>
        <rFont val="宋体"/>
        <family val="3"/>
        <charset val="134"/>
      </rPr>
      <t>评价</t>
    </r>
    <r>
      <rPr>
        <b/>
        <sz val="10"/>
        <color theme="1"/>
        <rFont val="Times New Roman"/>
        <family val="1"/>
      </rPr>
      <t>/</t>
    </r>
    <r>
      <rPr>
        <b/>
        <sz val="10"/>
        <color theme="1"/>
        <rFont val="宋体"/>
        <family val="3"/>
        <charset val="134"/>
      </rPr>
      <t xml:space="preserve">测量技术
</t>
    </r>
    <r>
      <rPr>
        <b/>
        <sz val="10"/>
        <color theme="1"/>
        <rFont val="Times New Roman"/>
        <family val="1"/>
      </rPr>
      <t>Evaluation/Measurement</t>
    </r>
  </si>
  <si>
    <r>
      <rPr>
        <b/>
        <sz val="10"/>
        <color theme="1"/>
        <rFont val="宋体"/>
        <family val="3"/>
        <charset val="134"/>
      </rPr>
      <t xml:space="preserve">样本
</t>
    </r>
    <r>
      <rPr>
        <b/>
        <sz val="10"/>
        <color theme="1"/>
        <rFont val="Times New Roman"/>
        <family val="1"/>
      </rPr>
      <t>Sample</t>
    </r>
  </si>
  <si>
    <r>
      <rPr>
        <b/>
        <sz val="10"/>
        <color theme="1"/>
        <rFont val="宋体"/>
        <family val="3"/>
        <charset val="134"/>
      </rPr>
      <t xml:space="preserve">控制方法
</t>
    </r>
    <r>
      <rPr>
        <b/>
        <sz val="10"/>
        <color theme="1"/>
        <rFont val="Times New Roman"/>
        <family val="1"/>
      </rPr>
      <t>Control Method</t>
    </r>
  </si>
  <si>
    <r>
      <rPr>
        <b/>
        <sz val="10"/>
        <color theme="1"/>
        <rFont val="宋体"/>
        <family val="3"/>
        <charset val="134"/>
      </rPr>
      <t xml:space="preserve">容量
</t>
    </r>
    <r>
      <rPr>
        <b/>
        <sz val="10"/>
        <color theme="1"/>
        <rFont val="Times New Roman"/>
        <family val="1"/>
      </rPr>
      <t>Size</t>
    </r>
  </si>
  <si>
    <r>
      <rPr>
        <b/>
        <sz val="10"/>
        <color theme="1"/>
        <rFont val="宋体"/>
        <family val="3"/>
        <charset val="134"/>
      </rPr>
      <t xml:space="preserve">频率
</t>
    </r>
    <r>
      <rPr>
        <b/>
        <sz val="10"/>
        <color theme="1"/>
        <rFont val="Times New Roman"/>
        <family val="1"/>
      </rPr>
      <t>Frequency</t>
    </r>
  </si>
  <si>
    <r>
      <t>1</t>
    </r>
    <r>
      <rPr>
        <sz val="10"/>
        <color theme="1"/>
        <rFont val="宋体"/>
        <family val="3"/>
        <charset val="134"/>
      </rPr>
      <t xml:space="preserve">、设备自动控制
</t>
    </r>
    <r>
      <rPr>
        <sz val="10"/>
        <color theme="1"/>
        <rFont val="Times New Roman"/>
        <family val="1"/>
      </rPr>
      <t>2</t>
    </r>
    <r>
      <rPr>
        <sz val="10"/>
        <color theme="1"/>
        <rFont val="宋体"/>
        <family val="3"/>
        <charset val="134"/>
      </rPr>
      <t xml:space="preserve">、点检
</t>
    </r>
    <r>
      <rPr>
        <sz val="10"/>
        <color theme="1"/>
        <rFont val="Times New Roman"/>
        <family val="1"/>
      </rPr>
      <t>3</t>
    </r>
    <r>
      <rPr>
        <sz val="10"/>
        <color theme="1"/>
        <rFont val="宋体"/>
        <family val="3"/>
        <charset val="134"/>
      </rPr>
      <t xml:space="preserve">、检验
</t>
    </r>
    <r>
      <rPr>
        <sz val="10"/>
        <color theme="1"/>
        <rFont val="Times New Roman"/>
        <family val="1"/>
      </rPr>
      <t>4</t>
    </r>
    <r>
      <rPr>
        <sz val="10"/>
        <color theme="1"/>
        <rFont val="宋体"/>
        <family val="3"/>
        <charset val="134"/>
      </rPr>
      <t xml:space="preserve">、定期校验
</t>
    </r>
    <r>
      <rPr>
        <sz val="10"/>
        <color theme="1"/>
        <rFont val="Times New Roman"/>
        <family val="1"/>
      </rPr>
      <t>5</t>
    </r>
    <r>
      <rPr>
        <sz val="10"/>
        <color theme="1"/>
        <rFont val="宋体"/>
        <family val="3"/>
        <charset val="134"/>
      </rPr>
      <t>、设备面密度中值上下线控制</t>
    </r>
    <phoneticPr fontId="41" type="noConversion"/>
  </si>
  <si>
    <r>
      <t>1</t>
    </r>
    <r>
      <rPr>
        <sz val="10"/>
        <color theme="1"/>
        <rFont val="宋体"/>
        <family val="3"/>
        <charset val="134"/>
      </rPr>
      <t xml:space="preserve">、对不合格品进行标识隔离、通知质检按照不合格品处理流程进行处理；
</t>
    </r>
    <r>
      <rPr>
        <sz val="10"/>
        <color theme="1"/>
        <rFont val="Times New Roman"/>
        <family val="1"/>
      </rPr>
      <t>2</t>
    </r>
    <r>
      <rPr>
        <sz val="10"/>
        <color theme="1"/>
        <rFont val="宋体"/>
        <family val="3"/>
        <charset val="134"/>
      </rPr>
      <t xml:space="preserve">、操作人员调整涂布泵速及螺钉松紧度；
</t>
    </r>
    <r>
      <rPr>
        <sz val="10"/>
        <color theme="1"/>
        <rFont val="Times New Roman"/>
        <family val="1"/>
      </rPr>
      <t>3</t>
    </r>
    <r>
      <rPr>
        <sz val="10"/>
        <color theme="1"/>
        <rFont val="宋体"/>
        <family val="3"/>
        <charset val="134"/>
      </rPr>
      <t>、调整完成后对产品进行取样检验，持续两次取样合格后恢复正常检验。</t>
    </r>
    <phoneticPr fontId="41" type="noConversion"/>
  </si>
  <si>
    <r>
      <t>1</t>
    </r>
    <r>
      <rPr>
        <sz val="10"/>
        <color theme="1"/>
        <rFont val="宋体"/>
        <family val="3"/>
        <charset val="134"/>
      </rPr>
      <t xml:space="preserve">、设备自动控制
</t>
    </r>
    <r>
      <rPr>
        <sz val="10"/>
        <color theme="1"/>
        <rFont val="Times New Roman"/>
        <family val="1"/>
      </rPr>
      <t>2</t>
    </r>
    <r>
      <rPr>
        <sz val="10"/>
        <color theme="1"/>
        <rFont val="宋体"/>
        <family val="3"/>
        <charset val="134"/>
      </rPr>
      <t xml:space="preserve">、点检
</t>
    </r>
    <r>
      <rPr>
        <sz val="10"/>
        <color theme="1"/>
        <rFont val="Times New Roman"/>
        <family val="1"/>
      </rPr>
      <t>3</t>
    </r>
    <r>
      <rPr>
        <sz val="10"/>
        <color theme="1"/>
        <rFont val="宋体"/>
        <family val="3"/>
        <charset val="134"/>
      </rPr>
      <t xml:space="preserve">、检验
</t>
    </r>
    <r>
      <rPr>
        <sz val="10"/>
        <color theme="1"/>
        <rFont val="Times New Roman"/>
        <family val="1"/>
      </rPr>
      <t>4</t>
    </r>
    <r>
      <rPr>
        <sz val="10"/>
        <color theme="1"/>
        <rFont val="宋体"/>
        <family val="3"/>
        <charset val="134"/>
      </rPr>
      <t xml:space="preserve">、定期校验
</t>
    </r>
    <r>
      <rPr>
        <sz val="10"/>
        <color theme="1"/>
        <rFont val="Times New Roman"/>
        <family val="1"/>
      </rPr>
      <t>5</t>
    </r>
    <r>
      <rPr>
        <sz val="10"/>
        <color theme="1"/>
        <rFont val="宋体"/>
        <family val="3"/>
        <charset val="134"/>
      </rPr>
      <t>、设备面密度中值上下线控制</t>
    </r>
    <phoneticPr fontId="41" type="noConversion"/>
  </si>
  <si>
    <r>
      <t>1</t>
    </r>
    <r>
      <rPr>
        <sz val="10"/>
        <color theme="1"/>
        <rFont val="宋体"/>
        <family val="3"/>
        <charset val="134"/>
      </rPr>
      <t xml:space="preserve">、对不合格品进行标识隔离、通知质检按照不合格品处理流程进行处理；
</t>
    </r>
    <r>
      <rPr>
        <sz val="10"/>
        <color theme="1"/>
        <rFont val="Times New Roman"/>
        <family val="1"/>
      </rPr>
      <t>2</t>
    </r>
    <r>
      <rPr>
        <sz val="10"/>
        <color theme="1"/>
        <rFont val="宋体"/>
        <family val="3"/>
        <charset val="134"/>
      </rPr>
      <t xml:space="preserve">、操作人员调整涂布泵速及螺钉松紧度；
</t>
    </r>
    <r>
      <rPr>
        <sz val="10"/>
        <color theme="1"/>
        <rFont val="Times New Roman"/>
        <family val="1"/>
      </rPr>
      <t>3</t>
    </r>
    <r>
      <rPr>
        <sz val="10"/>
        <color theme="1"/>
        <rFont val="宋体"/>
        <family val="3"/>
        <charset val="134"/>
      </rPr>
      <t>、调整完成后对产品进行取样检验，持续两次取样合格后恢复正常检验。</t>
    </r>
    <phoneticPr fontId="41" type="noConversion"/>
  </si>
  <si>
    <r>
      <t>1</t>
    </r>
    <r>
      <rPr>
        <sz val="10"/>
        <color theme="1"/>
        <rFont val="宋体"/>
        <family val="3"/>
        <charset val="134"/>
      </rPr>
      <t xml:space="preserve">、设备自动控制
</t>
    </r>
    <r>
      <rPr>
        <sz val="10"/>
        <color theme="1"/>
        <rFont val="Times New Roman"/>
        <family val="1"/>
      </rPr>
      <t>2</t>
    </r>
    <r>
      <rPr>
        <sz val="10"/>
        <color theme="1"/>
        <rFont val="宋体"/>
        <family val="3"/>
        <charset val="134"/>
      </rPr>
      <t xml:space="preserve">、点检
</t>
    </r>
    <r>
      <rPr>
        <sz val="10"/>
        <color theme="1"/>
        <rFont val="Times New Roman"/>
        <family val="1"/>
      </rPr>
      <t>3</t>
    </r>
    <r>
      <rPr>
        <sz val="10"/>
        <color theme="1"/>
        <rFont val="宋体"/>
        <family val="3"/>
        <charset val="134"/>
      </rPr>
      <t xml:space="preserve">、检验
</t>
    </r>
    <r>
      <rPr>
        <sz val="10"/>
        <color theme="1"/>
        <rFont val="Times New Roman"/>
        <family val="1"/>
      </rPr>
      <t>4</t>
    </r>
    <r>
      <rPr>
        <sz val="10"/>
        <color theme="1"/>
        <rFont val="宋体"/>
        <family val="3"/>
        <charset val="134"/>
      </rPr>
      <t xml:space="preserve">、定期校验
</t>
    </r>
    <r>
      <rPr>
        <sz val="10"/>
        <color theme="1"/>
        <rFont val="Times New Roman"/>
        <family val="1"/>
      </rPr>
      <t>5</t>
    </r>
    <r>
      <rPr>
        <sz val="10"/>
        <color theme="1"/>
        <rFont val="宋体"/>
        <family val="3"/>
        <charset val="134"/>
      </rPr>
      <t>、设备面密度中值上下线控制</t>
    </r>
    <phoneticPr fontId="41" type="noConversion"/>
  </si>
  <si>
    <r>
      <rPr>
        <sz val="10"/>
        <color theme="1"/>
        <rFont val="宋体"/>
        <family val="3"/>
        <charset val="134"/>
      </rPr>
      <t>拉力机</t>
    </r>
    <r>
      <rPr>
        <sz val="10"/>
        <color theme="1"/>
        <rFont val="Times New Roman"/>
        <family val="1"/>
      </rPr>
      <t xml:space="preserve">  </t>
    </r>
  </si>
  <si>
    <r>
      <t>1</t>
    </r>
    <r>
      <rPr>
        <sz val="10"/>
        <color theme="1"/>
        <rFont val="宋体"/>
        <family val="3"/>
        <charset val="134"/>
      </rPr>
      <t xml:space="preserve">、检验
</t>
    </r>
    <r>
      <rPr>
        <sz val="10"/>
        <color theme="1"/>
        <rFont val="Times New Roman"/>
        <family val="1"/>
      </rPr>
      <t>2</t>
    </r>
    <r>
      <rPr>
        <sz val="10"/>
        <color theme="1"/>
        <rFont val="宋体"/>
        <family val="3"/>
        <charset val="134"/>
      </rPr>
      <t>、定期校验</t>
    </r>
    <phoneticPr fontId="41" type="noConversion"/>
  </si>
  <si>
    <r>
      <t>1</t>
    </r>
    <r>
      <rPr>
        <sz val="10"/>
        <color theme="1"/>
        <rFont val="宋体"/>
        <family val="3"/>
        <charset val="134"/>
      </rPr>
      <t xml:space="preserve">、对不合格品进行标识隔离、通知质检按照不合格品处理流程进行处理；
</t>
    </r>
    <r>
      <rPr>
        <sz val="10"/>
        <color theme="1"/>
        <rFont val="Times New Roman"/>
        <family val="1"/>
      </rPr>
      <t>2</t>
    </r>
    <r>
      <rPr>
        <sz val="10"/>
        <color theme="1"/>
        <rFont val="宋体"/>
        <family val="3"/>
        <charset val="134"/>
      </rPr>
      <t xml:space="preserve">、操作人员调节烘箱温度和风速；
</t>
    </r>
    <r>
      <rPr>
        <sz val="10"/>
        <color theme="1"/>
        <rFont val="Times New Roman"/>
        <family val="1"/>
      </rPr>
      <t>3</t>
    </r>
    <r>
      <rPr>
        <sz val="10"/>
        <color theme="1"/>
        <rFont val="宋体"/>
        <family val="3"/>
        <charset val="134"/>
      </rPr>
      <t>、调整完成后对产品进行收</t>
    </r>
    <r>
      <rPr>
        <sz val="10"/>
        <color theme="1"/>
        <rFont val="Times New Roman"/>
        <family val="1"/>
      </rPr>
      <t>1000</t>
    </r>
    <r>
      <rPr>
        <sz val="10"/>
        <color theme="1"/>
        <rFont val="宋体"/>
        <family val="3"/>
        <charset val="134"/>
      </rPr>
      <t>米小卷检验，持续两卷合格后恢复成常规检验。</t>
    </r>
    <r>
      <rPr>
        <sz val="10"/>
        <color theme="1"/>
        <rFont val="Times New Roman"/>
        <family val="1"/>
      </rPr>
      <t xml:space="preserve"> </t>
    </r>
    <phoneticPr fontId="41" type="noConversion"/>
  </si>
  <si>
    <r>
      <t>1</t>
    </r>
    <r>
      <rPr>
        <sz val="10"/>
        <color theme="1"/>
        <rFont val="宋体"/>
        <family val="3"/>
        <charset val="134"/>
      </rPr>
      <t>次</t>
    </r>
  </si>
  <si>
    <r>
      <t>1</t>
    </r>
    <r>
      <rPr>
        <sz val="10"/>
        <color theme="1"/>
        <rFont val="宋体"/>
        <family val="3"/>
        <charset val="134"/>
      </rPr>
      <t xml:space="preserve">、对超期极卷进行隔离；
</t>
    </r>
    <r>
      <rPr>
        <sz val="10"/>
        <color theme="1"/>
        <rFont val="Times New Roman"/>
        <family val="1"/>
      </rPr>
      <t>2</t>
    </r>
    <r>
      <rPr>
        <sz val="10"/>
        <color theme="1"/>
        <rFont val="宋体"/>
        <family val="3"/>
        <charset val="134"/>
      </rPr>
      <t>、通知质检按照不合格品处理流程处理。</t>
    </r>
    <phoneticPr fontId="41" type="noConversion"/>
  </si>
  <si>
    <r>
      <rPr>
        <b/>
        <sz val="10"/>
        <color theme="1"/>
        <rFont val="宋体"/>
        <family val="3"/>
        <charset val="134"/>
      </rPr>
      <t>备注</t>
    </r>
  </si>
  <si>
    <r>
      <t>1</t>
    </r>
    <r>
      <rPr>
        <sz val="10"/>
        <color theme="1"/>
        <rFont val="宋体"/>
        <family val="3"/>
        <charset val="134"/>
      </rPr>
      <t>、过程编号、过程名称、作业步骤、产品特性、过程特性的描述，在过程流程图、</t>
    </r>
    <r>
      <rPr>
        <sz val="10"/>
        <color theme="1"/>
        <rFont val="Times New Roman"/>
        <family val="1"/>
      </rPr>
      <t>PFMEA</t>
    </r>
    <r>
      <rPr>
        <sz val="10"/>
        <color theme="1"/>
        <rFont val="宋体"/>
        <family val="3"/>
        <charset val="134"/>
      </rPr>
      <t xml:space="preserve">、控制计划中应保持统一。
</t>
    </r>
    <r>
      <rPr>
        <sz val="10"/>
        <color theme="1"/>
        <rFont val="Times New Roman"/>
        <family val="1"/>
      </rPr>
      <t>1</t>
    </r>
    <r>
      <rPr>
        <sz val="10"/>
        <color theme="1"/>
        <rFont val="宋体"/>
        <family val="3"/>
        <charset val="134"/>
      </rPr>
      <t>、</t>
    </r>
    <r>
      <rPr>
        <sz val="10"/>
        <color theme="1"/>
        <rFont val="Times New Roman"/>
        <family val="1"/>
      </rPr>
      <t>Process description should be same with process flow chart, PFMEA and control plan.
2</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表示产品与安全有关的特殊特性符号，关键产品参数</t>
    </r>
    <r>
      <rPr>
        <sz val="10"/>
        <color theme="1"/>
        <rFont val="Times New Roman"/>
        <family val="1"/>
      </rPr>
      <t>/</t>
    </r>
    <r>
      <rPr>
        <sz val="10"/>
        <color theme="1"/>
        <rFont val="宋体"/>
        <family val="3"/>
        <charset val="134"/>
      </rPr>
      <t>关键过程参数</t>
    </r>
    <r>
      <rPr>
        <sz val="10"/>
        <color theme="1"/>
        <rFont val="Times New Roman"/>
        <family val="1"/>
      </rPr>
      <t>/</t>
    </r>
    <r>
      <rPr>
        <sz val="10"/>
        <color theme="1"/>
        <rFont val="宋体"/>
        <family val="3"/>
        <charset val="134"/>
      </rPr>
      <t>关键工序；</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表示产品与安全无关的特殊特性符号，重要产品参数</t>
    </r>
    <r>
      <rPr>
        <sz val="10"/>
        <color theme="1"/>
        <rFont val="Times New Roman"/>
        <family val="1"/>
      </rPr>
      <t>/</t>
    </r>
    <r>
      <rPr>
        <sz val="10"/>
        <color theme="1"/>
        <rFont val="宋体"/>
        <family val="3"/>
        <charset val="134"/>
      </rPr>
      <t>重要过程参数</t>
    </r>
    <r>
      <rPr>
        <sz val="10"/>
        <color theme="1"/>
        <rFont val="Times New Roman"/>
        <family val="1"/>
      </rPr>
      <t>/</t>
    </r>
    <r>
      <rPr>
        <sz val="10"/>
        <color theme="1"/>
        <rFont val="宋体"/>
        <family val="3"/>
        <charset val="134"/>
      </rPr>
      <t>重要工序。</t>
    </r>
    <r>
      <rPr>
        <sz val="10"/>
        <color theme="1"/>
        <rFont val="Times New Roman"/>
        <family val="1"/>
      </rPr>
      <t xml:space="preserve"> 
2</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 characteristics related with product safety and critical product parameter/process  parameter/ process;“</t>
    </r>
    <r>
      <rPr>
        <sz val="10"/>
        <color theme="1"/>
        <rFont val="宋体"/>
        <family val="3"/>
        <charset val="134"/>
      </rPr>
      <t>☆</t>
    </r>
    <r>
      <rPr>
        <sz val="10"/>
        <color theme="1"/>
        <rFont val="Times New Roman"/>
        <family val="1"/>
      </rPr>
      <t>”: characteristics related with significant product parameter/process  parameter/ process, but not related with product safety.
3</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表示该处生产设备</t>
    </r>
    <r>
      <rPr>
        <sz val="10"/>
        <color theme="1"/>
        <rFont val="Times New Roman"/>
        <family val="1"/>
      </rPr>
      <t>/</t>
    </r>
    <r>
      <rPr>
        <sz val="10"/>
        <color theme="1"/>
        <rFont val="宋体"/>
        <family val="3"/>
        <charset val="134"/>
      </rPr>
      <t xml:space="preserve">工装模具具有防错功能。
</t>
    </r>
    <r>
      <rPr>
        <sz val="10"/>
        <color theme="1"/>
        <rFont val="Times New Roman"/>
        <family val="1"/>
      </rPr>
      <t>3</t>
    </r>
    <r>
      <rPr>
        <sz val="10"/>
        <color theme="1"/>
        <rFont val="宋体"/>
        <family val="3"/>
        <charset val="134"/>
      </rPr>
      <t>、</t>
    </r>
    <r>
      <rPr>
        <sz val="10"/>
        <color theme="1"/>
        <rFont val="Times New Roman"/>
        <family val="1"/>
      </rPr>
      <t>“</t>
    </r>
    <r>
      <rPr>
        <sz val="10"/>
        <color theme="1"/>
        <rFont val="宋体"/>
        <family val="3"/>
        <charset val="134"/>
      </rPr>
      <t>△</t>
    </r>
    <r>
      <rPr>
        <sz val="10"/>
        <color theme="1"/>
        <rFont val="Times New Roman"/>
        <family val="1"/>
      </rPr>
      <t>”: Machine/Tooling/Jig have error proofing function</t>
    </r>
    <r>
      <rPr>
        <sz val="10"/>
        <color theme="1"/>
        <rFont val="宋体"/>
        <family val="3"/>
        <charset val="134"/>
      </rPr>
      <t>。</t>
    </r>
    <phoneticPr fontId="41" type="noConversion"/>
  </si>
  <si>
    <t>电子天平
（0.0001g）/β-Ray测重仪</t>
    <phoneticPr fontId="41" type="noConversion"/>
  </si>
  <si>
    <t>/</t>
    <phoneticPr fontId="41" type="noConversion"/>
  </si>
  <si>
    <t>/</t>
    <phoneticPr fontId="41" type="noConversion"/>
  </si>
  <si>
    <t>/</t>
    <phoneticPr fontId="41" type="noConversion"/>
  </si>
  <si>
    <r>
      <rPr>
        <sz val="10"/>
        <rFont val="宋体"/>
        <family val="3"/>
        <charset val="134"/>
      </rPr>
      <t>≥</t>
    </r>
    <r>
      <rPr>
        <sz val="10"/>
        <rFont val="Times New Roman"/>
        <family val="1"/>
      </rPr>
      <t>6.00N/m</t>
    </r>
    <phoneticPr fontId="41" type="noConversion"/>
  </si>
  <si>
    <r>
      <rPr>
        <b/>
        <sz val="10"/>
        <rFont val="宋体"/>
        <family val="3"/>
        <charset val="134"/>
      </rPr>
      <t xml:space="preserve">型号
</t>
    </r>
    <r>
      <rPr>
        <b/>
        <sz val="10"/>
        <rFont val="Times New Roman"/>
        <family val="1"/>
      </rPr>
      <t>Model</t>
    </r>
  </si>
  <si>
    <r>
      <rPr>
        <b/>
        <sz val="10"/>
        <rFont val="宋体"/>
        <family val="3"/>
        <charset val="134"/>
      </rPr>
      <t xml:space="preserve">文件代号
</t>
    </r>
    <r>
      <rPr>
        <b/>
        <sz val="10"/>
        <rFont val="Times New Roman"/>
        <family val="1"/>
      </rPr>
      <t>File NO.</t>
    </r>
  </si>
  <si>
    <r>
      <rPr>
        <b/>
        <sz val="10"/>
        <rFont val="宋体"/>
        <family val="3"/>
        <charset val="134"/>
      </rPr>
      <t xml:space="preserve">工序名称
</t>
    </r>
    <r>
      <rPr>
        <b/>
        <sz val="10"/>
        <rFont val="Times New Roman"/>
        <family val="1"/>
      </rPr>
      <t>Process Name</t>
    </r>
  </si>
  <si>
    <r>
      <rPr>
        <b/>
        <sz val="10"/>
        <rFont val="宋体"/>
        <family val="3"/>
        <charset val="134"/>
      </rPr>
      <t xml:space="preserve">发行版次
</t>
    </r>
    <r>
      <rPr>
        <b/>
        <sz val="10"/>
        <rFont val="Times New Roman"/>
        <family val="1"/>
      </rPr>
      <t>REV.</t>
    </r>
  </si>
  <si>
    <r>
      <t>适用厂区</t>
    </r>
    <r>
      <rPr>
        <b/>
        <sz val="10"/>
        <rFont val="Times New Roman"/>
        <family val="1"/>
      </rPr>
      <t>/</t>
    </r>
    <r>
      <rPr>
        <b/>
        <sz val="10"/>
        <rFont val="宋体"/>
        <family val="3"/>
        <charset val="134"/>
      </rPr>
      <t xml:space="preserve">产线
</t>
    </r>
    <r>
      <rPr>
        <b/>
        <sz val="10"/>
        <rFont val="Times New Roman"/>
        <family val="1"/>
      </rPr>
      <t>Applicable Factory/Line</t>
    </r>
  </si>
  <si>
    <t xml:space="preserve">客户名称
Customer </t>
    <phoneticPr fontId="41" type="noConversion"/>
  </si>
  <si>
    <t>涂敷宽度</t>
    <phoneticPr fontId="41" type="noConversion"/>
  </si>
  <si>
    <r>
      <rPr>
        <b/>
        <sz val="10"/>
        <rFont val="宋体"/>
        <family val="3"/>
        <charset val="134"/>
      </rPr>
      <t>顾客批准</t>
    </r>
    <r>
      <rPr>
        <b/>
        <sz val="10"/>
        <rFont val="Times New Roman"/>
        <family val="1"/>
      </rPr>
      <t>/</t>
    </r>
    <r>
      <rPr>
        <b/>
        <sz val="10"/>
        <rFont val="宋体"/>
        <family val="3"/>
        <charset val="134"/>
      </rPr>
      <t xml:space="preserve">日期
</t>
    </r>
    <r>
      <rPr>
        <b/>
        <sz val="10"/>
        <rFont val="Times New Roman"/>
        <family val="1"/>
      </rPr>
      <t>Customer Approval/Date</t>
    </r>
    <phoneticPr fontId="41" type="noConversion"/>
  </si>
  <si>
    <r>
      <t xml:space="preserve">   </t>
    </r>
    <r>
      <rPr>
        <b/>
        <sz val="10"/>
        <rFont val="宋体"/>
        <family val="3"/>
        <charset val="134"/>
      </rPr>
      <t>附图</t>
    </r>
    <r>
      <rPr>
        <b/>
        <sz val="10"/>
        <rFont val="Times New Roman"/>
        <family val="1"/>
      </rPr>
      <t xml:space="preserve">1 </t>
    </r>
    <r>
      <rPr>
        <b/>
        <sz val="10"/>
        <rFont val="宋体"/>
        <family val="3"/>
        <charset val="134"/>
      </rPr>
      <t>涂布示意图</t>
    </r>
    <r>
      <rPr>
        <b/>
        <sz val="10"/>
        <rFont val="Times New Roman"/>
        <family val="1"/>
      </rPr>
      <t xml:space="preserve"> Unit</t>
    </r>
    <r>
      <rPr>
        <b/>
        <sz val="10"/>
        <rFont val="宋体"/>
        <family val="3"/>
        <charset val="134"/>
      </rPr>
      <t>：</t>
    </r>
    <r>
      <rPr>
        <b/>
        <sz val="10"/>
        <rFont val="Times New Roman"/>
        <family val="1"/>
      </rPr>
      <t>mm</t>
    </r>
    <phoneticPr fontId="41" type="noConversion"/>
  </si>
  <si>
    <t>动态10万级</t>
    <phoneticPr fontId="41" type="noConversion"/>
  </si>
  <si>
    <t>1、对不合格品进行标识、隔离；
2、通知质检按照不合格品处理流程处理；
3、更换新一卷铜箔</t>
    <phoneticPr fontId="41" type="noConversion"/>
  </si>
  <si>
    <t>负极涂布机头机尾小环境</t>
    <phoneticPr fontId="41" type="noConversion"/>
  </si>
  <si>
    <t>≤45%RH</t>
    <phoneticPr fontId="41" type="noConversion"/>
  </si>
  <si>
    <r>
      <rPr>
        <b/>
        <sz val="10"/>
        <rFont val="宋体"/>
        <family val="3"/>
        <charset val="134"/>
      </rPr>
      <t xml:space="preserve">编制
</t>
    </r>
    <r>
      <rPr>
        <b/>
        <sz val="10"/>
        <rFont val="Times New Roman"/>
        <family val="1"/>
      </rPr>
      <t>Editor</t>
    </r>
  </si>
  <si>
    <r>
      <rPr>
        <b/>
        <sz val="10"/>
        <rFont val="宋体"/>
        <family val="3"/>
        <charset val="134"/>
      </rPr>
      <t xml:space="preserve">会签
</t>
    </r>
    <r>
      <rPr>
        <b/>
        <sz val="10"/>
        <rFont val="Times New Roman"/>
        <family val="1"/>
      </rPr>
      <t>Countersign</t>
    </r>
  </si>
  <si>
    <t>☆</t>
    <phoneticPr fontId="41" type="noConversion"/>
  </si>
  <si>
    <t>/</t>
    <phoneticPr fontId="41" type="noConversion"/>
  </si>
  <si>
    <t>1、点检
2、定期校验</t>
  </si>
  <si>
    <t>1、质检员检验
2、定期校验万分尺</t>
  </si>
  <si>
    <t>1、首检/过程检检验并记录
2、定期校验万分尺</t>
  </si>
  <si>
    <t>1、机头员工输入、核对
2、设备自动控制</t>
    <phoneticPr fontId="41" type="noConversion"/>
  </si>
  <si>
    <t>1、机尾员工输入、核对
2、设备自动控制</t>
    <phoneticPr fontId="41" type="noConversion"/>
  </si>
  <si>
    <t>烘箱风速</t>
    <phoneticPr fontId="41" type="noConversion"/>
  </si>
  <si>
    <t>涂布工序</t>
    <phoneticPr fontId="41" type="noConversion"/>
  </si>
  <si>
    <t>过滤器</t>
    <phoneticPr fontId="41" type="noConversion"/>
  </si>
  <si>
    <t>筛网目数</t>
  </si>
  <si>
    <t>目视标签</t>
  </si>
  <si>
    <t>更换前确认</t>
    <phoneticPr fontId="41" type="noConversion"/>
  </si>
  <si>
    <t>1、设备点检过滤器
2、更换并记录</t>
    <phoneticPr fontId="41" type="noConversion"/>
  </si>
  <si>
    <t>1、目数不符通知班组长进行确认更换
2、超期未更换/清洗时，暂停生产</t>
    <phoneticPr fontId="41" type="noConversion"/>
  </si>
  <si>
    <r>
      <rPr>
        <sz val="10"/>
        <rFont val="宋体"/>
        <family val="3"/>
        <charset val="134"/>
      </rPr>
      <t>清洗要求</t>
    </r>
  </si>
  <si>
    <r>
      <rPr>
        <sz val="10"/>
        <rFont val="宋体"/>
        <family val="3"/>
        <charset val="134"/>
      </rPr>
      <t>表面无大面积结块浆料
筛网无破损</t>
    </r>
  </si>
  <si>
    <r>
      <rPr>
        <sz val="10"/>
        <rFont val="宋体"/>
        <family val="3"/>
        <charset val="134"/>
      </rPr>
      <t>目视</t>
    </r>
  </si>
  <si>
    <t>班组进行过滤器清洗并记录</t>
    <phoneticPr fontId="41" type="noConversion"/>
  </si>
  <si>
    <t>1、继续清洗至无结块浆料残留
2、对破损筛网报废处理</t>
    <phoneticPr fontId="41" type="noConversion"/>
  </si>
  <si>
    <r>
      <rPr>
        <sz val="10"/>
        <rFont val="宋体"/>
        <family val="3"/>
        <charset val="134"/>
      </rPr>
      <t>筛网寿命</t>
    </r>
  </si>
  <si>
    <r>
      <rPr>
        <sz val="10"/>
        <rFont val="宋体"/>
        <family val="3"/>
        <charset val="134"/>
      </rPr>
      <t>安装前确认</t>
    </r>
  </si>
  <si>
    <r>
      <rPr>
        <sz val="10"/>
        <rFont val="宋体"/>
        <family val="3"/>
        <charset val="134"/>
      </rPr>
      <t>每次</t>
    </r>
  </si>
  <si>
    <t>点检并记录</t>
    <phoneticPr fontId="41" type="noConversion"/>
  </si>
  <si>
    <t>1、更换筛网
2、通知质检按照不合格品处理流程处理</t>
    <phoneticPr fontId="41" type="noConversion"/>
  </si>
  <si>
    <t>浆料磁棒</t>
    <phoneticPr fontId="41" type="noConversion"/>
  </si>
  <si>
    <t>磁棒清洗</t>
  </si>
  <si>
    <t>磁棒表面无浆料和异物</t>
    <phoneticPr fontId="41" type="noConversion"/>
  </si>
  <si>
    <t>目视白色无纺布无异物</t>
    <phoneticPr fontId="41" type="noConversion"/>
  </si>
  <si>
    <t>每周</t>
    <phoneticPr fontId="41" type="noConversion"/>
  </si>
  <si>
    <t>1、设备点检并记录
2、班组进行清洗并记录</t>
    <phoneticPr fontId="41" type="noConversion"/>
  </si>
  <si>
    <t>班组对磁棒进行重新清洗直至符合要求</t>
    <phoneticPr fontId="41" type="noConversion"/>
  </si>
  <si>
    <r>
      <t>L151F25A</t>
    </r>
    <r>
      <rPr>
        <b/>
        <sz val="12"/>
        <rFont val="宋体"/>
        <family val="3"/>
        <charset val="134"/>
      </rPr>
      <t>负极涂布控制计划附表</t>
    </r>
    <phoneticPr fontId="41" type="noConversion"/>
  </si>
  <si>
    <t>Z3-C1</t>
    <phoneticPr fontId="41" type="noConversion"/>
  </si>
  <si>
    <t>OP365</t>
    <phoneticPr fontId="41" type="noConversion"/>
  </si>
  <si>
    <t>OP370</t>
    <phoneticPr fontId="41" type="noConversion"/>
  </si>
  <si>
    <t>OP375</t>
    <phoneticPr fontId="41" type="noConversion"/>
  </si>
  <si>
    <t>OP375</t>
    <phoneticPr fontId="41" type="noConversion"/>
  </si>
  <si>
    <t>OP380</t>
    <phoneticPr fontId="41" type="noConversion"/>
  </si>
  <si>
    <t>4.5（-0.5,1.5）μm</t>
    <phoneticPr fontId="41" type="noConversion"/>
  </si>
  <si>
    <t>Z3-C1</t>
    <phoneticPr fontId="41" type="noConversion"/>
  </si>
  <si>
    <t>1、对不合格品进行标识隔离、通知质检按照不合格品处理流程进行处理；
2、操作人员调整涂布间隙、更换不同规格垫片；
3、调整完成后对产品进行取样检验，持续两次取样合格后恢复正常检验。</t>
  </si>
  <si>
    <t>1、对不合格品进行标识隔离、通知质检按照不合格品处理流程进行处理；
2、操作人员调整涂布间隙、更换不同规格垫片；
3、调整完成后对产品进行收1000米小卷检验，持续两卷合格后恢复正常检验。</t>
  </si>
  <si>
    <t>≤0.8%</t>
    <phoneticPr fontId="41" type="noConversion"/>
  </si>
  <si>
    <r>
      <rPr>
        <b/>
        <sz val="10"/>
        <rFont val="宋体"/>
        <family val="3"/>
        <charset val="134"/>
      </rPr>
      <t xml:space="preserve">检验
</t>
    </r>
    <r>
      <rPr>
        <b/>
        <sz val="10"/>
        <rFont val="Times New Roman"/>
        <family val="1"/>
      </rPr>
      <t>Inspection</t>
    </r>
    <phoneticPr fontId="41" type="noConversion"/>
  </si>
  <si>
    <r>
      <rPr>
        <b/>
        <sz val="10"/>
        <rFont val="宋体"/>
        <family val="3"/>
        <charset val="134"/>
      </rPr>
      <t xml:space="preserve">样本
</t>
    </r>
    <r>
      <rPr>
        <b/>
        <sz val="10"/>
        <rFont val="Times New Roman"/>
        <family val="1"/>
      </rPr>
      <t>Sample</t>
    </r>
    <phoneticPr fontId="41" type="noConversion"/>
  </si>
  <si>
    <r>
      <rPr>
        <b/>
        <sz val="10"/>
        <rFont val="宋体"/>
        <family val="3"/>
        <charset val="134"/>
      </rPr>
      <t xml:space="preserve">容量
</t>
    </r>
    <r>
      <rPr>
        <b/>
        <sz val="10"/>
        <rFont val="Times New Roman"/>
        <family val="1"/>
      </rPr>
      <t>Size</t>
    </r>
    <phoneticPr fontId="41" type="noConversion"/>
  </si>
  <si>
    <r>
      <rPr>
        <b/>
        <sz val="10"/>
        <rFont val="宋体"/>
        <family val="3"/>
        <charset val="134"/>
      </rPr>
      <t xml:space="preserve">频率
</t>
    </r>
    <r>
      <rPr>
        <b/>
        <sz val="10"/>
        <rFont val="Times New Roman"/>
        <family val="1"/>
      </rPr>
      <t>Frequency</t>
    </r>
    <phoneticPr fontId="41" type="noConversion"/>
  </si>
  <si>
    <r>
      <rPr>
        <b/>
        <sz val="10"/>
        <rFont val="宋体"/>
        <family val="3"/>
        <charset val="134"/>
      </rPr>
      <t xml:space="preserve">生产
</t>
    </r>
    <r>
      <rPr>
        <b/>
        <sz val="10"/>
        <rFont val="Times New Roman"/>
        <family val="1"/>
      </rPr>
      <t>production</t>
    </r>
    <phoneticPr fontId="41" type="noConversion"/>
  </si>
  <si>
    <t>工序</t>
  </si>
  <si>
    <t>评价/测量设备</t>
  </si>
  <si>
    <t>防错装置</t>
  </si>
  <si>
    <t>防错级别</t>
  </si>
  <si>
    <t>防错检出结果</t>
  </si>
  <si>
    <t>防错装置功能描述</t>
  </si>
  <si>
    <t>防错验证类型</t>
  </si>
  <si>
    <t>验证方法</t>
  </si>
  <si>
    <t>防错验证频次</t>
  </si>
  <si>
    <t>防错样件名称</t>
  </si>
  <si>
    <t>防错样件编号</t>
  </si>
  <si>
    <t>防错样件类型（缺陷/计量）</t>
    <phoneticPr fontId="41" type="noConversion"/>
  </si>
  <si>
    <t>防错样件规格</t>
  </si>
  <si>
    <t>防错样件精度</t>
  </si>
  <si>
    <t>防错样件校准/确认频次</t>
  </si>
  <si>
    <t>反应计划</t>
  </si>
  <si>
    <t>警告</t>
  </si>
  <si>
    <t>NG</t>
  </si>
  <si>
    <t>其中防错级别（能够根据判定做出反应的装置）有三种：</t>
  </si>
  <si>
    <t>防错验证方式有三种：</t>
    <phoneticPr fontId="41" type="noConversion"/>
  </si>
  <si>
    <t>防错样件类型有两种：</t>
    <phoneticPr fontId="41" type="noConversion"/>
  </si>
  <si>
    <t>（1）防止：不制造缺陷，具有闭环控制功能的防错装置。如，涂布面密度β射线闭环控制。
（2）警告：当错误发生时可以自动发出信号（报警、提示界面等）的防错装置。如，充氦气机构无氦气时可报警。
（3）发现：不传递缺陷，当出现不合格品时系统会自动挑出的防错装置，比如装配线上电芯称重不合格后会挑选出来。</t>
  </si>
  <si>
    <t>（1）挑战参数：设置设备参数不符合工艺要求，看设备是否发出警告；
（2）挑战件：具有已知规范、经校准并且可追溯到标准的产品或工装，其预期结果（通过或不通过）用于确认防错装置或检具（如通止规）的功能性；
（3）OK/NG样件：当挑战件无法获取时，可使用合格/不合格的产品或工装作为防错样件，验证防错装置的功能性；</t>
    <phoneticPr fontId="41" type="noConversion"/>
  </si>
  <si>
    <t xml:space="preserve">（1）计量样件：防错样件的规格是可定量的。
（2）缺陷样件：防错样件的规格是不可定量的，是指通过防错装置时能证明不符合操作或者能被探测出的外观缺陷的产品/工装。
</t>
    <phoneticPr fontId="41" type="noConversion"/>
  </si>
  <si>
    <t>涂布</t>
  </si>
  <si>
    <t>涂布机</t>
  </si>
  <si>
    <t>β测重仪</t>
  </si>
  <si>
    <t>面密度不符合CP时，报警提示</t>
    <phoneticPr fontId="41" type="noConversion"/>
  </si>
  <si>
    <t>1次/周</t>
    <phoneticPr fontId="41" type="noConversion"/>
  </si>
  <si>
    <t>1、暂停生产.
2、对不合格品进行标识隔离、通知质量工程师按照不合格品处理流程进行处理.</t>
  </si>
  <si>
    <t>文审
DCC</t>
    <phoneticPr fontId="41" type="noConversion"/>
  </si>
  <si>
    <t>审核
Audit</t>
    <phoneticPr fontId="41" type="noConversion"/>
  </si>
  <si>
    <t>会签
Countersign</t>
    <phoneticPr fontId="41" type="noConversion"/>
  </si>
  <si>
    <t>批准
Approval</t>
    <phoneticPr fontId="41" type="noConversion"/>
  </si>
  <si>
    <t>文控
DCC</t>
    <phoneticPr fontId="41" type="noConversion"/>
  </si>
  <si>
    <t>李晓坡</t>
    <phoneticPr fontId="41" type="noConversion"/>
  </si>
  <si>
    <t>/</t>
    <phoneticPr fontId="41" type="noConversion"/>
  </si>
  <si>
    <t>/</t>
    <phoneticPr fontId="41" type="noConversion"/>
  </si>
  <si>
    <t>每4小时</t>
    <phoneticPr fontId="41" type="noConversion"/>
  </si>
  <si>
    <t>每次</t>
    <phoneticPr fontId="41" type="noConversion"/>
  </si>
  <si>
    <t>更换前确认/1次</t>
    <phoneticPr fontId="41" type="noConversion"/>
  </si>
  <si>
    <t>首检</t>
    <phoneticPr fontId="41" type="noConversion"/>
  </si>
  <si>
    <t>1次</t>
    <phoneticPr fontId="41" type="noConversion"/>
  </si>
  <si>
    <t>每4小时</t>
    <phoneticPr fontId="41" type="noConversion"/>
  </si>
  <si>
    <t>每4小时</t>
    <phoneticPr fontId="41" type="noConversion"/>
  </si>
  <si>
    <r>
      <t xml:space="preserve">编制
</t>
    </r>
    <r>
      <rPr>
        <b/>
        <sz val="10"/>
        <rFont val="Times New Roman"/>
        <family val="1"/>
      </rPr>
      <t>Editor</t>
    </r>
    <phoneticPr fontId="41" type="noConversion"/>
  </si>
  <si>
    <r>
      <t xml:space="preserve">批准
</t>
    </r>
    <r>
      <rPr>
        <b/>
        <sz val="10"/>
        <rFont val="Times New Roman"/>
        <family val="1"/>
      </rPr>
      <t>Approval</t>
    </r>
    <phoneticPr fontId="41" type="noConversion"/>
  </si>
  <si>
    <t>流程归档后自动生效</t>
    <phoneticPr fontId="41" type="noConversion"/>
  </si>
  <si>
    <t>/</t>
    <phoneticPr fontId="41" type="noConversion"/>
  </si>
  <si>
    <t>极片A面面密度（首检中值确认）</t>
    <phoneticPr fontId="41" type="noConversion"/>
  </si>
  <si>
    <t>极片A面面密度</t>
    <phoneticPr fontId="41" type="noConversion"/>
  </si>
  <si>
    <t>菲林尺/影像测量仪（0.1mm）</t>
    <phoneticPr fontId="41" type="noConversion"/>
  </si>
  <si>
    <t>菲林尺（0.1mm）/影像测量仪</t>
    <phoneticPr fontId="41" type="noConversion"/>
  </si>
  <si>
    <t>1、机尾员工检验
2、定期校验</t>
    <phoneticPr fontId="41" type="noConversion"/>
  </si>
  <si>
    <t>江苏基地/JS中试工厂/Y16试制车间</t>
    <phoneticPr fontId="41" type="noConversion"/>
  </si>
  <si>
    <t>江苏基地/JS中试工厂/Y16试制车间（检验）</t>
    <phoneticPr fontId="41" type="noConversion"/>
  </si>
  <si>
    <t>每班</t>
    <phoneticPr fontId="41" type="noConversion"/>
  </si>
  <si>
    <t>每班</t>
    <phoneticPr fontId="41" type="noConversion"/>
  </si>
  <si>
    <t>5-10mm</t>
    <phoneticPr fontId="41" type="noConversion"/>
  </si>
  <si>
    <t>1次/15min</t>
    <phoneticPr fontId="41" type="noConversion"/>
  </si>
  <si>
    <t>王春光</t>
    <phoneticPr fontId="41" type="noConversion"/>
  </si>
  <si>
    <t>发放份数</t>
    <phoneticPr fontId="41" type="noConversion"/>
  </si>
  <si>
    <t>王春光</t>
    <phoneticPr fontId="41" type="noConversion"/>
  </si>
  <si>
    <t>陈颖</t>
    <phoneticPr fontId="41" type="noConversion"/>
  </si>
  <si>
    <t>洁净度仪</t>
    <phoneticPr fontId="41" type="noConversion"/>
  </si>
  <si>
    <t>陈颖</t>
    <phoneticPr fontId="41" type="noConversion"/>
  </si>
  <si>
    <t>磁感应强度</t>
  </si>
  <si>
    <t>☆</t>
    <phoneticPr fontId="41" type="noConversion"/>
  </si>
  <si>
    <t>≥12000GS</t>
    <phoneticPr fontId="41" type="noConversion"/>
  </si>
  <si>
    <t>三个月</t>
  </si>
  <si>
    <t>负极涂布工序控制计划
Control Plan of Anode Coating</t>
    <phoneticPr fontId="41" type="noConversion"/>
  </si>
  <si>
    <t>负极涂布</t>
    <phoneticPr fontId="41" type="noConversion"/>
  </si>
  <si>
    <t>1次</t>
    <phoneticPr fontId="41" type="noConversion"/>
  </si>
  <si>
    <t>钱建业</t>
    <phoneticPr fontId="41" type="noConversion"/>
  </si>
  <si>
    <t>钱建业</t>
    <phoneticPr fontId="41" type="noConversion"/>
  </si>
  <si>
    <r>
      <rPr>
        <b/>
        <sz val="10"/>
        <color theme="1"/>
        <rFont val="宋体"/>
        <family val="3"/>
        <charset val="134"/>
      </rPr>
      <t xml:space="preserve">阶段
</t>
    </r>
    <r>
      <rPr>
        <b/>
        <sz val="10"/>
        <color theme="1"/>
        <rFont val="Times New Roman"/>
        <family val="1"/>
      </rPr>
      <t>Stage</t>
    </r>
  </si>
  <si>
    <r>
      <rPr>
        <b/>
        <sz val="10"/>
        <color theme="1"/>
        <rFont val="宋体"/>
        <family val="3"/>
        <charset val="134"/>
      </rPr>
      <t xml:space="preserve">项目名称
</t>
    </r>
    <r>
      <rPr>
        <b/>
        <sz val="10"/>
        <color theme="1"/>
        <rFont val="Times New Roman"/>
        <family val="1"/>
      </rPr>
      <t xml:space="preserve">Project </t>
    </r>
  </si>
  <si>
    <r>
      <t>L246N183A</t>
    </r>
    <r>
      <rPr>
        <b/>
        <sz val="10"/>
        <color theme="1"/>
        <rFont val="宋体"/>
        <family val="3"/>
        <charset val="134"/>
      </rPr>
      <t>锂离子电池研发</t>
    </r>
    <phoneticPr fontId="41" type="noConversion"/>
  </si>
  <si>
    <r>
      <rPr>
        <b/>
        <sz val="10"/>
        <color theme="1"/>
        <rFont val="宋体"/>
        <family val="3"/>
        <charset val="134"/>
      </rPr>
      <t xml:space="preserve">项目编号
</t>
    </r>
    <r>
      <rPr>
        <b/>
        <sz val="10"/>
        <color theme="1"/>
        <rFont val="Times New Roman"/>
        <family val="1"/>
      </rPr>
      <t>Project NO.</t>
    </r>
  </si>
  <si>
    <t>PM240707</t>
    <phoneticPr fontId="41" type="noConversion"/>
  </si>
  <si>
    <r>
      <rPr>
        <b/>
        <sz val="10"/>
        <color theme="1"/>
        <rFont val="宋体"/>
        <family val="3"/>
        <charset val="134"/>
      </rPr>
      <t xml:space="preserve">研发经理
</t>
    </r>
    <r>
      <rPr>
        <b/>
        <sz val="10"/>
        <color theme="1"/>
        <rFont val="Times New Roman"/>
        <family val="1"/>
      </rPr>
      <t>Development Manager</t>
    </r>
  </si>
  <si>
    <t>郭少华</t>
    <phoneticPr fontId="41" type="noConversion"/>
  </si>
  <si>
    <t>L246N183A</t>
    <phoneticPr fontId="41" type="noConversion"/>
  </si>
  <si>
    <t>L246N183A负极合格浆料</t>
    <phoneticPr fontId="41" type="noConversion"/>
  </si>
  <si>
    <t>（461.6±0.5）mm
见附图1</t>
    <phoneticPr fontId="41" type="noConversion"/>
  </si>
  <si>
    <t>每卷</t>
    <phoneticPr fontId="41" type="noConversion"/>
  </si>
  <si>
    <r>
      <rPr>
        <b/>
        <sz val="12"/>
        <color theme="1"/>
        <rFont val="等线"/>
        <family val="3"/>
        <charset val="134"/>
      </rPr>
      <t xml:space="preserve">           JSZ3-C1-</t>
    </r>
    <r>
      <rPr>
        <b/>
        <i/>
        <sz val="12"/>
        <color theme="1"/>
        <rFont val="等线"/>
        <family val="3"/>
        <charset val="134"/>
      </rPr>
      <t>L246N183A</t>
    </r>
    <r>
      <rPr>
        <b/>
        <sz val="12"/>
        <color theme="1"/>
        <rFont val="等线"/>
        <family val="3"/>
        <charset val="134"/>
      </rPr>
      <t>型号</t>
    </r>
    <r>
      <rPr>
        <b/>
        <i/>
        <sz val="12"/>
        <color theme="1"/>
        <rFont val="等线"/>
        <family val="3"/>
        <charset val="134"/>
      </rPr>
      <t>涂布</t>
    </r>
    <r>
      <rPr>
        <b/>
        <sz val="12"/>
        <color theme="1"/>
        <rFont val="等线"/>
        <family val="3"/>
        <charset val="134"/>
      </rPr>
      <t>工序防错清</t>
    </r>
    <r>
      <rPr>
        <b/>
        <sz val="12"/>
        <rFont val="等线"/>
        <family val="3"/>
        <charset val="134"/>
      </rPr>
      <t>单</t>
    </r>
    <phoneticPr fontId="41" type="noConversion"/>
  </si>
  <si>
    <t>L246N183A</t>
    <phoneticPr fontId="41" type="noConversion"/>
  </si>
  <si>
    <t>PM240707</t>
    <phoneticPr fontId="41" type="noConversion"/>
  </si>
  <si>
    <t>郭少华</t>
    <phoneticPr fontId="41" type="noConversion"/>
  </si>
  <si>
    <t>150目+200目</t>
    <phoneticPr fontId="41" type="noConversion"/>
  </si>
  <si>
    <t>使用时间≤24个月</t>
    <phoneticPr fontId="41" type="noConversion"/>
  </si>
  <si>
    <t>1、设备工程师更换磁棒
2、对已产出可疑产品进行追溯，识别并隔离异常产品，并通知工艺、质量工程师进行判定。</t>
    <phoneticPr fontId="41" type="noConversion"/>
  </si>
  <si>
    <r>
      <rPr>
        <sz val="10"/>
        <rFont val="宋体"/>
        <family val="3"/>
        <charset val="134"/>
      </rPr>
      <t>（</t>
    </r>
    <r>
      <rPr>
        <sz val="10"/>
        <rFont val="Arial"/>
        <family val="2"/>
      </rPr>
      <t>5-25</t>
    </r>
    <r>
      <rPr>
        <sz val="10"/>
        <rFont val="宋体"/>
        <family val="3"/>
        <charset val="134"/>
      </rPr>
      <t>）</t>
    </r>
    <r>
      <rPr>
        <sz val="10"/>
        <rFont val="Arial"/>
        <family val="2"/>
      </rPr>
      <t>m/min</t>
    </r>
    <phoneticPr fontId="41" type="noConversion"/>
  </si>
  <si>
    <t>1、机尾员工输入、核对
2、设备自动控制</t>
    <phoneticPr fontId="41" type="noConversion"/>
  </si>
  <si>
    <t>单面（60-180）μm
双面（120-300）μm</t>
    <phoneticPr fontId="41" type="noConversion"/>
  </si>
  <si>
    <t>(10-100）rpm/min</t>
    <phoneticPr fontId="41" type="noConversion"/>
  </si>
  <si>
    <t>（70±50）N</t>
    <phoneticPr fontId="41" type="noConversion"/>
  </si>
  <si>
    <t>（85±50）N</t>
    <phoneticPr fontId="41" type="noConversion"/>
  </si>
  <si>
    <t>（100±50）N</t>
    <phoneticPr fontId="41" type="noConversion"/>
  </si>
  <si>
    <t>放卷
（张力）</t>
  </si>
  <si>
    <t>后托
（张力）</t>
  </si>
  <si>
    <t>收卷
（张力）</t>
  </si>
  <si>
    <t>六个月</t>
    <phoneticPr fontId="41" type="noConversion"/>
  </si>
  <si>
    <t>六个月</t>
    <phoneticPr fontId="41" type="noConversion"/>
  </si>
  <si>
    <t>≥10000GS</t>
    <phoneticPr fontId="41" type="noConversion"/>
  </si>
  <si>
    <t>1、设备工程师更换磁棒
2、对已产出可疑产品进行追溯，识别并隔离异常产品，并通知工艺、质量工程师进行判定。</t>
    <phoneticPr fontId="41" type="noConversion"/>
  </si>
  <si>
    <t>参照《电池单体极卷外观技术要求》</t>
    <phoneticPr fontId="41" type="noConversion"/>
  </si>
  <si>
    <t>涂布</t>
    <phoneticPr fontId="41" type="noConversion"/>
  </si>
  <si>
    <t>CCD检测仪</t>
    <phoneticPr fontId="41" type="noConversion"/>
  </si>
  <si>
    <t>涂布尺寸不符合CP时，报警提示</t>
    <phoneticPr fontId="41" type="noConversion"/>
  </si>
  <si>
    <t>1次/周</t>
    <phoneticPr fontId="41" type="noConversion"/>
  </si>
  <si>
    <t>1、点检并记录
2、质量部门对磁感应强度进行抽检
3、计量负责磁棒进厂首次校验</t>
    <phoneticPr fontId="41" type="noConversion"/>
  </si>
  <si>
    <t>RH≤60-70% 不结露</t>
    <phoneticPr fontId="41" type="noConversion"/>
  </si>
  <si>
    <t>1、点检并记录
2、质量部门对磁感应强度进行抽检
3、计量负责磁棒进厂首次校验</t>
    <phoneticPr fontId="41" type="noConversion"/>
  </si>
  <si>
    <t>钱建业</t>
    <phoneticPr fontId="41" type="noConversion"/>
  </si>
  <si>
    <t>洁净度仪</t>
    <phoneticPr fontId="41" type="noConversion"/>
  </si>
  <si>
    <t>AB面涂布泵速</t>
    <phoneticPr fontId="41" type="noConversion"/>
  </si>
  <si>
    <t>PM240707-015</t>
    <phoneticPr fontId="41" type="noConversion"/>
  </si>
  <si>
    <t>涂布后，极片粘附力</t>
    <phoneticPr fontId="41" type="noConversion"/>
  </si>
  <si>
    <t>极片A面（底层）面密度（首检中值确认）</t>
    <phoneticPr fontId="41" type="noConversion"/>
  </si>
  <si>
    <t>1、铜箔上机前检验并记录
2、定期校验菲林尺</t>
    <phoneticPr fontId="41" type="noConversion"/>
  </si>
  <si>
    <t>1、铜箔上机前检验
2、定期校验万分尺</t>
    <phoneticPr fontId="41" type="noConversion"/>
  </si>
  <si>
    <t>双面极片厚度极差</t>
    <phoneticPr fontId="41" type="noConversion"/>
  </si>
  <si>
    <t>双面削薄区厚度差（正常区平均厚度与涂幅区边缘8mm处厚度之差）</t>
    <phoneticPr fontId="41" type="noConversion"/>
  </si>
  <si>
    <t>单面削薄区厚度差（正常区平均厚度与涂幅区边缘8mm处厚度之差）</t>
    <phoneticPr fontId="41" type="noConversion"/>
  </si>
  <si>
    <t>极片双面
失重率</t>
    <phoneticPr fontId="41" type="noConversion"/>
  </si>
  <si>
    <t>1、铜箔上机前检验
2、定期校验取样器和电子天平</t>
    <phoneticPr fontId="41" type="noConversion"/>
  </si>
  <si>
    <t>动态10万级</t>
    <phoneticPr fontId="41" type="noConversion"/>
  </si>
  <si>
    <t>每卷</t>
    <phoneticPr fontId="41" type="noConversion"/>
  </si>
  <si>
    <t>1、操作员工每班点检</t>
    <phoneticPr fontId="41" type="noConversion"/>
  </si>
  <si>
    <t>浆料流转标识卡</t>
  </si>
  <si>
    <t>（40±1.5）g/m2</t>
    <phoneticPr fontId="41" type="noConversion"/>
  </si>
  <si>
    <t>挑战参数</t>
    <phoneticPr fontId="41" type="noConversion"/>
  </si>
  <si>
    <t>挑战参数</t>
    <phoneticPr fontId="41" type="noConversion"/>
  </si>
  <si>
    <t>通过挑战参数验证测重仪功能</t>
    <phoneticPr fontId="41" type="noConversion"/>
  </si>
  <si>
    <t>通过挑战参数验证测重仪功能</t>
    <phoneticPr fontId="41" type="noConversion"/>
  </si>
  <si>
    <t>1、员工点检并记录</t>
    <phoneticPr fontId="41" type="noConversion"/>
  </si>
  <si>
    <t>标准量块</t>
    <phoneticPr fontId="41" type="noConversion"/>
  </si>
  <si>
    <t>（517±1.0）mm</t>
    <phoneticPr fontId="41" type="noConversion"/>
  </si>
  <si>
    <t>B0</t>
    <phoneticPr fontId="41" type="noConversion"/>
  </si>
  <si>
    <r>
      <rPr>
        <b/>
        <sz val="10"/>
        <rFont val="宋体"/>
        <family val="3"/>
        <charset val="134"/>
      </rPr>
      <t>□</t>
    </r>
    <r>
      <rPr>
        <b/>
        <sz val="10"/>
        <rFont val="Times New Roman"/>
        <family val="1"/>
      </rPr>
      <t xml:space="preserve"> A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B </t>
    </r>
    <r>
      <rPr>
        <b/>
        <sz val="10"/>
        <rFont val="宋体"/>
        <family val="3"/>
        <charset val="134"/>
      </rPr>
      <t>样件</t>
    </r>
    <r>
      <rPr>
        <b/>
        <sz val="10"/>
        <rFont val="Times New Roman"/>
        <family val="1"/>
      </rPr>
      <t xml:space="preserve">        </t>
    </r>
    <r>
      <rPr>
        <b/>
        <sz val="10"/>
        <rFont val="宋体"/>
        <family val="3"/>
        <charset val="134"/>
      </rPr>
      <t>□</t>
    </r>
    <r>
      <rPr>
        <b/>
        <sz val="10"/>
        <rFont val="Times New Roman"/>
        <family val="1"/>
      </rPr>
      <t xml:space="preserve">C </t>
    </r>
    <r>
      <rPr>
        <b/>
        <sz val="10"/>
        <rFont val="宋体"/>
        <family val="3"/>
        <charset val="134"/>
      </rPr>
      <t>样件</t>
    </r>
    <r>
      <rPr>
        <b/>
        <sz val="10"/>
        <rFont val="Times New Roman"/>
        <family val="1"/>
      </rPr>
      <t xml:space="preserve">            </t>
    </r>
    <r>
      <rPr>
        <b/>
        <sz val="10"/>
        <rFont val="宋体"/>
        <family val="3"/>
        <charset val="134"/>
      </rPr>
      <t>□试生产</t>
    </r>
    <r>
      <rPr>
        <b/>
        <sz val="10"/>
        <rFont val="Times New Roman"/>
        <family val="1"/>
      </rPr>
      <t xml:space="preserve">              </t>
    </r>
    <r>
      <rPr>
        <b/>
        <sz val="10"/>
        <rFont val="宋体"/>
        <family val="3"/>
        <charset val="134"/>
      </rPr>
      <t xml:space="preserve">□量产
</t>
    </r>
    <r>
      <rPr>
        <b/>
        <sz val="10"/>
        <rFont val="Times New Roman"/>
        <family val="1"/>
      </rPr>
      <t>A-Sample         B-Sample         C-Sample      Pre-production      Production</t>
    </r>
    <phoneticPr fontId="41" type="noConversion"/>
  </si>
  <si>
    <t>2024.11.29</t>
    <phoneticPr fontId="41" type="noConversion"/>
  </si>
  <si>
    <t>B1</t>
    <phoneticPr fontId="41" type="noConversion"/>
  </si>
  <si>
    <t>A0</t>
    <phoneticPr fontId="41" type="noConversion"/>
  </si>
  <si>
    <t>2024.7.29</t>
    <phoneticPr fontId="41" type="noConversion"/>
  </si>
  <si>
    <t>2025.02.17</t>
    <phoneticPr fontId="41" type="noConversion"/>
  </si>
  <si>
    <t>陈颖</t>
    <phoneticPr fontId="41" type="noConversion"/>
  </si>
  <si>
    <t>高博、郭少华、杨洁、冯震世、徐建伟、顾梦洁、邢晨、丁正亚</t>
    <phoneticPr fontId="41" type="noConversion"/>
  </si>
  <si>
    <t>B2</t>
    <phoneticPr fontId="41" type="noConversion"/>
  </si>
  <si>
    <t>B2</t>
    <phoneticPr fontId="41" type="noConversion"/>
  </si>
  <si>
    <t>2025.06.16</t>
    <phoneticPr fontId="41" type="noConversion"/>
  </si>
  <si>
    <t>两侧留白区宽度</t>
    <phoneticPr fontId="41" type="noConversion"/>
  </si>
  <si>
    <t>（27.7±0.7）mm
见附图1</t>
    <phoneticPr fontId="41" type="noConversion"/>
  </si>
  <si>
    <t>7天/换型</t>
    <phoneticPr fontId="41" type="noConversion"/>
  </si>
  <si>
    <t>7天/换型</t>
    <phoneticPr fontId="41" type="noConversion"/>
  </si>
  <si>
    <t>单面削薄区厚度差（正常区平均厚度与涂幅区边缘2mm处厚度之差）</t>
    <phoneticPr fontId="41" type="noConversion"/>
  </si>
  <si>
    <t>双面削薄区厚度差（正常区平均厚度与涂幅区边缘2mm处厚度之差）</t>
    <phoneticPr fontId="41" type="noConversion"/>
  </si>
  <si>
    <r>
      <rPr>
        <sz val="10"/>
        <rFont val="宋体"/>
        <family val="3"/>
        <charset val="134"/>
      </rPr>
      <t>（</t>
    </r>
    <r>
      <rPr>
        <sz val="10"/>
        <rFont val="Arial"/>
        <family val="2"/>
      </rPr>
      <t>0.0</t>
    </r>
    <r>
      <rPr>
        <sz val="10"/>
        <rFont val="宋体"/>
        <family val="3"/>
        <charset val="134"/>
      </rPr>
      <t>～</t>
    </r>
    <r>
      <rPr>
        <sz val="10"/>
        <rFont val="Arial"/>
        <family val="2"/>
      </rPr>
      <t>5.0</t>
    </r>
    <r>
      <rPr>
        <sz val="10"/>
        <rFont val="宋体"/>
        <family val="3"/>
        <charset val="134"/>
      </rPr>
      <t>）</t>
    </r>
    <r>
      <rPr>
        <sz val="10"/>
        <rFont val="Arial"/>
        <family val="2"/>
      </rPr>
      <t>μm</t>
    </r>
    <phoneticPr fontId="41" type="noConversion"/>
  </si>
  <si>
    <t>（48.1±1.5）g /m2 
见附表2</t>
    <phoneticPr fontId="41" type="noConversion"/>
  </si>
  <si>
    <t xml:space="preserve">（96.1±1.5）g /m2 </t>
    <phoneticPr fontId="41" type="noConversion"/>
  </si>
  <si>
    <t>（96.1±1.5）g/m2</t>
    <phoneticPr fontId="41" type="noConversion"/>
  </si>
  <si>
    <t xml:space="preserve">（192.1±2.9）g/m2     </t>
    <phoneticPr fontId="41" type="noConversion"/>
  </si>
  <si>
    <t xml:space="preserve">（192.1±2.3）g/m2     </t>
    <phoneticPr fontId="41" type="noConversion"/>
  </si>
  <si>
    <r>
      <rPr>
        <sz val="10"/>
        <color theme="1"/>
        <rFont val="宋体"/>
        <family val="3"/>
        <charset val="134"/>
      </rPr>
      <t>（单面削薄量</t>
    </r>
    <r>
      <rPr>
        <sz val="10"/>
        <color theme="1"/>
        <rFont val="Arial"/>
        <family val="2"/>
      </rPr>
      <t>-2.0μm</t>
    </r>
    <r>
      <rPr>
        <sz val="10"/>
        <color theme="1"/>
        <rFont val="宋体"/>
        <family val="3"/>
        <charset val="134"/>
      </rPr>
      <t>）</t>
    </r>
    <r>
      <rPr>
        <sz val="10"/>
        <color theme="1"/>
        <rFont val="Arial"/>
        <family val="2"/>
      </rPr>
      <t xml:space="preserve">~
</t>
    </r>
    <r>
      <rPr>
        <sz val="10"/>
        <color theme="1"/>
        <rFont val="宋体"/>
        <family val="3"/>
        <charset val="134"/>
      </rPr>
      <t>（单面削薄量</t>
    </r>
    <r>
      <rPr>
        <sz val="10"/>
        <color theme="1"/>
        <rFont val="Arial"/>
        <family val="2"/>
      </rPr>
      <t>+6.0μm</t>
    </r>
    <r>
      <rPr>
        <sz val="10"/>
        <color theme="1"/>
        <rFont val="宋体"/>
        <family val="3"/>
        <charset val="134"/>
      </rPr>
      <t>）</t>
    </r>
    <phoneticPr fontId="41" type="noConversion"/>
  </si>
  <si>
    <r>
      <rPr>
        <sz val="10"/>
        <rFont val="宋体"/>
        <family val="3"/>
        <charset val="134"/>
      </rPr>
      <t>（单面削薄量</t>
    </r>
    <r>
      <rPr>
        <sz val="10"/>
        <rFont val="Arial"/>
        <family val="2"/>
      </rPr>
      <t>-2μm</t>
    </r>
    <r>
      <rPr>
        <sz val="10"/>
        <rFont val="宋体"/>
        <family val="3"/>
        <charset val="134"/>
      </rPr>
      <t>～单面削薄量</t>
    </r>
    <r>
      <rPr>
        <sz val="10"/>
        <rFont val="Arial"/>
        <family val="2"/>
      </rPr>
      <t>+5.0μm)</t>
    </r>
    <phoneticPr fontId="41" type="noConversion"/>
  </si>
  <si>
    <t>每卷</t>
    <phoneticPr fontId="41" type="noConversion"/>
  </si>
  <si>
    <t>首检1次
过程检1次
尾检1次</t>
    <phoneticPr fontId="41" type="noConversion"/>
  </si>
  <si>
    <t>离线测厚仪
（0.1μm）</t>
    <phoneticPr fontId="41" type="noConversion"/>
  </si>
  <si>
    <t>1、首检/过程检检验并记录
2、定期校验离线测厚仪</t>
    <phoneticPr fontId="41" type="noConversion"/>
  </si>
  <si>
    <t>负极涂布机φ44.28mm取样器</t>
    <phoneticPr fontId="41" type="noConversion"/>
  </si>
  <si>
    <t>每天</t>
    <phoneticPr fontId="41" type="noConversion"/>
  </si>
  <si>
    <t>高博、郭少华、杨洁、冯震世、徐建伟、顾梦洁、邢晨、丁正亚</t>
    <phoneticPr fontId="41" type="noConversion"/>
  </si>
  <si>
    <t>负极涂布机
(△)
φ44.28mm取样器</t>
    <phoneticPr fontId="41" type="noConversion"/>
  </si>
  <si>
    <t>极片A面+B面（底层）面密度（首检中值确认)</t>
    <phoneticPr fontId="41" type="noConversion"/>
  </si>
  <si>
    <t xml:space="preserve">（144.1±2.2）g /m2   </t>
    <phoneticPr fontId="41" type="noConversion"/>
  </si>
  <si>
    <t>A样首版发行</t>
    <phoneticPr fontId="41" type="noConversion"/>
  </si>
  <si>
    <r>
      <t>单面面密度由（</t>
    </r>
    <r>
      <rPr>
        <sz val="11"/>
        <rFont val="Arial"/>
        <family val="2"/>
      </rPr>
      <t>100.8</t>
    </r>
    <r>
      <rPr>
        <sz val="11"/>
        <rFont val="宋体"/>
        <family val="3"/>
        <charset val="134"/>
      </rPr>
      <t>±</t>
    </r>
    <r>
      <rPr>
        <sz val="11"/>
        <rFont val="Arial"/>
        <family val="2"/>
      </rPr>
      <t>1.5</t>
    </r>
    <r>
      <rPr>
        <sz val="11"/>
        <rFont val="宋体"/>
        <family val="3"/>
        <charset val="134"/>
      </rPr>
      <t>）</t>
    </r>
    <r>
      <rPr>
        <sz val="11"/>
        <rFont val="Arial"/>
        <family val="2"/>
      </rPr>
      <t xml:space="preserve">g/m2  </t>
    </r>
    <r>
      <rPr>
        <sz val="11"/>
        <rFont val="宋体"/>
        <family val="3"/>
        <charset val="134"/>
      </rPr>
      <t>变更为（</t>
    </r>
    <r>
      <rPr>
        <sz val="11"/>
        <rFont val="Arial"/>
        <family val="2"/>
      </rPr>
      <t>99.7±1.5</t>
    </r>
    <r>
      <rPr>
        <sz val="11"/>
        <rFont val="宋体"/>
        <family val="3"/>
        <charset val="134"/>
      </rPr>
      <t>）</t>
    </r>
    <r>
      <rPr>
        <sz val="11"/>
        <rFont val="Arial"/>
        <family val="2"/>
      </rPr>
      <t xml:space="preserve">g/m2 </t>
    </r>
    <r>
      <rPr>
        <sz val="11"/>
        <rFont val="宋体"/>
        <family val="3"/>
        <charset val="134"/>
      </rPr>
      <t xml:space="preserve">
双面面密度：由（</t>
    </r>
    <r>
      <rPr>
        <sz val="11"/>
        <rFont val="Arial"/>
        <family val="2"/>
      </rPr>
      <t>201.6</t>
    </r>
    <r>
      <rPr>
        <sz val="11"/>
        <rFont val="宋体"/>
        <family val="3"/>
        <charset val="134"/>
      </rPr>
      <t>±</t>
    </r>
    <r>
      <rPr>
        <sz val="11"/>
        <rFont val="Arial"/>
        <family val="2"/>
      </rPr>
      <t>3.0</t>
    </r>
    <r>
      <rPr>
        <sz val="11"/>
        <rFont val="宋体"/>
        <family val="3"/>
        <charset val="134"/>
      </rPr>
      <t>）</t>
    </r>
    <r>
      <rPr>
        <sz val="11"/>
        <rFont val="Arial"/>
        <family val="2"/>
      </rPr>
      <t xml:space="preserve">g /m2 </t>
    </r>
    <r>
      <rPr>
        <sz val="11"/>
        <rFont val="宋体"/>
        <family val="3"/>
        <charset val="134"/>
      </rPr>
      <t>变更为（</t>
    </r>
    <r>
      <rPr>
        <sz val="11"/>
        <rFont val="Arial"/>
        <family val="2"/>
      </rPr>
      <t>199.4±3.0</t>
    </r>
    <r>
      <rPr>
        <sz val="11"/>
        <rFont val="宋体"/>
        <family val="3"/>
        <charset val="134"/>
      </rPr>
      <t>）</t>
    </r>
    <r>
      <rPr>
        <sz val="11"/>
        <rFont val="Arial"/>
        <family val="2"/>
      </rPr>
      <t>g /m2</t>
    </r>
    <phoneticPr fontId="41" type="noConversion"/>
  </si>
  <si>
    <r>
      <rPr>
        <sz val="10"/>
        <rFont val="宋体"/>
        <family val="3"/>
        <charset val="134"/>
      </rPr>
      <t>（</t>
    </r>
    <r>
      <rPr>
        <sz val="10"/>
        <rFont val="Arial"/>
        <family val="2"/>
      </rPr>
      <t>0~6.0</t>
    </r>
    <r>
      <rPr>
        <sz val="10"/>
        <rFont val="宋体"/>
        <family val="3"/>
        <charset val="134"/>
      </rPr>
      <t>）</t>
    </r>
    <r>
      <rPr>
        <sz val="10"/>
        <rFont val="Arial"/>
        <family val="2"/>
      </rPr>
      <t>μm</t>
    </r>
    <phoneticPr fontId="41" type="noConversion"/>
  </si>
  <si>
    <r>
      <rPr>
        <sz val="11"/>
        <rFont val="宋体"/>
        <family val="3"/>
        <charset val="134"/>
      </rPr>
      <t>单面底层面密度：由（</t>
    </r>
    <r>
      <rPr>
        <sz val="11"/>
        <rFont val="Arial"/>
        <family val="2"/>
      </rPr>
      <t>49.9±1.5</t>
    </r>
    <r>
      <rPr>
        <sz val="11"/>
        <rFont val="宋体"/>
        <family val="3"/>
        <charset val="134"/>
      </rPr>
      <t>）</t>
    </r>
    <r>
      <rPr>
        <sz val="11"/>
        <rFont val="Arial"/>
        <family val="2"/>
      </rPr>
      <t xml:space="preserve">g /m2  </t>
    </r>
    <r>
      <rPr>
        <sz val="11"/>
        <rFont val="宋体"/>
        <family val="3"/>
        <charset val="134"/>
      </rPr>
      <t>变更</t>
    </r>
    <r>
      <rPr>
        <sz val="11"/>
        <rFont val="Arial"/>
        <family val="2"/>
      </rPr>
      <t xml:space="preserve"> </t>
    </r>
    <r>
      <rPr>
        <sz val="11"/>
        <rFont val="宋体"/>
        <family val="3"/>
        <charset val="134"/>
      </rPr>
      <t>（</t>
    </r>
    <r>
      <rPr>
        <sz val="11"/>
        <rFont val="Arial"/>
        <family val="2"/>
      </rPr>
      <t>48.1±1.5</t>
    </r>
    <r>
      <rPr>
        <sz val="11"/>
        <rFont val="宋体"/>
        <family val="3"/>
        <charset val="134"/>
      </rPr>
      <t>）</t>
    </r>
    <r>
      <rPr>
        <sz val="11"/>
        <rFont val="Arial"/>
        <family val="2"/>
      </rPr>
      <t xml:space="preserve">g /m2 
</t>
    </r>
    <r>
      <rPr>
        <sz val="11"/>
        <rFont val="宋体"/>
        <family val="3"/>
        <charset val="134"/>
      </rPr>
      <t>单面面密度：由（</t>
    </r>
    <r>
      <rPr>
        <sz val="11"/>
        <rFont val="Arial"/>
        <family val="2"/>
      </rPr>
      <t>99.7±1.5</t>
    </r>
    <r>
      <rPr>
        <sz val="11"/>
        <rFont val="宋体"/>
        <family val="3"/>
        <charset val="134"/>
      </rPr>
      <t>）</t>
    </r>
    <r>
      <rPr>
        <sz val="11"/>
        <rFont val="Arial"/>
        <family val="2"/>
      </rPr>
      <t>g /m2</t>
    </r>
    <r>
      <rPr>
        <sz val="11"/>
        <rFont val="宋体"/>
        <family val="3"/>
        <charset val="134"/>
      </rPr>
      <t>变更（</t>
    </r>
    <r>
      <rPr>
        <sz val="11"/>
        <rFont val="Arial"/>
        <family val="2"/>
      </rPr>
      <t>96.1±1.5</t>
    </r>
    <r>
      <rPr>
        <sz val="11"/>
        <rFont val="宋体"/>
        <family val="3"/>
        <charset val="134"/>
      </rPr>
      <t>）</t>
    </r>
    <r>
      <rPr>
        <sz val="11"/>
        <rFont val="Arial"/>
        <family val="2"/>
      </rPr>
      <t xml:space="preserve">g /m2 
</t>
    </r>
    <r>
      <rPr>
        <sz val="11"/>
        <rFont val="宋体"/>
        <family val="3"/>
        <charset val="134"/>
      </rPr>
      <t>新增双面底层面密度：</t>
    </r>
    <r>
      <rPr>
        <sz val="11"/>
        <rFont val="Arial"/>
        <family val="2"/>
      </rPr>
      <t>(144.1±2.2</t>
    </r>
    <r>
      <rPr>
        <sz val="11"/>
        <rFont val="宋体"/>
        <family val="3"/>
        <charset val="134"/>
      </rPr>
      <t>）</t>
    </r>
    <r>
      <rPr>
        <sz val="11"/>
        <rFont val="Arial"/>
        <family val="2"/>
      </rPr>
      <t xml:space="preserve">g /m2
</t>
    </r>
    <r>
      <rPr>
        <sz val="11"/>
        <rFont val="宋体"/>
        <family val="3"/>
        <charset val="134"/>
      </rPr>
      <t>双面面密度：由（</t>
    </r>
    <r>
      <rPr>
        <sz val="11"/>
        <rFont val="Arial"/>
        <family val="2"/>
      </rPr>
      <t>199.4±3.0</t>
    </r>
    <r>
      <rPr>
        <sz val="11"/>
        <rFont val="宋体"/>
        <family val="3"/>
        <charset val="134"/>
      </rPr>
      <t>）</t>
    </r>
    <r>
      <rPr>
        <sz val="11"/>
        <rFont val="Arial"/>
        <family val="2"/>
      </rPr>
      <t xml:space="preserve">g/m2 </t>
    </r>
    <r>
      <rPr>
        <sz val="11"/>
        <rFont val="宋体"/>
        <family val="3"/>
        <charset val="134"/>
      </rPr>
      <t>变更为</t>
    </r>
    <r>
      <rPr>
        <sz val="11"/>
        <rFont val="Arial"/>
        <family val="2"/>
      </rPr>
      <t xml:space="preserve">(192.1±2.9)g /m2
</t>
    </r>
    <r>
      <rPr>
        <sz val="11"/>
        <rFont val="宋体"/>
        <family val="3"/>
        <charset val="134"/>
      </rPr>
      <t>两侧留白区宽度由（</t>
    </r>
    <r>
      <rPr>
        <sz val="11"/>
        <rFont val="Arial"/>
        <family val="2"/>
      </rPr>
      <t>27.7±0.5</t>
    </r>
    <r>
      <rPr>
        <sz val="11"/>
        <rFont val="宋体"/>
        <family val="3"/>
        <charset val="134"/>
      </rPr>
      <t>）</t>
    </r>
    <r>
      <rPr>
        <sz val="11"/>
        <rFont val="Arial"/>
        <family val="2"/>
      </rPr>
      <t>mm</t>
    </r>
    <r>
      <rPr>
        <sz val="11"/>
        <rFont val="宋体"/>
        <family val="3"/>
        <charset val="134"/>
      </rPr>
      <t>变更为（</t>
    </r>
    <r>
      <rPr>
        <sz val="11"/>
        <rFont val="Arial"/>
        <family val="2"/>
      </rPr>
      <t>27.7±0.7</t>
    </r>
    <r>
      <rPr>
        <sz val="11"/>
        <rFont val="宋体"/>
        <family val="3"/>
        <charset val="134"/>
      </rPr>
      <t>）</t>
    </r>
    <r>
      <rPr>
        <sz val="11"/>
        <rFont val="Arial"/>
        <family val="2"/>
      </rPr>
      <t xml:space="preserve">mm
</t>
    </r>
    <r>
      <rPr>
        <sz val="11"/>
        <rFont val="宋体"/>
        <family val="3"/>
        <charset val="134"/>
      </rPr>
      <t>单面削薄由</t>
    </r>
    <r>
      <rPr>
        <sz val="11"/>
        <rFont val="Arial"/>
        <family val="2"/>
      </rPr>
      <t>1mm</t>
    </r>
    <r>
      <rPr>
        <sz val="11"/>
        <rFont val="宋体"/>
        <family val="3"/>
        <charset val="134"/>
      </rPr>
      <t>（</t>
    </r>
    <r>
      <rPr>
        <sz val="11"/>
        <rFont val="Arial"/>
        <family val="2"/>
      </rPr>
      <t>2~13</t>
    </r>
    <r>
      <rPr>
        <sz val="11"/>
        <rFont val="宋体"/>
        <family val="3"/>
        <charset val="134"/>
      </rPr>
      <t>）</t>
    </r>
    <r>
      <rPr>
        <sz val="11"/>
        <rFont val="Arial"/>
        <family val="2"/>
      </rPr>
      <t>μm</t>
    </r>
    <r>
      <rPr>
        <sz val="11"/>
        <rFont val="宋体"/>
        <family val="3"/>
        <charset val="134"/>
      </rPr>
      <t>变更为</t>
    </r>
    <r>
      <rPr>
        <sz val="11"/>
        <rFont val="Arial"/>
        <family val="2"/>
      </rPr>
      <t>2mm</t>
    </r>
    <r>
      <rPr>
        <sz val="11"/>
        <rFont val="宋体"/>
        <family val="3"/>
        <charset val="134"/>
      </rPr>
      <t>（</t>
    </r>
    <r>
      <rPr>
        <sz val="11"/>
        <rFont val="Arial"/>
        <family val="2"/>
      </rPr>
      <t>0~6.0</t>
    </r>
    <r>
      <rPr>
        <sz val="11"/>
        <rFont val="宋体"/>
        <family val="3"/>
        <charset val="134"/>
      </rPr>
      <t>）</t>
    </r>
    <r>
      <rPr>
        <sz val="11"/>
        <rFont val="Arial"/>
        <family val="2"/>
      </rPr>
      <t xml:space="preserve">μm
</t>
    </r>
    <r>
      <rPr>
        <sz val="11"/>
        <rFont val="宋体"/>
        <family val="3"/>
        <charset val="134"/>
      </rPr>
      <t>双面削薄由</t>
    </r>
    <r>
      <rPr>
        <sz val="11"/>
        <rFont val="Arial"/>
        <family val="2"/>
      </rPr>
      <t>1mm</t>
    </r>
    <r>
      <rPr>
        <sz val="11"/>
        <rFont val="宋体"/>
        <family val="3"/>
        <charset val="134"/>
      </rPr>
      <t>（单＋</t>
    </r>
    <r>
      <rPr>
        <sz val="11"/>
        <rFont val="Arial"/>
        <family val="2"/>
      </rPr>
      <t>2~</t>
    </r>
    <r>
      <rPr>
        <sz val="11"/>
        <rFont val="宋体"/>
        <family val="3"/>
        <charset val="134"/>
      </rPr>
      <t>单＋</t>
    </r>
    <r>
      <rPr>
        <sz val="11"/>
        <rFont val="Arial"/>
        <family val="2"/>
      </rPr>
      <t>13</t>
    </r>
    <r>
      <rPr>
        <sz val="11"/>
        <rFont val="宋体"/>
        <family val="3"/>
        <charset val="134"/>
      </rPr>
      <t>）</t>
    </r>
    <r>
      <rPr>
        <sz val="11"/>
        <rFont val="Arial"/>
        <family val="2"/>
      </rPr>
      <t>μm</t>
    </r>
    <r>
      <rPr>
        <sz val="11"/>
        <rFont val="宋体"/>
        <family val="3"/>
        <charset val="134"/>
      </rPr>
      <t>变更为</t>
    </r>
    <r>
      <rPr>
        <sz val="11"/>
        <rFont val="Arial"/>
        <family val="2"/>
      </rPr>
      <t>2mm</t>
    </r>
    <r>
      <rPr>
        <sz val="11"/>
        <rFont val="宋体"/>
        <family val="3"/>
        <charset val="134"/>
      </rPr>
      <t>（单</t>
    </r>
    <r>
      <rPr>
        <sz val="11"/>
        <rFont val="Arial"/>
        <family val="2"/>
      </rPr>
      <t>-2~</t>
    </r>
    <r>
      <rPr>
        <sz val="11"/>
        <rFont val="宋体"/>
        <family val="3"/>
        <charset val="134"/>
      </rPr>
      <t>单＋</t>
    </r>
    <r>
      <rPr>
        <sz val="11"/>
        <rFont val="Arial"/>
        <family val="2"/>
      </rPr>
      <t>6.0</t>
    </r>
    <r>
      <rPr>
        <sz val="11"/>
        <rFont val="宋体"/>
        <family val="3"/>
        <charset val="134"/>
      </rPr>
      <t>）</t>
    </r>
    <r>
      <rPr>
        <sz val="11"/>
        <rFont val="Arial"/>
        <family val="2"/>
      </rPr>
      <t xml:space="preserve">μm
</t>
    </r>
    <r>
      <rPr>
        <sz val="11"/>
        <rFont val="宋体"/>
        <family val="3"/>
        <charset val="134"/>
      </rPr>
      <t>削薄测量技术由万分尺变更为离线测厚仪</t>
    </r>
    <phoneticPr fontId="41" type="noConversion"/>
  </si>
  <si>
    <t>φ44.28mm取样器</t>
    <phoneticPr fontId="41" type="noConversion"/>
  </si>
  <si>
    <r>
      <t>单面面密度由（</t>
    </r>
    <r>
      <rPr>
        <sz val="11"/>
        <rFont val="Arial"/>
        <family val="2"/>
      </rPr>
      <t>104.2±1.6</t>
    </r>
    <r>
      <rPr>
        <sz val="11"/>
        <rFont val="宋体"/>
        <family val="3"/>
        <charset val="134"/>
      </rPr>
      <t>）</t>
    </r>
    <r>
      <rPr>
        <sz val="11"/>
        <rFont val="Arial"/>
        <family val="2"/>
      </rPr>
      <t xml:space="preserve">g/m2 </t>
    </r>
    <r>
      <rPr>
        <sz val="11"/>
        <rFont val="宋体"/>
        <family val="3"/>
        <charset val="134"/>
      </rPr>
      <t>变更为（</t>
    </r>
    <r>
      <rPr>
        <sz val="11"/>
        <rFont val="Arial"/>
        <family val="2"/>
      </rPr>
      <t>100.8±1.5</t>
    </r>
    <r>
      <rPr>
        <sz val="11"/>
        <rFont val="宋体"/>
        <family val="3"/>
        <charset val="134"/>
      </rPr>
      <t>）</t>
    </r>
    <r>
      <rPr>
        <sz val="11"/>
        <rFont val="Arial"/>
        <family val="2"/>
      </rPr>
      <t xml:space="preserve">g/m2 </t>
    </r>
    <r>
      <rPr>
        <sz val="11"/>
        <rFont val="宋体"/>
        <family val="3"/>
        <charset val="134"/>
      </rPr>
      <t xml:space="preserve">
双面面密度：由（</t>
    </r>
    <r>
      <rPr>
        <sz val="11"/>
        <rFont val="Arial"/>
        <family val="2"/>
      </rPr>
      <t>208.4±3.2</t>
    </r>
    <r>
      <rPr>
        <sz val="11"/>
        <rFont val="宋体"/>
        <family val="3"/>
        <charset val="134"/>
      </rPr>
      <t>）</t>
    </r>
    <r>
      <rPr>
        <sz val="11"/>
        <rFont val="Arial"/>
        <family val="2"/>
      </rPr>
      <t xml:space="preserve">g/m2 </t>
    </r>
    <r>
      <rPr>
        <sz val="11"/>
        <rFont val="宋体"/>
        <family val="3"/>
        <charset val="134"/>
      </rPr>
      <t>变更为（</t>
    </r>
    <r>
      <rPr>
        <sz val="11"/>
        <rFont val="Arial"/>
        <family val="2"/>
      </rPr>
      <t>201.6±3.0</t>
    </r>
    <r>
      <rPr>
        <sz val="11"/>
        <rFont val="宋体"/>
        <family val="3"/>
        <charset val="134"/>
      </rPr>
      <t>）</t>
    </r>
    <r>
      <rPr>
        <sz val="11"/>
        <rFont val="Arial"/>
        <family val="2"/>
      </rPr>
      <t xml:space="preserve">g /m2
</t>
    </r>
    <r>
      <rPr>
        <sz val="11"/>
        <rFont val="宋体"/>
        <family val="3"/>
        <charset val="134"/>
      </rPr>
      <t>铜箔宽度由</t>
    </r>
    <r>
      <rPr>
        <sz val="11"/>
        <rFont val="Arial"/>
        <family val="2"/>
      </rPr>
      <t>516.6±1mm</t>
    </r>
    <r>
      <rPr>
        <sz val="11"/>
        <rFont val="宋体"/>
        <family val="3"/>
        <charset val="134"/>
      </rPr>
      <t>变更为</t>
    </r>
    <r>
      <rPr>
        <sz val="11"/>
        <rFont val="Arial"/>
        <family val="2"/>
      </rPr>
      <t xml:space="preserve">517±1mm
</t>
    </r>
    <r>
      <rPr>
        <sz val="11"/>
        <rFont val="宋体"/>
        <family val="3"/>
        <charset val="134"/>
      </rPr>
      <t>两侧留白宽度由</t>
    </r>
    <r>
      <rPr>
        <sz val="11"/>
        <rFont val="Arial"/>
        <family val="2"/>
      </rPr>
      <t>27.5±0.5mm</t>
    </r>
    <r>
      <rPr>
        <sz val="11"/>
        <rFont val="宋体"/>
        <family val="3"/>
        <charset val="134"/>
      </rPr>
      <t>变更为</t>
    </r>
    <r>
      <rPr>
        <sz val="11"/>
        <rFont val="Arial"/>
        <family val="2"/>
      </rPr>
      <t xml:space="preserve">27.7±0.5mm
</t>
    </r>
    <r>
      <rPr>
        <sz val="11"/>
        <rFont val="宋体"/>
        <family val="3"/>
        <charset val="134"/>
      </rPr>
      <t>取样器由φ</t>
    </r>
    <r>
      <rPr>
        <sz val="11"/>
        <rFont val="Arial"/>
        <family val="2"/>
      </rPr>
      <t>25mm</t>
    </r>
    <r>
      <rPr>
        <sz val="11"/>
        <rFont val="宋体"/>
        <family val="3"/>
        <charset val="134"/>
      </rPr>
      <t>变更为φ</t>
    </r>
    <r>
      <rPr>
        <sz val="11"/>
        <rFont val="Arial"/>
        <family val="2"/>
      </rPr>
      <t>44.28mm</t>
    </r>
    <phoneticPr fontId="41" type="noConversion"/>
  </si>
  <si>
    <r>
      <t>1</t>
    </r>
    <r>
      <rPr>
        <sz val="10"/>
        <color theme="1"/>
        <rFont val="宋体"/>
        <family val="3"/>
        <charset val="134"/>
      </rPr>
      <t xml:space="preserve">、设备自动控制
</t>
    </r>
    <r>
      <rPr>
        <sz val="10"/>
        <color theme="1"/>
        <rFont val="Times New Roman"/>
        <family val="1"/>
      </rPr>
      <t>2</t>
    </r>
    <r>
      <rPr>
        <sz val="10"/>
        <color theme="1"/>
        <rFont val="宋体"/>
        <family val="3"/>
        <charset val="134"/>
      </rPr>
      <t xml:space="preserve">、点检
</t>
    </r>
    <r>
      <rPr>
        <sz val="10"/>
        <color theme="1"/>
        <rFont val="Times New Roman"/>
        <family val="1"/>
      </rPr>
      <t>3</t>
    </r>
    <r>
      <rPr>
        <sz val="10"/>
        <color theme="1"/>
        <rFont val="宋体"/>
        <family val="3"/>
        <charset val="134"/>
      </rPr>
      <t>、设备面密度中值上下线控制</t>
    </r>
    <phoneticPr fontId="4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</si>
</sst>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76" formatCode="0.0_ "/>
    <numFmt numFmtId="177" formatCode="0.0000_ "/>
    <numFmt numFmtId="178" formatCode="0.0_);[Red]\(0.0\)"/>
    <numFmt numFmtId="179" formatCode="[$-409]mmm/yy;@"/>
    <numFmt numFmtId="180" formatCode="0.00_ "/>
    <numFmt numFmtId="181" formatCode="0.00_);[Red]\(0.00\)"/>
    <numFmt numFmtId="182" formatCode="0.000_ "/>
    <numFmt numFmtId="183" formatCode="0.0000_);[Red]\(0.0000\)"/>
  </numFmts>
  <fonts count="58">
    <font>
      <sz val="11"/>
      <color theme="1"/>
      <name val="宋体"/>
      <charset val="134"/>
      <scheme val="minor"/>
    </font>
    <font>
      <b/>
      <sz val="12"/>
      <name val="Arial "/>
      <family val="2"/>
    </font>
    <font>
      <b/>
      <sz val="10"/>
      <name val="Arial"/>
      <family val="2"/>
    </font>
    <font>
      <b/>
      <sz val="11"/>
      <name val="宋体"/>
      <family val="3"/>
      <charset val="134"/>
    </font>
    <font>
      <sz val="10"/>
      <color theme="1"/>
      <name val="Times New Roman"/>
      <family val="1"/>
    </font>
    <font>
      <sz val="11"/>
      <name val="宋体"/>
      <family val="3"/>
      <charset val="134"/>
    </font>
    <font>
      <sz val="10"/>
      <color theme="1"/>
      <name val="宋体"/>
      <family val="3"/>
      <charset val="134"/>
    </font>
    <font>
      <sz val="9"/>
      <color theme="1"/>
      <name val="宋体"/>
      <family val="3"/>
      <charset val="134"/>
    </font>
    <font>
      <sz val="10"/>
      <name val="Arial"/>
      <family val="2"/>
    </font>
    <font>
      <b/>
      <sz val="9"/>
      <color theme="1"/>
      <name val="宋体"/>
      <family val="3"/>
      <charset val="134"/>
    </font>
    <font>
      <b/>
      <sz val="18"/>
      <color theme="1"/>
      <name val="宋体"/>
      <family val="3"/>
      <charset val="134"/>
    </font>
    <font>
      <b/>
      <sz val="18"/>
      <color theme="1"/>
      <name val="Calibri"/>
      <family val="2"/>
    </font>
    <font>
      <sz val="12"/>
      <color theme="1"/>
      <name val="Calibri"/>
      <family val="2"/>
    </font>
    <font>
      <sz val="10"/>
      <name val="宋体"/>
      <family val="3"/>
      <charset val="134"/>
    </font>
    <font>
      <sz val="9"/>
      <color rgb="FFFF0000"/>
      <name val="宋体"/>
      <family val="3"/>
      <charset val="134"/>
    </font>
    <font>
      <sz val="10"/>
      <color theme="1"/>
      <name val="宋体"/>
      <family val="3"/>
      <charset val="134"/>
      <scheme val="minor"/>
    </font>
    <font>
      <sz val="10"/>
      <color theme="1"/>
      <name val="Calibri"/>
      <family val="2"/>
    </font>
    <font>
      <sz val="11"/>
      <name val="Times New Roman"/>
      <family val="1"/>
    </font>
    <font>
      <b/>
      <sz val="10"/>
      <color theme="1"/>
      <name val="Times New Roman"/>
      <family val="1"/>
    </font>
    <font>
      <sz val="10"/>
      <name val="Times New Roman"/>
      <family val="1"/>
    </font>
    <font>
      <b/>
      <sz val="10"/>
      <name val="Times New Roman"/>
      <family val="1"/>
    </font>
    <font>
      <b/>
      <sz val="10"/>
      <name val="宋体"/>
      <family val="3"/>
      <charset val="134"/>
    </font>
    <font>
      <b/>
      <sz val="10"/>
      <color theme="1"/>
      <name val="宋体"/>
      <family val="3"/>
      <charset val="134"/>
    </font>
    <font>
      <sz val="14"/>
      <name val="Times New Roman"/>
      <family val="1"/>
    </font>
    <font>
      <b/>
      <sz val="18"/>
      <name val="宋体"/>
      <family val="3"/>
      <charset val="134"/>
    </font>
    <font>
      <sz val="10"/>
      <name val="宋体"/>
      <family val="3"/>
      <charset val="134"/>
      <scheme val="minor"/>
    </font>
    <font>
      <b/>
      <sz val="18"/>
      <name val="Times New Roman"/>
      <family val="1"/>
    </font>
    <font>
      <b/>
      <sz val="12"/>
      <name val="宋体"/>
      <family val="3"/>
      <charset val="134"/>
    </font>
    <font>
      <sz val="12"/>
      <color theme="1"/>
      <name val="宋体"/>
      <family val="3"/>
      <charset val="134"/>
    </font>
    <font>
      <sz val="12"/>
      <color theme="1"/>
      <name val="Times New Roman"/>
      <family val="1"/>
    </font>
    <font>
      <b/>
      <sz val="12"/>
      <color theme="1"/>
      <name val="宋体"/>
      <family val="3"/>
      <charset val="134"/>
    </font>
    <font>
      <b/>
      <sz val="16"/>
      <color theme="1"/>
      <name val="Times New Roman"/>
      <family val="1"/>
    </font>
    <font>
      <sz val="12"/>
      <name val="Times New Roman"/>
      <family val="1"/>
    </font>
    <font>
      <sz val="11"/>
      <color theme="1"/>
      <name val="Times New Roman"/>
      <family val="1"/>
    </font>
    <font>
      <b/>
      <sz val="16"/>
      <name val="Times New Roman"/>
      <family val="1"/>
    </font>
    <font>
      <sz val="12"/>
      <name val="宋体"/>
      <family val="3"/>
      <charset val="134"/>
    </font>
    <font>
      <b/>
      <sz val="12"/>
      <color theme="1"/>
      <name val="Times New Roman"/>
      <family val="1"/>
    </font>
    <font>
      <sz val="11"/>
      <color indexed="8"/>
      <name val="宋体"/>
      <family val="3"/>
      <charset val="134"/>
    </font>
    <font>
      <sz val="12"/>
      <name val="華康中楷體"/>
      <family val="3"/>
    </font>
    <font>
      <b/>
      <sz val="16"/>
      <color theme="1"/>
      <name val="宋体"/>
      <family val="3"/>
      <charset val="134"/>
    </font>
    <font>
      <sz val="11"/>
      <color theme="1"/>
      <name val="宋体"/>
      <family val="3"/>
      <charset val="134"/>
      <scheme val="minor"/>
    </font>
    <font>
      <sz val="9"/>
      <name val="宋体"/>
      <family val="3"/>
      <charset val="134"/>
      <scheme val="minor"/>
    </font>
    <font>
      <b/>
      <sz val="10"/>
      <color theme="1"/>
      <name val="宋体"/>
      <family val="3"/>
      <charset val="134"/>
      <scheme val="minor"/>
    </font>
    <font>
      <sz val="14"/>
      <color theme="1"/>
      <name val="Times New Roman"/>
      <family val="1"/>
    </font>
    <font>
      <sz val="11"/>
      <color theme="1"/>
      <name val="宋体"/>
      <family val="3"/>
      <charset val="134"/>
    </font>
    <font>
      <b/>
      <sz val="10"/>
      <name val="宋体"/>
      <family val="3"/>
      <charset val="134"/>
      <scheme val="minor"/>
    </font>
    <font>
      <b/>
      <sz val="14"/>
      <color rgb="FFFF0000"/>
      <name val="宋体"/>
      <family val="3"/>
      <charset val="134"/>
    </font>
    <font>
      <sz val="10"/>
      <name val="等线"/>
      <family val="3"/>
      <charset val="134"/>
    </font>
    <font>
      <sz val="9"/>
      <name val="宋体"/>
      <family val="3"/>
      <charset val="134"/>
    </font>
    <font>
      <b/>
      <sz val="12"/>
      <name val="等线"/>
      <family val="3"/>
      <charset val="134"/>
    </font>
    <font>
      <b/>
      <sz val="9"/>
      <name val="等线"/>
      <family val="3"/>
      <charset val="134"/>
    </font>
    <font>
      <b/>
      <sz val="8"/>
      <name val="等线"/>
      <family val="3"/>
      <charset val="134"/>
    </font>
    <font>
      <b/>
      <sz val="8"/>
      <name val="微软雅黑"/>
      <family val="2"/>
      <charset val="134"/>
    </font>
    <font>
      <b/>
      <sz val="6"/>
      <name val="等线"/>
      <family val="3"/>
      <charset val="134"/>
    </font>
    <font>
      <b/>
      <sz val="12"/>
      <color theme="1"/>
      <name val="等线"/>
      <family val="3"/>
      <charset val="134"/>
    </font>
    <font>
      <b/>
      <i/>
      <sz val="12"/>
      <color theme="1"/>
      <name val="等线"/>
      <family val="3"/>
      <charset val="134"/>
    </font>
    <font>
      <sz val="11"/>
      <name val="Arial"/>
      <family val="2"/>
    </font>
    <font>
      <sz val="10"/>
      <color theme="1"/>
      <name val="Arial"/>
      <family val="2"/>
    </font>
  </fonts>
  <fills count="6">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rgb="FFC00000"/>
        <bgColor indexed="64"/>
      </patternFill>
    </fill>
    <fill>
      <patternFill patternType="solid">
        <fgColor rgb="FFFFFF00"/>
        <bgColor indexed="64"/>
      </patternFill>
    </fill>
  </fills>
  <borders count="38">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medium">
        <color auto="1"/>
      </left>
      <right style="thin">
        <color auto="1"/>
      </right>
      <top/>
      <bottom style="medium">
        <color auto="1"/>
      </bottom>
      <diagonal/>
    </border>
    <border>
      <left/>
      <right style="medium">
        <color auto="1"/>
      </right>
      <top style="thin">
        <color auto="1"/>
      </top>
      <bottom style="thin">
        <color auto="1"/>
      </bottom>
      <diagonal/>
    </border>
    <border>
      <left style="medium">
        <color indexed="64"/>
      </left>
      <right style="thin">
        <color auto="1"/>
      </right>
      <top style="thin">
        <color auto="1"/>
      </top>
      <bottom style="thin">
        <color auto="1"/>
      </bottom>
      <diagonal/>
    </border>
    <border>
      <left/>
      <right/>
      <top/>
      <bottom style="thin">
        <color indexed="64"/>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right/>
      <top style="thin">
        <color auto="1"/>
      </top>
      <bottom style="medium">
        <color auto="1"/>
      </bottom>
      <diagonal/>
    </border>
  </borders>
  <cellStyleXfs count="55">
    <xf numFmtId="179" fontId="0" fillId="0" borderId="0"/>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179" fontId="40" fillId="0" borderId="0"/>
    <xf numFmtId="0" fontId="40" fillId="0" borderId="0"/>
    <xf numFmtId="9" fontId="37"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9" fontId="40" fillId="0" borderId="0" applyFont="0" applyFill="0" applyBorder="0" applyAlignment="0" applyProtection="0">
      <alignment vertical="center"/>
    </xf>
    <xf numFmtId="0" fontId="40" fillId="0" borderId="0"/>
    <xf numFmtId="0" fontId="40" fillId="0" borderId="0">
      <alignment vertical="center"/>
    </xf>
    <xf numFmtId="179" fontId="37" fillId="0" borderId="0">
      <alignment vertical="center"/>
    </xf>
    <xf numFmtId="179" fontId="32" fillId="0" borderId="0"/>
    <xf numFmtId="179" fontId="37" fillId="0" borderId="0">
      <alignment vertical="center"/>
    </xf>
    <xf numFmtId="179" fontId="40" fillId="0" borderId="0">
      <alignment vertical="center"/>
    </xf>
    <xf numFmtId="9" fontId="40" fillId="0" borderId="0" applyFont="0" applyFill="0" applyBorder="0" applyAlignment="0" applyProtection="0">
      <alignment vertical="center"/>
    </xf>
    <xf numFmtId="179" fontId="40" fillId="0" borderId="0">
      <alignment vertical="center"/>
    </xf>
    <xf numFmtId="179" fontId="37" fillId="0" borderId="0">
      <alignment vertical="center"/>
    </xf>
    <xf numFmtId="179" fontId="40" fillId="0" borderId="0">
      <alignment vertical="center"/>
    </xf>
    <xf numFmtId="0" fontId="40" fillId="0" borderId="0"/>
    <xf numFmtId="179" fontId="40" fillId="0" borderId="0">
      <alignment vertical="center"/>
    </xf>
    <xf numFmtId="0" fontId="40" fillId="0" borderId="0"/>
    <xf numFmtId="0" fontId="40" fillId="0" borderId="0">
      <alignment vertical="center"/>
    </xf>
    <xf numFmtId="179" fontId="40" fillId="0" borderId="0">
      <alignment vertical="center"/>
    </xf>
    <xf numFmtId="179" fontId="37" fillId="0" borderId="0">
      <alignment vertical="center"/>
    </xf>
    <xf numFmtId="179" fontId="40" fillId="0" borderId="0"/>
    <xf numFmtId="179" fontId="37" fillId="0" borderId="0">
      <alignment vertical="center"/>
    </xf>
    <xf numFmtId="179" fontId="40" fillId="0" borderId="0">
      <alignment vertical="center"/>
    </xf>
    <xf numFmtId="0" fontId="40" fillId="0" borderId="0">
      <alignment vertical="center"/>
    </xf>
    <xf numFmtId="179" fontId="40" fillId="0" borderId="0"/>
    <xf numFmtId="0" fontId="40" fillId="0" borderId="0">
      <alignment vertical="center"/>
    </xf>
    <xf numFmtId="0" fontId="40" fillId="0" borderId="0">
      <alignment vertical="center"/>
    </xf>
    <xf numFmtId="179" fontId="40" fillId="0" borderId="0">
      <alignment vertical="center"/>
    </xf>
    <xf numFmtId="179" fontId="40" fillId="0" borderId="0"/>
    <xf numFmtId="0" fontId="40" fillId="0" borderId="0"/>
    <xf numFmtId="179" fontId="40" fillId="0" borderId="0"/>
    <xf numFmtId="0" fontId="40" fillId="0" borderId="0"/>
    <xf numFmtId="0" fontId="40" fillId="0" borderId="0"/>
    <xf numFmtId="0" fontId="40" fillId="0" borderId="0"/>
    <xf numFmtId="179" fontId="40" fillId="0" borderId="0"/>
    <xf numFmtId="179" fontId="40" fillId="0" borderId="0"/>
    <xf numFmtId="179" fontId="40" fillId="0" borderId="0"/>
    <xf numFmtId="179" fontId="40" fillId="0" borderId="0"/>
    <xf numFmtId="179" fontId="40" fillId="0" borderId="0"/>
    <xf numFmtId="0" fontId="40" fillId="0" borderId="0"/>
    <xf numFmtId="179" fontId="40" fillId="0" borderId="0"/>
    <xf numFmtId="179" fontId="40" fillId="0" borderId="0"/>
    <xf numFmtId="179" fontId="40" fillId="0" borderId="0"/>
    <xf numFmtId="179" fontId="40" fillId="0" borderId="0"/>
    <xf numFmtId="0" fontId="40" fillId="0" borderId="0">
      <alignment vertical="center"/>
    </xf>
    <xf numFmtId="179" fontId="40" fillId="0" borderId="0"/>
    <xf numFmtId="0" fontId="35" fillId="0" borderId="0"/>
    <xf numFmtId="0" fontId="38" fillId="0" borderId="0"/>
    <xf numFmtId="179" fontId="37" fillId="0" borderId="0">
      <alignment vertical="center"/>
    </xf>
  </cellStyleXfs>
  <cellXfs count="404">
    <xf numFmtId="179" fontId="0" fillId="0" borderId="0" xfId="0"/>
    <xf numFmtId="0" fontId="40" fillId="2" borderId="0" xfId="4" applyFill="1"/>
    <xf numFmtId="0" fontId="2" fillId="2" borderId="1" xfId="11" applyFont="1" applyFill="1" applyBorder="1" applyAlignment="1">
      <alignment horizontal="center" vertical="center" wrapText="1"/>
    </xf>
    <xf numFmtId="0" fontId="2" fillId="2" borderId="2" xfId="11" applyFont="1" applyFill="1" applyBorder="1" applyAlignment="1">
      <alignment horizontal="center" vertical="center" wrapText="1"/>
    </xf>
    <xf numFmtId="0" fontId="1" fillId="2" borderId="2" xfId="11" applyFont="1" applyFill="1" applyBorder="1" applyAlignment="1">
      <alignment horizontal="center" vertical="center" wrapText="1"/>
    </xf>
    <xf numFmtId="0" fontId="40" fillId="2" borderId="3" xfId="4" applyFill="1" applyBorder="1"/>
    <xf numFmtId="0" fontId="3" fillId="2" borderId="0" xfId="11" applyFont="1" applyFill="1" applyBorder="1" applyAlignment="1">
      <alignment horizontal="left" vertical="center"/>
    </xf>
    <xf numFmtId="0" fontId="4" fillId="2" borderId="0" xfId="4" applyFont="1" applyFill="1" applyBorder="1" applyAlignment="1">
      <alignment vertical="center"/>
    </xf>
    <xf numFmtId="176" fontId="6" fillId="2" borderId="8" xfId="4" applyNumberFormat="1" applyFont="1" applyFill="1" applyBorder="1" applyAlignment="1">
      <alignment horizontal="center" vertical="center"/>
    </xf>
    <xf numFmtId="0" fontId="0" fillId="2" borderId="10" xfId="4" applyFont="1" applyFill="1" applyBorder="1" applyAlignment="1">
      <alignment horizontal="center" vertical="center"/>
    </xf>
    <xf numFmtId="0" fontId="8" fillId="2" borderId="10" xfId="28" applyNumberFormat="1" applyFont="1" applyFill="1" applyBorder="1" applyAlignment="1">
      <alignment horizontal="center" vertical="center"/>
    </xf>
    <xf numFmtId="0" fontId="0" fillId="2" borderId="12" xfId="4" applyFont="1" applyFill="1" applyBorder="1" applyAlignment="1">
      <alignment horizontal="center" vertical="center"/>
    </xf>
    <xf numFmtId="0" fontId="8" fillId="2" borderId="12" xfId="28" applyNumberFormat="1" applyFont="1" applyFill="1" applyBorder="1" applyAlignment="1">
      <alignment horizontal="center" vertical="center"/>
    </xf>
    <xf numFmtId="0" fontId="7" fillId="2" borderId="0" xfId="4" applyFont="1" applyFill="1" applyBorder="1" applyAlignment="1">
      <alignment horizontal="center" vertical="center" wrapText="1"/>
    </xf>
    <xf numFmtId="180" fontId="7" fillId="2" borderId="0" xfId="4" applyNumberFormat="1" applyFont="1" applyFill="1" applyBorder="1" applyAlignment="1">
      <alignment horizontal="center" vertical="center" wrapText="1"/>
    </xf>
    <xf numFmtId="0" fontId="6" fillId="2" borderId="0" xfId="4" applyFont="1" applyFill="1" applyBorder="1" applyAlignment="1">
      <alignment horizontal="center" vertical="center" wrapText="1"/>
    </xf>
    <xf numFmtId="0" fontId="6" fillId="2" borderId="0" xfId="4" applyFont="1" applyFill="1" applyBorder="1" applyAlignment="1">
      <alignment horizontal="left" vertical="center" wrapText="1"/>
    </xf>
    <xf numFmtId="180" fontId="6" fillId="2" borderId="0" xfId="4" applyNumberFormat="1" applyFont="1" applyFill="1" applyBorder="1" applyAlignment="1">
      <alignment horizontal="left" vertical="center" wrapText="1"/>
    </xf>
    <xf numFmtId="0" fontId="7" fillId="2" borderId="10" xfId="4" applyFont="1" applyFill="1" applyBorder="1" applyAlignment="1">
      <alignment horizontal="center" vertical="center" wrapText="1"/>
    </xf>
    <xf numFmtId="177" fontId="7" fillId="0" borderId="10" xfId="4" applyNumberFormat="1" applyFont="1" applyFill="1" applyBorder="1" applyAlignment="1">
      <alignment horizontal="center" vertical="center" wrapText="1"/>
    </xf>
    <xf numFmtId="177" fontId="4" fillId="2" borderId="10" xfId="4" applyNumberFormat="1" applyFont="1" applyFill="1" applyBorder="1" applyAlignment="1">
      <alignment horizontal="center" vertical="center"/>
    </xf>
    <xf numFmtId="0" fontId="7" fillId="2" borderId="3" xfId="4" applyFont="1" applyFill="1" applyBorder="1" applyAlignment="1">
      <alignment horizontal="center" wrapText="1"/>
    </xf>
    <xf numFmtId="177" fontId="9" fillId="0" borderId="10" xfId="4" applyNumberFormat="1" applyFont="1" applyFill="1" applyBorder="1" applyAlignment="1">
      <alignment horizontal="center" vertical="center" wrapText="1"/>
    </xf>
    <xf numFmtId="0" fontId="40" fillId="2" borderId="0" xfId="4" applyFill="1" applyBorder="1"/>
    <xf numFmtId="10" fontId="0" fillId="2" borderId="0" xfId="1" applyNumberFormat="1" applyFont="1" applyFill="1" applyAlignment="1"/>
    <xf numFmtId="0" fontId="10" fillId="0" borderId="0" xfId="0" applyNumberFormat="1" applyFont="1" applyBorder="1" applyAlignment="1">
      <alignment vertical="center"/>
    </xf>
    <xf numFmtId="0" fontId="11" fillId="0" borderId="0" xfId="0" applyNumberFormat="1" applyFont="1" applyBorder="1" applyAlignment="1">
      <alignment vertical="center"/>
    </xf>
    <xf numFmtId="0" fontId="12" fillId="0" borderId="0" xfId="0" applyNumberFormat="1" applyFont="1" applyBorder="1" applyAlignment="1"/>
    <xf numFmtId="0" fontId="13" fillId="2" borderId="2" xfId="11" applyFont="1" applyFill="1" applyBorder="1" applyAlignment="1">
      <alignment vertical="center" wrapText="1"/>
    </xf>
    <xf numFmtId="0" fontId="40" fillId="2" borderId="13" xfId="4" applyFill="1" applyBorder="1"/>
    <xf numFmtId="182" fontId="40" fillId="2" borderId="0" xfId="4" applyNumberFormat="1" applyFill="1" applyBorder="1"/>
    <xf numFmtId="0" fontId="40" fillId="0" borderId="0" xfId="32" applyBorder="1">
      <alignment vertical="center"/>
    </xf>
    <xf numFmtId="0" fontId="40" fillId="2" borderId="14" xfId="4" applyFill="1" applyBorder="1"/>
    <xf numFmtId="176" fontId="6" fillId="2" borderId="16" xfId="4" applyNumberFormat="1" applyFont="1" applyFill="1" applyBorder="1" applyAlignment="1">
      <alignment horizontal="center" vertical="center"/>
    </xf>
    <xf numFmtId="0" fontId="8" fillId="2" borderId="17" xfId="28" applyNumberFormat="1" applyFont="1" applyFill="1" applyBorder="1" applyAlignment="1">
      <alignment horizontal="center" vertical="center"/>
    </xf>
    <xf numFmtId="0" fontId="9" fillId="2" borderId="0" xfId="4" applyFont="1" applyFill="1" applyBorder="1" applyAlignment="1">
      <alignment horizontal="center" vertical="center" wrapText="1"/>
    </xf>
    <xf numFmtId="0" fontId="14" fillId="2" borderId="0" xfId="4" applyFont="1" applyFill="1" applyBorder="1" applyAlignment="1">
      <alignment horizontal="center" vertical="center" wrapText="1"/>
    </xf>
    <xf numFmtId="181" fontId="0" fillId="0" borderId="0" xfId="0" applyNumberFormat="1"/>
    <xf numFmtId="0" fontId="0" fillId="0" borderId="0" xfId="0" applyNumberFormat="1"/>
    <xf numFmtId="182" fontId="40" fillId="2" borderId="14" xfId="4" applyNumberFormat="1" applyFill="1" applyBorder="1"/>
    <xf numFmtId="0" fontId="40" fillId="2" borderId="0" xfId="4" applyFill="1" applyBorder="1" applyAlignment="1">
      <alignment vertical="center"/>
    </xf>
    <xf numFmtId="0" fontId="0" fillId="2" borderId="0" xfId="4" applyFont="1" applyFill="1" applyBorder="1"/>
    <xf numFmtId="0" fontId="15" fillId="2" borderId="0" xfId="4" applyFont="1" applyFill="1" applyBorder="1" applyAlignment="1">
      <alignment horizontal="center"/>
    </xf>
    <xf numFmtId="0" fontId="11" fillId="0" borderId="0" xfId="0" applyNumberFormat="1" applyFont="1" applyAlignment="1">
      <alignment vertical="center"/>
    </xf>
    <xf numFmtId="0" fontId="12" fillId="0" borderId="0" xfId="0" applyNumberFormat="1" applyFont="1" applyAlignment="1"/>
    <xf numFmtId="179" fontId="0" fillId="0" borderId="0" xfId="0" applyBorder="1"/>
    <xf numFmtId="0" fontId="16" fillId="0" borderId="0" xfId="0" applyNumberFormat="1" applyFont="1" applyAlignment="1">
      <alignment horizontal="center"/>
    </xf>
    <xf numFmtId="179" fontId="17" fillId="0" borderId="0" xfId="19" applyFont="1" applyFill="1" applyBorder="1" applyAlignment="1" applyProtection="1">
      <alignment horizontal="justify" vertical="center" wrapText="1"/>
      <protection locked="0"/>
    </xf>
    <xf numFmtId="179" fontId="17" fillId="0" borderId="0" xfId="19" applyFont="1" applyFill="1" applyBorder="1" applyAlignment="1" applyProtection="1">
      <alignment horizontal="center" vertical="center"/>
      <protection locked="0"/>
    </xf>
    <xf numFmtId="179" fontId="17" fillId="0" borderId="0" xfId="19" applyFont="1" applyFill="1" applyAlignment="1" applyProtection="1">
      <alignment vertical="center" wrapText="1"/>
      <protection locked="0"/>
    </xf>
    <xf numFmtId="179" fontId="17" fillId="0" borderId="0" xfId="19" applyFont="1" applyFill="1" applyBorder="1" applyAlignment="1" applyProtection="1">
      <alignment vertical="center"/>
      <protection locked="0"/>
    </xf>
    <xf numFmtId="179" fontId="17" fillId="0" borderId="0" xfId="19" applyFont="1" applyFill="1" applyBorder="1" applyAlignment="1" applyProtection="1">
      <alignment horizontal="left" vertical="center"/>
      <protection locked="0"/>
    </xf>
    <xf numFmtId="179" fontId="17" fillId="0" borderId="0" xfId="19" applyFont="1" applyFill="1" applyBorder="1" applyAlignment="1" applyProtection="1">
      <alignment horizontal="left" vertical="center" wrapText="1"/>
      <protection locked="0"/>
    </xf>
    <xf numFmtId="179" fontId="17" fillId="0" borderId="0" xfId="19" applyFont="1" applyFill="1" applyBorder="1" applyAlignment="1" applyProtection="1">
      <alignment horizontal="justify" vertical="center"/>
      <protection locked="0"/>
    </xf>
    <xf numFmtId="179" fontId="17" fillId="0" borderId="0" xfId="19" applyFont="1" applyFill="1" applyBorder="1" applyAlignment="1" applyProtection="1">
      <alignment vertical="center" wrapText="1"/>
      <protection locked="0"/>
    </xf>
    <xf numFmtId="179" fontId="23" fillId="0" borderId="0" xfId="0" applyFont="1" applyAlignment="1" applyProtection="1">
      <protection locked="0"/>
    </xf>
    <xf numFmtId="179" fontId="23" fillId="0" borderId="0" xfId="0" applyFont="1" applyAlignment="1" applyProtection="1">
      <alignment vertical="center"/>
      <protection locked="0"/>
    </xf>
    <xf numFmtId="179" fontId="23" fillId="2" borderId="0" xfId="0" applyFont="1" applyFill="1" applyBorder="1" applyAlignment="1" applyProtection="1">
      <alignment vertical="center"/>
      <protection locked="0"/>
    </xf>
    <xf numFmtId="179" fontId="17" fillId="0" borderId="0" xfId="34" applyFont="1"/>
    <xf numFmtId="0" fontId="17" fillId="0" borderId="0" xfId="34" applyNumberFormat="1" applyFont="1"/>
    <xf numFmtId="0" fontId="30" fillId="0" borderId="10" xfId="34" applyNumberFormat="1" applyFont="1" applyBorder="1" applyAlignment="1">
      <alignment horizontal="center" vertical="center"/>
    </xf>
    <xf numFmtId="0" fontId="17" fillId="0" borderId="19" xfId="34" applyNumberFormat="1" applyFont="1" applyBorder="1"/>
    <xf numFmtId="179" fontId="17" fillId="0" borderId="20" xfId="34" applyFont="1" applyBorder="1"/>
    <xf numFmtId="0" fontId="32" fillId="0" borderId="10" xfId="34" applyNumberFormat="1" applyFont="1" applyBorder="1" applyAlignment="1">
      <alignment horizontal="center" vertical="center"/>
    </xf>
    <xf numFmtId="0" fontId="17" fillId="0" borderId="10" xfId="34" applyNumberFormat="1" applyFont="1" applyBorder="1" applyAlignment="1">
      <alignment horizontal="center" vertical="center"/>
    </xf>
    <xf numFmtId="179" fontId="17" fillId="0" borderId="10" xfId="0" applyFont="1" applyBorder="1" applyAlignment="1">
      <alignment horizontal="center" vertical="center"/>
    </xf>
    <xf numFmtId="179" fontId="17" fillId="0" borderId="27" xfId="0" applyFont="1" applyBorder="1" applyAlignment="1">
      <alignment horizontal="center" vertical="center"/>
    </xf>
    <xf numFmtId="0" fontId="17" fillId="0" borderId="10" xfId="34" applyNumberFormat="1" applyFont="1" applyBorder="1"/>
    <xf numFmtId="179" fontId="17" fillId="0" borderId="10" xfId="34" applyFont="1" applyBorder="1" applyAlignment="1">
      <alignment horizontal="center" vertical="center"/>
    </xf>
    <xf numFmtId="0" fontId="17" fillId="0" borderId="21" xfId="34" applyNumberFormat="1" applyFont="1" applyBorder="1"/>
    <xf numFmtId="179" fontId="17" fillId="0" borderId="0" xfId="34" applyFont="1" applyBorder="1"/>
    <xf numFmtId="179" fontId="33" fillId="0" borderId="24" xfId="34" applyFont="1" applyBorder="1"/>
    <xf numFmtId="179" fontId="29" fillId="0" borderId="10" xfId="34" applyFont="1" applyBorder="1" applyAlignment="1">
      <alignment horizontal="center" vertical="center" wrapText="1"/>
    </xf>
    <xf numFmtId="14" fontId="33" fillId="0" borderId="10" xfId="0" applyNumberFormat="1" applyFont="1" applyBorder="1" applyAlignment="1">
      <alignment horizontal="center" vertical="center"/>
    </xf>
    <xf numFmtId="179" fontId="17" fillId="0" borderId="24" xfId="0" applyFont="1" applyBorder="1" applyAlignment="1">
      <alignment horizontal="center" vertical="center" wrapText="1"/>
    </xf>
    <xf numFmtId="179" fontId="5" fillId="0" borderId="24" xfId="0" applyFont="1" applyBorder="1" applyAlignment="1">
      <alignment horizontal="center" vertical="center" wrapText="1"/>
    </xf>
    <xf numFmtId="14" fontId="17" fillId="0" borderId="10" xfId="0" applyNumberFormat="1" applyFont="1" applyBorder="1" applyAlignment="1">
      <alignment horizontal="center" vertical="center"/>
    </xf>
    <xf numFmtId="14" fontId="17" fillId="0" borderId="10" xfId="34" applyNumberFormat="1" applyFont="1" applyBorder="1" applyAlignment="1">
      <alignment horizontal="center" vertical="center"/>
    </xf>
    <xf numFmtId="179" fontId="17" fillId="0" borderId="25" xfId="34" applyFont="1" applyBorder="1"/>
    <xf numFmtId="179" fontId="19" fillId="0" borderId="0" xfId="17" applyFont="1" applyFill="1" applyBorder="1" applyAlignment="1" applyProtection="1">
      <alignment vertical="center"/>
      <protection locked="0"/>
    </xf>
    <xf numFmtId="179" fontId="17" fillId="0" borderId="23" xfId="0" applyFont="1" applyBorder="1" applyAlignment="1">
      <alignment vertical="center" wrapText="1"/>
    </xf>
    <xf numFmtId="179" fontId="17" fillId="0" borderId="23" xfId="34" applyFont="1" applyBorder="1" applyAlignment="1">
      <alignment horizontal="left" vertical="center" wrapText="1"/>
    </xf>
    <xf numFmtId="179" fontId="17" fillId="0" borderId="23" xfId="30" applyFont="1" applyBorder="1" applyAlignment="1">
      <alignment horizontal="left" vertical="center"/>
    </xf>
    <xf numFmtId="179" fontId="33" fillId="0" borderId="0" xfId="19" applyFont="1" applyFill="1" applyBorder="1" applyAlignment="1" applyProtection="1">
      <alignment vertical="center"/>
      <protection locked="0"/>
    </xf>
    <xf numFmtId="179" fontId="43" fillId="2" borderId="0" xfId="0" applyFont="1" applyFill="1" applyBorder="1" applyAlignment="1" applyProtection="1">
      <alignment vertical="center"/>
      <protection locked="0"/>
    </xf>
    <xf numFmtId="179" fontId="33" fillId="0" borderId="0" xfId="19" applyFont="1" applyFill="1" applyAlignment="1" applyProtection="1">
      <alignment vertical="center" wrapText="1"/>
      <protection locked="0"/>
    </xf>
    <xf numFmtId="0" fontId="15" fillId="2" borderId="10" xfId="11" applyFont="1" applyFill="1" applyBorder="1" applyAlignment="1">
      <alignment horizontal="center" vertical="center" wrapText="1"/>
    </xf>
    <xf numFmtId="0" fontId="15" fillId="2" borderId="26" xfId="11" applyFont="1" applyFill="1" applyBorder="1" applyAlignment="1">
      <alignment horizontal="center" vertical="center" wrapText="1"/>
    </xf>
    <xf numFmtId="183" fontId="33" fillId="0" borderId="0" xfId="19" applyNumberFormat="1" applyFont="1" applyFill="1" applyAlignment="1" applyProtection="1">
      <alignment vertical="center" wrapText="1"/>
      <protection locked="0"/>
    </xf>
    <xf numFmtId="179" fontId="15" fillId="2" borderId="10" xfId="17" applyFont="1" applyFill="1" applyBorder="1" applyAlignment="1">
      <alignment horizontal="center" vertical="center" wrapText="1"/>
    </xf>
    <xf numFmtId="179" fontId="4" fillId="2" borderId="10" xfId="12" applyFont="1" applyFill="1" applyBorder="1" applyAlignment="1" applyProtection="1">
      <alignment horizontal="center" vertical="center" wrapText="1"/>
      <protection locked="0"/>
    </xf>
    <xf numFmtId="179" fontId="6" fillId="2" borderId="10" xfId="12" applyFont="1" applyFill="1" applyBorder="1" applyAlignment="1" applyProtection="1">
      <alignment horizontal="center" vertical="center" wrapText="1"/>
      <protection locked="0"/>
    </xf>
    <xf numFmtId="181" fontId="17" fillId="0" borderId="0" xfId="19" applyNumberFormat="1" applyFont="1" applyFill="1" applyAlignment="1" applyProtection="1">
      <alignment vertical="center" wrapText="1"/>
      <protection locked="0"/>
    </xf>
    <xf numFmtId="179" fontId="33" fillId="0" borderId="10" xfId="47" applyFont="1" applyBorder="1" applyAlignment="1">
      <alignment horizontal="center" vertical="center"/>
    </xf>
    <xf numFmtId="179" fontId="18" fillId="0" borderId="10" xfId="21" applyFont="1" applyFill="1" applyBorder="1" applyAlignment="1" applyProtection="1">
      <alignment horizontal="center" vertical="center" wrapText="1"/>
      <protection locked="0"/>
    </xf>
    <xf numFmtId="179" fontId="45" fillId="0" borderId="10" xfId="21" applyFont="1" applyBorder="1" applyAlignment="1">
      <alignment horizontal="center" vertical="center" wrapText="1"/>
    </xf>
    <xf numFmtId="179" fontId="19" fillId="0" borderId="3" xfId="17" applyFont="1" applyFill="1" applyBorder="1" applyAlignment="1" applyProtection="1">
      <alignment vertical="center"/>
      <protection locked="0"/>
    </xf>
    <xf numFmtId="179" fontId="19" fillId="0" borderId="14" xfId="17" applyFont="1" applyFill="1" applyBorder="1" applyAlignment="1" applyProtection="1">
      <alignment vertical="center"/>
      <protection locked="0"/>
    </xf>
    <xf numFmtId="0" fontId="19" fillId="0" borderId="14" xfId="17" applyNumberFormat="1" applyFont="1" applyFill="1" applyBorder="1" applyAlignment="1" applyProtection="1">
      <alignment vertical="center"/>
      <protection locked="0"/>
    </xf>
    <xf numFmtId="179" fontId="20" fillId="0" borderId="33" xfId="19" applyFont="1" applyFill="1" applyBorder="1" applyAlignment="1" applyProtection="1">
      <alignment horizontal="center" vertical="center"/>
      <protection locked="0"/>
    </xf>
    <xf numFmtId="179" fontId="20" fillId="0" borderId="10" xfId="21" applyFont="1" applyBorder="1" applyAlignment="1" applyProtection="1">
      <alignment horizontal="center" vertical="center" wrapText="1"/>
      <protection locked="0"/>
    </xf>
    <xf numFmtId="179" fontId="20" fillId="0" borderId="10" xfId="21" applyFont="1" applyBorder="1" applyAlignment="1" applyProtection="1">
      <alignment horizontal="center" vertical="center"/>
      <protection locked="0"/>
    </xf>
    <xf numFmtId="179" fontId="21" fillId="0" borderId="10" xfId="21" applyFont="1" applyFill="1" applyBorder="1" applyAlignment="1" applyProtection="1">
      <alignment horizontal="center" vertical="center"/>
      <protection locked="0"/>
    </xf>
    <xf numFmtId="179" fontId="18" fillId="0" borderId="10" xfId="21" applyFont="1" applyFill="1" applyBorder="1" applyAlignment="1" applyProtection="1">
      <alignment horizontal="center" vertical="center"/>
      <protection locked="0"/>
    </xf>
    <xf numFmtId="179" fontId="21" fillId="0" borderId="10" xfId="21" applyFont="1" applyFill="1" applyBorder="1" applyAlignment="1" applyProtection="1">
      <alignment horizontal="center" vertical="center" wrapText="1"/>
      <protection locked="0"/>
    </xf>
    <xf numFmtId="0" fontId="17" fillId="0" borderId="10" xfId="35" applyNumberFormat="1" applyFont="1" applyBorder="1" applyAlignment="1">
      <alignment horizontal="center" vertical="center"/>
    </xf>
    <xf numFmtId="179" fontId="17" fillId="0" borderId="10" xfId="47" applyFont="1" applyBorder="1" applyAlignment="1">
      <alignment horizontal="center" vertical="center"/>
    </xf>
    <xf numFmtId="14" fontId="17" fillId="0" borderId="10" xfId="47" applyNumberFormat="1" applyFont="1" applyBorder="1" applyAlignment="1">
      <alignment horizontal="center" vertical="center"/>
    </xf>
    <xf numFmtId="179" fontId="25" fillId="2" borderId="10" xfId="0" applyFont="1" applyFill="1" applyBorder="1" applyAlignment="1">
      <alignment horizontal="center" vertical="center" wrapText="1"/>
    </xf>
    <xf numFmtId="0" fontId="25" fillId="2" borderId="10" xfId="20" applyFont="1" applyFill="1" applyBorder="1" applyAlignment="1">
      <alignment horizontal="center" vertical="center"/>
    </xf>
    <xf numFmtId="179" fontId="19" fillId="2" borderId="0" xfId="17" applyFont="1" applyFill="1" applyBorder="1" applyAlignment="1" applyProtection="1">
      <alignment vertical="center"/>
      <protection locked="0"/>
    </xf>
    <xf numFmtId="179" fontId="20" fillId="2" borderId="3" xfId="17" applyFont="1" applyFill="1" applyBorder="1" applyAlignment="1" applyProtection="1">
      <alignment vertical="center"/>
      <protection locked="0"/>
    </xf>
    <xf numFmtId="179" fontId="17" fillId="2" borderId="0" xfId="19" applyFont="1" applyFill="1" applyBorder="1" applyAlignment="1" applyProtection="1">
      <alignment vertical="center" wrapText="1"/>
      <protection locked="0"/>
    </xf>
    <xf numFmtId="179" fontId="46" fillId="2" borderId="0" xfId="17" applyFont="1" applyFill="1" applyBorder="1" applyAlignment="1" applyProtection="1">
      <alignment vertical="center"/>
      <protection locked="0"/>
    </xf>
    <xf numFmtId="179" fontId="19" fillId="2" borderId="14" xfId="17" applyFont="1" applyFill="1" applyBorder="1" applyAlignment="1" applyProtection="1">
      <alignment vertical="center"/>
      <protection locked="0"/>
    </xf>
    <xf numFmtId="179" fontId="19" fillId="2" borderId="3" xfId="17" applyFont="1" applyFill="1" applyBorder="1" applyAlignment="1" applyProtection="1">
      <alignment vertical="center"/>
      <protection locked="0"/>
    </xf>
    <xf numFmtId="0" fontId="15" fillId="2" borderId="0" xfId="4" applyFont="1" applyFill="1" applyBorder="1" applyAlignment="1">
      <alignment vertical="center"/>
    </xf>
    <xf numFmtId="179" fontId="25" fillId="2" borderId="0" xfId="17" applyFont="1" applyFill="1" applyBorder="1" applyAlignment="1" applyProtection="1">
      <alignment vertical="center"/>
      <protection locked="0"/>
    </xf>
    <xf numFmtId="179" fontId="5" fillId="0" borderId="27" xfId="0" applyFont="1" applyBorder="1" applyAlignment="1">
      <alignment horizontal="center" vertical="center"/>
    </xf>
    <xf numFmtId="0" fontId="15" fillId="2" borderId="10" xfId="11" applyFont="1" applyFill="1" applyBorder="1" applyAlignment="1">
      <alignment horizontal="left" vertical="center" wrapText="1"/>
    </xf>
    <xf numFmtId="179" fontId="15" fillId="2" borderId="10" xfId="0" applyFont="1" applyFill="1" applyBorder="1" applyAlignment="1">
      <alignment horizontal="center" vertical="center" wrapText="1"/>
    </xf>
    <xf numFmtId="0" fontId="25" fillId="2" borderId="10" xfId="11" applyNumberFormat="1" applyFont="1" applyFill="1" applyBorder="1" applyAlignment="1">
      <alignment horizontal="center" vertical="center" wrapText="1"/>
    </xf>
    <xf numFmtId="0" fontId="15" fillId="2" borderId="10" xfId="17" applyNumberFormat="1" applyFont="1" applyFill="1" applyBorder="1" applyAlignment="1" applyProtection="1">
      <alignment horizontal="center" vertical="center" wrapText="1"/>
      <protection locked="0"/>
    </xf>
    <xf numFmtId="179" fontId="15" fillId="2" borderId="22" xfId="0" applyFont="1" applyFill="1" applyBorder="1" applyAlignment="1">
      <alignment horizontal="center" vertical="center" wrapText="1"/>
    </xf>
    <xf numFmtId="179" fontId="18" fillId="2" borderId="10" xfId="17" applyFont="1" applyFill="1" applyBorder="1" applyAlignment="1" applyProtection="1">
      <alignment horizontal="center" vertical="center" wrapText="1"/>
      <protection locked="0"/>
    </xf>
    <xf numFmtId="179" fontId="20" fillId="2" borderId="10" xfId="17" applyFont="1" applyFill="1" applyBorder="1" applyAlignment="1" applyProtection="1">
      <alignment horizontal="center" vertical="center" wrapText="1"/>
      <protection locked="0"/>
    </xf>
    <xf numFmtId="0" fontId="50" fillId="0" borderId="22" xfId="50" applyFont="1" applyFill="1" applyBorder="1" applyAlignment="1">
      <alignment horizontal="center" vertical="center" wrapText="1"/>
    </xf>
    <xf numFmtId="0" fontId="50" fillId="0" borderId="18" xfId="50" applyFont="1" applyFill="1" applyBorder="1" applyAlignment="1">
      <alignment horizontal="center" vertical="center" wrapText="1"/>
    </xf>
    <xf numFmtId="0" fontId="50" fillId="0" borderId="20" xfId="50" applyFont="1" applyFill="1" applyBorder="1" applyAlignment="1">
      <alignment horizontal="center" vertical="center" wrapText="1"/>
    </xf>
    <xf numFmtId="0" fontId="50" fillId="0" borderId="18" xfId="50" applyFont="1" applyFill="1" applyBorder="1" applyAlignment="1">
      <alignment horizontal="left" vertical="center" wrapText="1"/>
    </xf>
    <xf numFmtId="0" fontId="50" fillId="0" borderId="24" xfId="50" applyFont="1" applyFill="1" applyBorder="1" applyAlignment="1">
      <alignment horizontal="center" vertical="center" wrapText="1"/>
    </xf>
    <xf numFmtId="0" fontId="48" fillId="0" borderId="10" xfId="50" applyFont="1" applyFill="1" applyBorder="1" applyAlignment="1">
      <alignment horizontal="center" vertical="center"/>
    </xf>
    <xf numFmtId="0" fontId="48" fillId="0" borderId="10" xfId="50" applyFont="1" applyFill="1" applyBorder="1" applyAlignment="1">
      <alignment horizontal="center" vertical="center" wrapText="1"/>
    </xf>
    <xf numFmtId="0" fontId="48" fillId="0" borderId="10" xfId="50" applyFont="1" applyFill="1" applyBorder="1" applyAlignment="1">
      <alignment horizontal="left" vertical="center" wrapText="1"/>
    </xf>
    <xf numFmtId="0" fontId="51" fillId="0" borderId="27" xfId="50" applyFont="1" applyFill="1" applyBorder="1" applyAlignment="1">
      <alignment horizontal="center" vertical="center" wrapText="1"/>
    </xf>
    <xf numFmtId="179" fontId="32" fillId="0" borderId="10" xfId="34" applyFont="1" applyBorder="1" applyAlignment="1">
      <alignment horizontal="center" vertical="center"/>
    </xf>
    <xf numFmtId="0" fontId="35" fillId="0" borderId="10" xfId="34" applyNumberFormat="1" applyFont="1" applyFill="1" applyBorder="1" applyAlignment="1">
      <alignment horizontal="center" vertical="center"/>
    </xf>
    <xf numFmtId="0" fontId="5" fillId="0" borderId="10" xfId="47" applyNumberFormat="1" applyFont="1" applyBorder="1" applyAlignment="1">
      <alignment horizontal="center" vertical="center"/>
    </xf>
    <xf numFmtId="179" fontId="22" fillId="0" borderId="33" xfId="19" applyFont="1" applyFill="1" applyBorder="1" applyAlignment="1" applyProtection="1">
      <alignment horizontal="center" vertical="center" wrapText="1"/>
      <protection locked="0"/>
    </xf>
    <xf numFmtId="179" fontId="22" fillId="0" borderId="10" xfId="11" applyNumberFormat="1" applyFont="1" applyFill="1" applyBorder="1" applyAlignment="1">
      <alignment horizontal="center" vertical="center" wrapText="1"/>
    </xf>
    <xf numFmtId="0" fontId="51" fillId="0" borderId="27" xfId="50" applyFont="1" applyFill="1" applyBorder="1" applyAlignment="1">
      <alignment horizontal="center" vertical="center" wrapText="1"/>
    </xf>
    <xf numFmtId="0" fontId="51" fillId="0" borderId="27" xfId="50" applyFont="1" applyFill="1" applyBorder="1" applyAlignment="1">
      <alignment horizontal="left" vertical="center" wrapText="1"/>
    </xf>
    <xf numFmtId="179" fontId="44" fillId="2" borderId="0" xfId="19" applyFont="1" applyFill="1" applyAlignment="1" applyProtection="1">
      <alignment vertical="center" wrapText="1"/>
      <protection locked="0"/>
    </xf>
    <xf numFmtId="0" fontId="51" fillId="2" borderId="30" xfId="50" applyFont="1" applyFill="1" applyBorder="1" applyAlignment="1">
      <alignment horizontal="center" vertical="center" wrapText="1"/>
    </xf>
    <xf numFmtId="0" fontId="33" fillId="2" borderId="0" xfId="19" applyNumberFormat="1" applyFont="1" applyFill="1" applyBorder="1" applyAlignment="1" applyProtection="1">
      <alignment horizontal="left" vertical="center" wrapText="1"/>
      <protection locked="0"/>
    </xf>
    <xf numFmtId="179" fontId="33" fillId="2" borderId="0" xfId="19" applyFont="1" applyFill="1" applyBorder="1" applyAlignment="1" applyProtection="1">
      <alignment vertical="center"/>
      <protection locked="0"/>
    </xf>
    <xf numFmtId="179" fontId="33" fillId="2" borderId="0" xfId="19" applyFont="1" applyFill="1" applyBorder="1" applyAlignment="1" applyProtection="1">
      <alignment horizontal="justify" vertical="center"/>
      <protection locked="0"/>
    </xf>
    <xf numFmtId="179" fontId="33" fillId="2" borderId="0" xfId="19" applyFont="1" applyFill="1" applyBorder="1" applyAlignment="1" applyProtection="1">
      <alignment horizontal="justify" vertical="center" wrapText="1"/>
      <protection locked="0"/>
    </xf>
    <xf numFmtId="179" fontId="18" fillId="2" borderId="10" xfId="21" applyFont="1" applyFill="1" applyBorder="1" applyAlignment="1" applyProtection="1">
      <alignment horizontal="center" vertical="center" wrapText="1"/>
      <protection locked="0"/>
    </xf>
    <xf numFmtId="179" fontId="33" fillId="2" borderId="0" xfId="19" applyFont="1" applyFill="1" applyBorder="1" applyAlignment="1" applyProtection="1">
      <alignment horizontal="center" vertical="center"/>
      <protection locked="0"/>
    </xf>
    <xf numFmtId="179" fontId="18" fillId="2" borderId="10" xfId="21" applyFont="1" applyFill="1" applyBorder="1" applyAlignment="1" applyProtection="1">
      <alignment horizontal="center" vertical="center"/>
      <protection locked="0"/>
    </xf>
    <xf numFmtId="179" fontId="43" fillId="2" borderId="0" xfId="0" applyFont="1" applyFill="1" applyAlignment="1" applyProtection="1">
      <protection locked="0"/>
    </xf>
    <xf numFmtId="179" fontId="43" fillId="2" borderId="0" xfId="0" applyFont="1" applyFill="1" applyAlignment="1" applyProtection="1">
      <alignment vertical="center"/>
      <protection locked="0"/>
    </xf>
    <xf numFmtId="179" fontId="45" fillId="2" borderId="10" xfId="21" applyFont="1" applyFill="1" applyBorder="1" applyAlignment="1">
      <alignment horizontal="center" vertical="center" wrapText="1"/>
    </xf>
    <xf numFmtId="179" fontId="33" fillId="2" borderId="0" xfId="19" applyFont="1" applyFill="1" applyAlignment="1" applyProtection="1">
      <alignment vertical="center" wrapText="1"/>
      <protection locked="0"/>
    </xf>
    <xf numFmtId="179" fontId="4" fillId="2" borderId="0" xfId="0" applyFont="1" applyFill="1" applyBorder="1" applyAlignment="1" applyProtection="1">
      <alignment horizontal="center" vertical="center"/>
      <protection locked="0"/>
    </xf>
    <xf numFmtId="0" fontId="33" fillId="2" borderId="0" xfId="19" applyNumberFormat="1" applyFont="1" applyFill="1" applyBorder="1" applyAlignment="1" applyProtection="1">
      <alignment vertical="center"/>
      <protection locked="0"/>
    </xf>
    <xf numFmtId="179" fontId="33" fillId="2" borderId="0" xfId="19" applyFont="1" applyFill="1" applyBorder="1" applyAlignment="1" applyProtection="1">
      <alignment horizontal="left" vertical="center"/>
      <protection locked="0"/>
    </xf>
    <xf numFmtId="179" fontId="33" fillId="4" borderId="0" xfId="19" applyFont="1" applyFill="1" applyAlignment="1" applyProtection="1">
      <alignment vertical="center" wrapText="1"/>
      <protection locked="0"/>
    </xf>
    <xf numFmtId="179" fontId="17" fillId="4" borderId="0" xfId="19" applyFont="1" applyFill="1" applyAlignment="1" applyProtection="1">
      <alignment vertical="center" wrapText="1"/>
      <protection locked="0"/>
    </xf>
    <xf numFmtId="179" fontId="5" fillId="4" borderId="0" xfId="19" applyFont="1" applyFill="1" applyAlignment="1" applyProtection="1">
      <alignment vertical="center" wrapText="1"/>
      <protection locked="0"/>
    </xf>
    <xf numFmtId="179" fontId="17" fillId="3" borderId="0" xfId="19" applyFont="1" applyFill="1" applyAlignment="1" applyProtection="1">
      <alignment vertical="center" wrapText="1"/>
      <protection locked="0"/>
    </xf>
    <xf numFmtId="179" fontId="15" fillId="3" borderId="0" xfId="17" applyFont="1" applyFill="1" applyBorder="1" applyAlignment="1" applyProtection="1">
      <alignment vertical="center" wrapText="1"/>
    </xf>
    <xf numFmtId="179" fontId="33" fillId="3" borderId="0" xfId="19" applyFont="1" applyFill="1" applyAlignment="1" applyProtection="1">
      <alignment vertical="center" wrapText="1"/>
      <protection locked="0"/>
    </xf>
    <xf numFmtId="179" fontId="44" fillId="3" borderId="0" xfId="19" applyFont="1" applyFill="1" applyAlignment="1" applyProtection="1">
      <alignment vertical="center" wrapText="1"/>
      <protection locked="0"/>
    </xf>
    <xf numFmtId="179" fontId="44" fillId="4" borderId="0" xfId="19" applyFont="1" applyFill="1" applyAlignment="1" applyProtection="1">
      <alignment vertical="center" wrapText="1"/>
      <protection locked="0"/>
    </xf>
    <xf numFmtId="181" fontId="33" fillId="4" borderId="0" xfId="19" applyNumberFormat="1" applyFont="1" applyFill="1" applyAlignment="1" applyProtection="1">
      <alignment vertical="center" wrapText="1"/>
      <protection locked="0"/>
    </xf>
    <xf numFmtId="179" fontId="43" fillId="3" borderId="0" xfId="0" applyFont="1" applyFill="1" applyBorder="1" applyAlignment="1" applyProtection="1">
      <alignment vertical="center"/>
      <protection locked="0"/>
    </xf>
    <xf numFmtId="179" fontId="44" fillId="0" borderId="0" xfId="19" applyFont="1" applyFill="1" applyAlignment="1" applyProtection="1">
      <alignment vertical="center" wrapText="1"/>
      <protection locked="0"/>
    </xf>
    <xf numFmtId="0" fontId="51" fillId="0" borderId="27" xfId="50" applyFont="1" applyFill="1" applyBorder="1" applyAlignment="1">
      <alignment horizontal="center" vertical="center" wrapText="1"/>
    </xf>
    <xf numFmtId="0" fontId="51" fillId="5" borderId="27" xfId="50" applyFont="1" applyFill="1" applyBorder="1" applyAlignment="1">
      <alignment horizontal="center" vertical="center" wrapText="1"/>
    </xf>
    <xf numFmtId="179" fontId="15" fillId="2" borderId="10" xfId="17" applyFont="1" applyFill="1" applyBorder="1" applyAlignment="1" applyProtection="1">
      <alignment horizontal="center" vertical="center" wrapText="1"/>
      <protection locked="0"/>
    </xf>
    <xf numFmtId="179" fontId="18" fillId="2" borderId="10" xfId="0" applyFont="1" applyFill="1" applyBorder="1" applyAlignment="1" applyProtection="1">
      <alignment horizontal="center" vertical="center"/>
      <protection locked="0"/>
    </xf>
    <xf numFmtId="179" fontId="21" fillId="2" borderId="10" xfId="21" applyFont="1" applyFill="1" applyBorder="1" applyAlignment="1" applyProtection="1">
      <alignment horizontal="center" vertical="center" wrapText="1"/>
      <protection locked="0"/>
    </xf>
    <xf numFmtId="179" fontId="20" fillId="2" borderId="10" xfId="21" applyFont="1" applyFill="1" applyBorder="1" applyAlignment="1" applyProtection="1">
      <alignment horizontal="center" vertical="center"/>
      <protection locked="0"/>
    </xf>
    <xf numFmtId="179" fontId="20" fillId="2" borderId="10" xfId="21" applyFont="1" applyFill="1" applyBorder="1" applyAlignment="1" applyProtection="1">
      <alignment horizontal="center" vertical="center" wrapText="1"/>
      <protection locked="0"/>
    </xf>
    <xf numFmtId="179" fontId="22" fillId="2" borderId="33" xfId="19" applyFont="1" applyFill="1" applyBorder="1" applyAlignment="1" applyProtection="1">
      <alignment horizontal="center" vertical="center" wrapText="1"/>
      <protection locked="0"/>
    </xf>
    <xf numFmtId="179" fontId="22" fillId="2" borderId="10" xfId="11" applyNumberFormat="1" applyFont="1" applyFill="1" applyBorder="1" applyAlignment="1">
      <alignment horizontal="center" vertical="center" wrapText="1"/>
    </xf>
    <xf numFmtId="0" fontId="25" fillId="2" borderId="10" xfId="11" applyFont="1" applyFill="1" applyBorder="1" applyAlignment="1">
      <alignment horizontal="center" vertical="center" wrapText="1"/>
    </xf>
    <xf numFmtId="0" fontId="15" fillId="2" borderId="10" xfId="11" applyNumberFormat="1" applyFont="1" applyFill="1" applyBorder="1" applyAlignment="1">
      <alignment horizontal="center" vertical="center" wrapText="1"/>
    </xf>
    <xf numFmtId="0" fontId="15" fillId="2" borderId="10" xfId="11" quotePrefix="1" applyFont="1" applyFill="1" applyBorder="1" applyAlignment="1">
      <alignment horizontal="center" vertical="center" wrapText="1"/>
    </xf>
    <xf numFmtId="0" fontId="15" fillId="2" borderId="27" xfId="11" applyFont="1" applyFill="1" applyBorder="1" applyAlignment="1">
      <alignment horizontal="center" vertical="center" wrapText="1"/>
    </xf>
    <xf numFmtId="0" fontId="15" fillId="2" borderId="10" xfId="0" applyNumberFormat="1" applyFont="1" applyFill="1" applyBorder="1" applyAlignment="1">
      <alignment horizontal="center" vertical="center" wrapText="1"/>
    </xf>
    <xf numFmtId="179" fontId="15" fillId="2" borderId="10" xfId="21" applyFont="1" applyFill="1" applyBorder="1" applyAlignment="1">
      <alignment horizontal="left" vertical="center" wrapText="1"/>
    </xf>
    <xf numFmtId="179" fontId="47" fillId="2" borderId="10" xfId="0" applyFont="1" applyFill="1" applyBorder="1" applyAlignment="1">
      <alignment horizontal="center" vertical="center" wrapText="1"/>
    </xf>
    <xf numFmtId="0" fontId="25" fillId="2" borderId="10" xfId="17" applyNumberFormat="1" applyFont="1" applyFill="1" applyBorder="1" applyAlignment="1" applyProtection="1">
      <alignment horizontal="center" vertical="center" wrapText="1"/>
    </xf>
    <xf numFmtId="179" fontId="25" fillId="2" borderId="10" xfId="17" applyFont="1" applyFill="1" applyBorder="1" applyAlignment="1" applyProtection="1">
      <alignment horizontal="center" vertical="center" wrapText="1"/>
    </xf>
    <xf numFmtId="179" fontId="25" fillId="2" borderId="26" xfId="17" applyFont="1" applyFill="1" applyBorder="1" applyAlignment="1" applyProtection="1">
      <alignment horizontal="center" vertical="center" wrapText="1"/>
    </xf>
    <xf numFmtId="179" fontId="25" fillId="2" borderId="22" xfId="17" applyFont="1" applyFill="1" applyBorder="1" applyAlignment="1" applyProtection="1">
      <alignment horizontal="center" vertical="center" wrapText="1"/>
    </xf>
    <xf numFmtId="179" fontId="25" fillId="2" borderId="10" xfId="17" applyFont="1" applyFill="1" applyBorder="1" applyAlignment="1" applyProtection="1">
      <alignment horizontal="left" vertical="center" wrapText="1"/>
      <protection locked="0"/>
    </xf>
    <xf numFmtId="179" fontId="19" fillId="2" borderId="10" xfId="17" applyFont="1" applyFill="1" applyBorder="1" applyAlignment="1" applyProtection="1">
      <alignment horizontal="center" vertical="center" wrapText="1"/>
      <protection locked="0"/>
    </xf>
    <xf numFmtId="0" fontId="13" fillId="2" borderId="10" xfId="11" applyFont="1" applyFill="1" applyBorder="1" applyAlignment="1" applyProtection="1">
      <alignment horizontal="center" vertical="center" wrapText="1"/>
      <protection locked="0"/>
    </xf>
    <xf numFmtId="179" fontId="13" fillId="2" borderId="10" xfId="17" applyFont="1" applyFill="1" applyBorder="1" applyAlignment="1" applyProtection="1">
      <alignment horizontal="left" vertical="center" wrapText="1"/>
      <protection locked="0"/>
    </xf>
    <xf numFmtId="179" fontId="6" fillId="2" borderId="10" xfId="17" applyFont="1" applyFill="1" applyBorder="1" applyAlignment="1" applyProtection="1">
      <alignment horizontal="center" vertical="center" wrapText="1"/>
      <protection locked="0"/>
    </xf>
    <xf numFmtId="0" fontId="19" fillId="2" borderId="10" xfId="11" applyFont="1" applyFill="1" applyBorder="1" applyAlignment="1" applyProtection="1">
      <alignment horizontal="center" vertical="center" wrapText="1"/>
      <protection locked="0"/>
    </xf>
    <xf numFmtId="179" fontId="25" fillId="2" borderId="10" xfId="17" applyFont="1" applyFill="1" applyBorder="1" applyAlignment="1" applyProtection="1">
      <alignment horizontal="center" vertical="center" wrapText="1"/>
      <protection locked="0"/>
    </xf>
    <xf numFmtId="0" fontId="25" fillId="2" borderId="10" xfId="11" applyFont="1" applyFill="1" applyBorder="1" applyAlignment="1" applyProtection="1">
      <alignment horizontal="center" vertical="center" wrapText="1"/>
      <protection locked="0"/>
    </xf>
    <xf numFmtId="179" fontId="25" fillId="2" borderId="10" xfId="17" applyFont="1" applyFill="1" applyBorder="1" applyAlignment="1">
      <alignment horizontal="center" vertical="center" wrapText="1"/>
    </xf>
    <xf numFmtId="179" fontId="15" fillId="2" borderId="10" xfId="21" applyFont="1" applyFill="1" applyBorder="1" applyAlignment="1">
      <alignment horizontal="center" vertical="center" wrapText="1"/>
    </xf>
    <xf numFmtId="179" fontId="15" fillId="2" borderId="10" xfId="21" applyFont="1" applyFill="1" applyBorder="1" applyAlignment="1" applyProtection="1">
      <alignment horizontal="center" vertical="center" wrapText="1"/>
      <protection locked="0"/>
    </xf>
    <xf numFmtId="179" fontId="25" fillId="2" borderId="10" xfId="21" applyFont="1" applyFill="1" applyBorder="1" applyAlignment="1" applyProtection="1">
      <alignment horizontal="center" vertical="center" wrapText="1"/>
    </xf>
    <xf numFmtId="179" fontId="15" fillId="2" borderId="10" xfId="17" applyFont="1" applyFill="1" applyBorder="1" applyAlignment="1">
      <alignment horizontal="left" vertical="center" wrapText="1"/>
    </xf>
    <xf numFmtId="0" fontId="8" fillId="2" borderId="26" xfId="11" applyFont="1" applyFill="1" applyBorder="1" applyAlignment="1">
      <alignment horizontal="center" vertical="center" wrapText="1"/>
    </xf>
    <xf numFmtId="179" fontId="15" fillId="2" borderId="10" xfId="47" applyFont="1" applyFill="1" applyBorder="1" applyAlignment="1">
      <alignment horizontal="center" vertical="center" wrapText="1"/>
    </xf>
    <xf numFmtId="179" fontId="15" fillId="2" borderId="22" xfId="14" applyFont="1" applyFill="1" applyBorder="1" applyAlignment="1">
      <alignment horizontal="center" vertical="center" wrapText="1"/>
    </xf>
    <xf numFmtId="179" fontId="4" fillId="2" borderId="10" xfId="17" applyFont="1" applyFill="1" applyBorder="1" applyAlignment="1">
      <alignment horizontal="left" vertical="center" wrapText="1"/>
    </xf>
    <xf numFmtId="0" fontId="42" fillId="2" borderId="10" xfId="11" applyFont="1" applyFill="1" applyBorder="1" applyAlignment="1">
      <alignment horizontal="center" vertical="center" wrapText="1"/>
    </xf>
    <xf numFmtId="179" fontId="4" fillId="2" borderId="10" xfId="17" applyFont="1" applyFill="1" applyBorder="1" applyAlignment="1">
      <alignment horizontal="center" vertical="center" wrapText="1"/>
    </xf>
    <xf numFmtId="179" fontId="6" fillId="2" borderId="10" xfId="17" applyFont="1" applyFill="1" applyBorder="1" applyAlignment="1">
      <alignment horizontal="center" vertical="center" wrapText="1"/>
    </xf>
    <xf numFmtId="179" fontId="4" fillId="2" borderId="10" xfId="17" applyFont="1" applyFill="1" applyBorder="1" applyAlignment="1" applyProtection="1">
      <alignment horizontal="center" vertical="center" wrapText="1"/>
      <protection locked="0"/>
    </xf>
    <xf numFmtId="179" fontId="4" fillId="2" borderId="10" xfId="17" applyFont="1" applyFill="1" applyBorder="1" applyAlignment="1" applyProtection="1">
      <alignment horizontal="left" vertical="center" wrapText="1"/>
      <protection locked="0"/>
    </xf>
    <xf numFmtId="179" fontId="15" fillId="2" borderId="22" xfId="17" applyFont="1" applyFill="1" applyBorder="1" applyAlignment="1">
      <alignment horizontal="center" vertical="center" wrapText="1"/>
    </xf>
    <xf numFmtId="179" fontId="6" fillId="2" borderId="10" xfId="12" applyFont="1" applyFill="1" applyBorder="1" applyAlignment="1" applyProtection="1">
      <alignment horizontal="left" vertical="center" wrapText="1"/>
      <protection locked="0"/>
    </xf>
    <xf numFmtId="0" fontId="15" fillId="2" borderId="10" xfId="17" applyNumberFormat="1" applyFont="1" applyFill="1" applyBorder="1" applyAlignment="1">
      <alignment horizontal="center" vertical="center" wrapText="1"/>
    </xf>
    <xf numFmtId="0" fontId="25" fillId="2" borderId="10" xfId="17" applyNumberFormat="1" applyFont="1" applyFill="1" applyBorder="1" applyAlignment="1">
      <alignment horizontal="center" vertical="center" wrapText="1"/>
    </xf>
    <xf numFmtId="179" fontId="18" fillId="2" borderId="26" xfId="19" applyFont="1" applyFill="1" applyBorder="1" applyAlignment="1" applyProtection="1">
      <alignment horizontal="center" vertical="center"/>
      <protection locked="0"/>
    </xf>
    <xf numFmtId="0" fontId="25" fillId="5" borderId="10" xfId="11" applyFont="1" applyFill="1" applyBorder="1" applyAlignment="1">
      <alignment horizontal="center" vertical="center" wrapText="1"/>
    </xf>
    <xf numFmtId="0" fontId="15" fillId="5" borderId="10" xfId="11" applyFont="1" applyFill="1" applyBorder="1" applyAlignment="1">
      <alignment horizontal="center" vertical="center" wrapText="1"/>
    </xf>
    <xf numFmtId="0" fontId="15" fillId="2" borderId="10" xfId="11" applyFont="1" applyFill="1" applyBorder="1" applyAlignment="1">
      <alignment horizontal="center" vertical="center" wrapText="1"/>
    </xf>
    <xf numFmtId="0" fontId="15" fillId="2" borderId="10" xfId="11" applyFont="1" applyFill="1" applyBorder="1" applyAlignment="1">
      <alignment horizontal="left" vertical="center" wrapText="1"/>
    </xf>
    <xf numFmtId="0" fontId="15" fillId="2" borderId="26" xfId="11" applyFont="1" applyFill="1" applyBorder="1" applyAlignment="1">
      <alignment horizontal="center" vertical="center" wrapText="1"/>
    </xf>
    <xf numFmtId="0" fontId="42" fillId="2" borderId="26" xfId="11" applyFont="1" applyFill="1" applyBorder="1" applyAlignment="1">
      <alignment horizontal="center" vertical="center" wrapText="1"/>
    </xf>
    <xf numFmtId="179" fontId="8" fillId="5" borderId="10" xfId="17" applyFont="1" applyFill="1" applyBorder="1" applyAlignment="1">
      <alignment horizontal="center" vertical="center" wrapText="1"/>
    </xf>
    <xf numFmtId="179" fontId="57" fillId="5" borderId="10" xfId="17" applyFont="1" applyFill="1" applyBorder="1" applyAlignment="1">
      <alignment horizontal="center" vertical="center" wrapText="1"/>
    </xf>
    <xf numFmtId="179" fontId="15" fillId="5" borderId="10" xfId="17" applyFont="1" applyFill="1" applyBorder="1" applyAlignment="1">
      <alignment horizontal="center" vertical="center" wrapText="1"/>
    </xf>
    <xf numFmtId="179" fontId="6" fillId="5" borderId="10" xfId="17" applyFont="1" applyFill="1" applyBorder="1" applyAlignment="1">
      <alignment horizontal="center" vertical="center" wrapText="1"/>
    </xf>
    <xf numFmtId="0" fontId="19" fillId="0" borderId="22" xfId="35" applyNumberFormat="1" applyFont="1" applyBorder="1" applyAlignment="1">
      <alignment horizontal="center" vertical="center"/>
    </xf>
    <xf numFmtId="0" fontId="19" fillId="0" borderId="23" xfId="35" applyNumberFormat="1" applyFont="1" applyBorder="1" applyAlignment="1">
      <alignment horizontal="center" vertical="center"/>
    </xf>
    <xf numFmtId="179" fontId="48" fillId="0" borderId="22" xfId="0" applyFont="1" applyBorder="1" applyAlignment="1">
      <alignment horizontal="center" vertical="center" wrapText="1"/>
    </xf>
    <xf numFmtId="179" fontId="48" fillId="0" borderId="23" xfId="0" applyFont="1" applyBorder="1" applyAlignment="1">
      <alignment horizontal="center" vertical="center" wrapText="1"/>
    </xf>
    <xf numFmtId="179" fontId="5" fillId="0" borderId="22" xfId="47" applyFont="1" applyBorder="1" applyAlignment="1">
      <alignment horizontal="center" vertical="center" wrapText="1"/>
    </xf>
    <xf numFmtId="179" fontId="5" fillId="0" borderId="18" xfId="47" applyFont="1" applyBorder="1" applyAlignment="1">
      <alignment horizontal="center" vertical="center" wrapText="1"/>
    </xf>
    <xf numFmtId="179" fontId="5" fillId="0" borderId="23" xfId="47" applyFont="1" applyBorder="1" applyAlignment="1">
      <alignment horizontal="center" vertical="center" wrapText="1"/>
    </xf>
    <xf numFmtId="179" fontId="17" fillId="0" borderId="22" xfId="30" applyFont="1" applyBorder="1" applyAlignment="1">
      <alignment horizontal="left" vertical="center" wrapText="1"/>
    </xf>
    <xf numFmtId="179" fontId="17" fillId="0" borderId="18" xfId="30" applyFont="1" applyBorder="1" applyAlignment="1">
      <alignment horizontal="left" vertical="center" wrapText="1"/>
    </xf>
    <xf numFmtId="179" fontId="33" fillId="0" borderId="22" xfId="34" applyFont="1" applyBorder="1" applyAlignment="1">
      <alignment horizontal="left" vertical="center" wrapText="1"/>
    </xf>
    <xf numFmtId="179" fontId="17" fillId="0" borderId="18" xfId="34" applyFont="1" applyBorder="1" applyAlignment="1">
      <alignment horizontal="left" vertical="center" wrapText="1"/>
    </xf>
    <xf numFmtId="179" fontId="34" fillId="0" borderId="20" xfId="34" applyFont="1" applyBorder="1" applyAlignment="1">
      <alignment horizontal="center" vertical="center"/>
    </xf>
    <xf numFmtId="179" fontId="35" fillId="0" borderId="10" xfId="34" applyFont="1" applyBorder="1" applyAlignment="1">
      <alignment horizontal="center" vertical="center"/>
    </xf>
    <xf numFmtId="179" fontId="32" fillId="0" borderId="10" xfId="34" applyFont="1" applyBorder="1" applyAlignment="1">
      <alignment horizontal="center" vertical="center"/>
    </xf>
    <xf numFmtId="179" fontId="35" fillId="0" borderId="10" xfId="34" applyFont="1" applyFill="1" applyBorder="1" applyAlignment="1">
      <alignment horizontal="center" vertical="center"/>
    </xf>
    <xf numFmtId="179" fontId="32" fillId="0" borderId="22" xfId="34" applyFont="1" applyFill="1" applyBorder="1" applyAlignment="1">
      <alignment horizontal="center" vertical="center"/>
    </xf>
    <xf numFmtId="179" fontId="32" fillId="0" borderId="18" xfId="34" applyFont="1" applyFill="1" applyBorder="1" applyAlignment="1">
      <alignment horizontal="center" vertical="center"/>
    </xf>
    <xf numFmtId="179" fontId="32" fillId="0" borderId="23" xfId="34" applyFont="1" applyFill="1" applyBorder="1" applyAlignment="1">
      <alignment horizontal="center" vertical="center"/>
    </xf>
    <xf numFmtId="179" fontId="17" fillId="0" borderId="22" xfId="0" applyFont="1" applyBorder="1" applyAlignment="1">
      <alignment horizontal="left" vertical="center" wrapText="1"/>
    </xf>
    <xf numFmtId="179" fontId="17" fillId="0" borderId="18" xfId="0" applyFont="1" applyBorder="1" applyAlignment="1">
      <alignment horizontal="left" vertical="center" wrapText="1"/>
    </xf>
    <xf numFmtId="179" fontId="5" fillId="0" borderId="22" xfId="0" applyFont="1" applyBorder="1" applyAlignment="1">
      <alignment horizontal="left" vertical="center" wrapText="1"/>
    </xf>
    <xf numFmtId="179" fontId="5" fillId="0" borderId="22" xfId="0" applyFont="1" applyBorder="1" applyAlignment="1">
      <alignment vertical="center" wrapText="1"/>
    </xf>
    <xf numFmtId="179" fontId="5" fillId="0" borderId="18" xfId="0" applyFont="1" applyBorder="1" applyAlignment="1">
      <alignment vertical="center" wrapText="1"/>
    </xf>
    <xf numFmtId="179" fontId="17" fillId="0" borderId="22" xfId="0" applyFont="1" applyBorder="1" applyAlignment="1">
      <alignment vertical="center" wrapText="1"/>
    </xf>
    <xf numFmtId="179" fontId="17" fillId="0" borderId="18" xfId="0" applyFont="1" applyBorder="1" applyAlignment="1">
      <alignment vertical="center" wrapText="1"/>
    </xf>
    <xf numFmtId="179" fontId="29" fillId="0" borderId="22" xfId="34" applyFont="1" applyBorder="1" applyAlignment="1">
      <alignment horizontal="center" vertical="center"/>
    </xf>
    <xf numFmtId="179" fontId="29" fillId="0" borderId="18" xfId="34" applyFont="1" applyBorder="1" applyAlignment="1">
      <alignment horizontal="center" vertical="center"/>
    </xf>
    <xf numFmtId="179" fontId="29" fillId="0" borderId="23" xfId="34" applyFont="1" applyBorder="1" applyAlignment="1">
      <alignment horizontal="center" vertical="center"/>
    </xf>
    <xf numFmtId="179" fontId="56" fillId="0" borderId="22" xfId="47" applyFont="1" applyBorder="1" applyAlignment="1">
      <alignment horizontal="center" vertical="center" wrapText="1"/>
    </xf>
    <xf numFmtId="179" fontId="56" fillId="0" borderId="18" xfId="47" applyFont="1" applyBorder="1" applyAlignment="1">
      <alignment horizontal="center" vertical="center" wrapText="1"/>
    </xf>
    <xf numFmtId="179" fontId="56" fillId="0" borderId="23" xfId="47" applyFont="1" applyBorder="1" applyAlignment="1">
      <alignment horizontal="center" vertical="center" wrapText="1"/>
    </xf>
    <xf numFmtId="0" fontId="24" fillId="0" borderId="22" xfId="34" applyNumberFormat="1" applyFont="1" applyBorder="1" applyAlignment="1">
      <alignment horizontal="center" vertical="center"/>
    </xf>
    <xf numFmtId="0" fontId="26" fillId="0" borderId="18" xfId="34" applyNumberFormat="1" applyFont="1" applyBorder="1" applyAlignment="1">
      <alignment horizontal="center" vertical="center"/>
    </xf>
    <xf numFmtId="0" fontId="26" fillId="0" borderId="23" xfId="34" applyNumberFormat="1" applyFont="1" applyBorder="1" applyAlignment="1">
      <alignment horizontal="center" vertical="center"/>
    </xf>
    <xf numFmtId="0" fontId="27" fillId="0" borderId="10" xfId="34" applyNumberFormat="1" applyFont="1" applyBorder="1" applyAlignment="1">
      <alignment horizontal="center" vertical="center"/>
    </xf>
    <xf numFmtId="14" fontId="28" fillId="0" borderId="10" xfId="34" applyNumberFormat="1" applyFont="1" applyBorder="1" applyAlignment="1">
      <alignment horizontal="center" vertical="center" wrapText="1"/>
    </xf>
    <xf numFmtId="0" fontId="29" fillId="0" borderId="10" xfId="34" applyNumberFormat="1" applyFont="1" applyBorder="1" applyAlignment="1">
      <alignment horizontal="center" vertical="center"/>
    </xf>
    <xf numFmtId="0" fontId="28" fillId="0" borderId="10" xfId="34" applyNumberFormat="1" applyFont="1" applyBorder="1" applyAlignment="1">
      <alignment horizontal="center" vertical="center" wrapText="1"/>
    </xf>
    <xf numFmtId="0" fontId="36" fillId="0" borderId="10" xfId="34" applyNumberFormat="1" applyFont="1" applyBorder="1" applyAlignment="1">
      <alignment horizontal="center" vertical="center"/>
    </xf>
    <xf numFmtId="179" fontId="31" fillId="0" borderId="20" xfId="34" applyFont="1" applyBorder="1" applyAlignment="1">
      <alignment horizontal="center" vertical="center"/>
    </xf>
    <xf numFmtId="0" fontId="15" fillId="2" borderId="27" xfId="11" applyFont="1" applyFill="1" applyBorder="1" applyAlignment="1">
      <alignment horizontal="center" vertical="center" wrapText="1"/>
    </xf>
    <xf numFmtId="0" fontId="15" fillId="2" borderId="30" xfId="11" applyFont="1" applyFill="1" applyBorder="1" applyAlignment="1">
      <alignment horizontal="center" vertical="center" wrapText="1"/>
    </xf>
    <xf numFmtId="0" fontId="15" fillId="2" borderId="26" xfId="11" applyFont="1" applyFill="1" applyBorder="1" applyAlignment="1">
      <alignment horizontal="center" vertical="center" wrapText="1"/>
    </xf>
    <xf numFmtId="0" fontId="42" fillId="2" borderId="27" xfId="11" applyFont="1" applyFill="1" applyBorder="1" applyAlignment="1">
      <alignment horizontal="center" vertical="center" wrapText="1"/>
    </xf>
    <xf numFmtId="0" fontId="42" fillId="2" borderId="30" xfId="11" applyFont="1" applyFill="1" applyBorder="1" applyAlignment="1">
      <alignment horizontal="center" vertical="center" wrapText="1"/>
    </xf>
    <xf numFmtId="0" fontId="42" fillId="2" borderId="26" xfId="11" applyFont="1" applyFill="1" applyBorder="1" applyAlignment="1">
      <alignment horizontal="center" vertical="center" wrapText="1"/>
    </xf>
    <xf numFmtId="179" fontId="25" fillId="2" borderId="27" xfId="17" applyFont="1" applyFill="1" applyBorder="1" applyAlignment="1" applyProtection="1">
      <alignment horizontal="center" vertical="center" wrapText="1"/>
    </xf>
    <xf numFmtId="179" fontId="25" fillId="2" borderId="30" xfId="17" applyFont="1" applyFill="1" applyBorder="1" applyAlignment="1" applyProtection="1">
      <alignment horizontal="center" vertical="center" wrapText="1"/>
    </xf>
    <xf numFmtId="179" fontId="25" fillId="2" borderId="26" xfId="17" applyFont="1" applyFill="1" applyBorder="1" applyAlignment="1" applyProtection="1">
      <alignment horizontal="center" vertical="center" wrapText="1"/>
    </xf>
    <xf numFmtId="179" fontId="25" fillId="2" borderId="10" xfId="17" applyFont="1" applyFill="1" applyBorder="1" applyAlignment="1" applyProtection="1">
      <alignment vertical="center" wrapText="1"/>
    </xf>
    <xf numFmtId="179" fontId="13" fillId="2" borderId="22" xfId="17" applyFont="1" applyFill="1" applyBorder="1" applyAlignment="1" applyProtection="1">
      <alignment horizontal="left" vertical="center" wrapText="1"/>
      <protection locked="0"/>
    </xf>
    <xf numFmtId="179" fontId="19" fillId="2" borderId="23" xfId="17" applyFont="1" applyFill="1" applyBorder="1" applyAlignment="1" applyProtection="1">
      <alignment horizontal="left" vertical="center" wrapText="1"/>
      <protection locked="0"/>
    </xf>
    <xf numFmtId="179" fontId="25" fillId="2" borderId="27" xfId="17" applyFont="1" applyFill="1" applyBorder="1" applyAlignment="1">
      <alignment horizontal="center" vertical="center" wrapText="1"/>
    </xf>
    <xf numFmtId="179" fontId="25" fillId="2" borderId="26" xfId="17" applyFont="1" applyFill="1" applyBorder="1" applyAlignment="1">
      <alignment horizontal="center" vertical="center" wrapText="1"/>
    </xf>
    <xf numFmtId="179" fontId="25" fillId="2" borderId="10" xfId="17" applyFont="1" applyFill="1" applyBorder="1" applyAlignment="1" applyProtection="1">
      <alignment horizontal="left" vertical="center" wrapText="1"/>
      <protection locked="0"/>
    </xf>
    <xf numFmtId="179" fontId="15" fillId="2" borderId="10" xfId="17" applyFont="1" applyFill="1" applyBorder="1" applyAlignment="1" applyProtection="1">
      <alignment vertical="center" wrapText="1"/>
    </xf>
    <xf numFmtId="0" fontId="15" fillId="2" borderId="10" xfId="11" applyFont="1" applyFill="1" applyBorder="1" applyAlignment="1">
      <alignment vertical="center" wrapText="1"/>
    </xf>
    <xf numFmtId="0" fontId="15" fillId="2" borderId="10" xfId="11" applyFont="1" applyFill="1" applyBorder="1" applyAlignment="1">
      <alignment horizontal="center" vertical="center" wrapText="1"/>
    </xf>
    <xf numFmtId="0" fontId="15" fillId="2" borderId="22" xfId="11" applyFont="1" applyFill="1" applyBorder="1" applyAlignment="1">
      <alignment horizontal="left" vertical="center" wrapText="1"/>
    </xf>
    <xf numFmtId="0" fontId="15" fillId="2" borderId="32" xfId="11" applyFont="1" applyFill="1" applyBorder="1" applyAlignment="1">
      <alignment horizontal="left" vertical="center" wrapText="1"/>
    </xf>
    <xf numFmtId="179" fontId="15" fillId="2" borderId="10" xfId="54" applyFont="1" applyFill="1" applyBorder="1" applyAlignment="1">
      <alignment vertical="center" wrapText="1"/>
    </xf>
    <xf numFmtId="179" fontId="4" fillId="2" borderId="28" xfId="17" applyFont="1" applyFill="1" applyBorder="1" applyAlignment="1" applyProtection="1">
      <alignment horizontal="left" vertical="center" wrapText="1"/>
      <protection locked="0"/>
    </xf>
    <xf numFmtId="179" fontId="4" fillId="2" borderId="29" xfId="17" applyFont="1" applyFill="1" applyBorder="1" applyAlignment="1" applyProtection="1">
      <alignment horizontal="left" vertical="center" wrapText="1"/>
      <protection locked="0"/>
    </xf>
    <xf numFmtId="0" fontId="42" fillId="2" borderId="10" xfId="11" applyFont="1" applyFill="1" applyBorder="1" applyAlignment="1">
      <alignment horizontal="center" vertical="center" wrapText="1"/>
    </xf>
    <xf numFmtId="179" fontId="42" fillId="2" borderId="10" xfId="17" applyFont="1" applyFill="1" applyBorder="1" applyAlignment="1" applyProtection="1">
      <alignment horizontal="center" vertical="center" wrapText="1"/>
      <protection locked="0"/>
    </xf>
    <xf numFmtId="179" fontId="15" fillId="2" borderId="10" xfId="17" applyFont="1" applyFill="1" applyBorder="1" applyAlignment="1" applyProtection="1">
      <alignment horizontal="center" vertical="center" wrapText="1"/>
      <protection locked="0"/>
    </xf>
    <xf numFmtId="0" fontId="25" fillId="2" borderId="22" xfId="11" applyFont="1" applyFill="1" applyBorder="1" applyAlignment="1">
      <alignment horizontal="left" vertical="center" wrapText="1"/>
    </xf>
    <xf numFmtId="0" fontId="25" fillId="2" borderId="23" xfId="11" applyFont="1" applyFill="1" applyBorder="1" applyAlignment="1">
      <alignment horizontal="left" vertical="center" wrapText="1"/>
    </xf>
    <xf numFmtId="0" fontId="15" fillId="2" borderId="23" xfId="11" applyFont="1" applyFill="1" applyBorder="1" applyAlignment="1">
      <alignment horizontal="left" vertical="center" wrapText="1"/>
    </xf>
    <xf numFmtId="0" fontId="15" fillId="2" borderId="10" xfId="11" applyFont="1" applyFill="1" applyBorder="1" applyAlignment="1">
      <alignment horizontal="left" vertical="center" wrapText="1"/>
    </xf>
    <xf numFmtId="179" fontId="4" fillId="2" borderId="22" xfId="14" applyFont="1" applyFill="1" applyBorder="1" applyAlignment="1" applyProtection="1">
      <alignment horizontal="left" vertical="center" wrapText="1"/>
      <protection locked="0"/>
    </xf>
    <xf numFmtId="179" fontId="4" fillId="2" borderId="23" xfId="14" applyFont="1" applyFill="1" applyBorder="1" applyAlignment="1" applyProtection="1">
      <alignment horizontal="left" vertical="center" wrapText="1"/>
      <protection locked="0"/>
    </xf>
    <xf numFmtId="0" fontId="15" fillId="2" borderId="22" xfId="11" applyFont="1" applyFill="1" applyBorder="1" applyAlignment="1">
      <alignment vertical="center" wrapText="1"/>
    </xf>
    <xf numFmtId="0" fontId="15" fillId="2" borderId="23" xfId="11" applyFont="1" applyFill="1" applyBorder="1" applyAlignment="1">
      <alignment vertical="center" wrapText="1"/>
    </xf>
    <xf numFmtId="179" fontId="4" fillId="2" borderId="22" xfId="14" applyFont="1" applyFill="1" applyBorder="1" applyAlignment="1">
      <alignment horizontal="left" vertical="center" wrapText="1"/>
    </xf>
    <xf numFmtId="179" fontId="4" fillId="2" borderId="23" xfId="14" applyFont="1" applyFill="1" applyBorder="1" applyAlignment="1">
      <alignment horizontal="left" vertical="center" wrapText="1"/>
    </xf>
    <xf numFmtId="0" fontId="15" fillId="2" borderId="19" xfId="11" applyFont="1" applyFill="1" applyBorder="1" applyAlignment="1">
      <alignment horizontal="left" vertical="center" wrapText="1"/>
    </xf>
    <xf numFmtId="0" fontId="15" fillId="2" borderId="24" xfId="11" applyFont="1" applyFill="1" applyBorder="1" applyAlignment="1">
      <alignment horizontal="left" vertical="center" wrapText="1"/>
    </xf>
    <xf numFmtId="0" fontId="15" fillId="2" borderId="21" xfId="11" applyFont="1" applyFill="1" applyBorder="1" applyAlignment="1">
      <alignment horizontal="left" vertical="center" wrapText="1"/>
    </xf>
    <xf numFmtId="0" fontId="15" fillId="2" borderId="25" xfId="11" applyFont="1" applyFill="1" applyBorder="1" applyAlignment="1">
      <alignment horizontal="left" vertical="center" wrapText="1"/>
    </xf>
    <xf numFmtId="179" fontId="18" fillId="2" borderId="10" xfId="0" applyFont="1" applyFill="1" applyBorder="1" applyAlignment="1" applyProtection="1">
      <alignment horizontal="center" vertical="center" wrapText="1"/>
      <protection locked="0"/>
    </xf>
    <xf numFmtId="179" fontId="15" fillId="2" borderId="10" xfId="12" applyFont="1" applyFill="1" applyBorder="1" applyAlignment="1">
      <alignment vertical="center" wrapText="1"/>
    </xf>
    <xf numFmtId="179" fontId="18" fillId="2" borderId="10" xfId="0" applyFont="1" applyFill="1" applyBorder="1" applyAlignment="1" applyProtection="1">
      <alignment horizontal="center" vertical="center"/>
      <protection locked="0"/>
    </xf>
    <xf numFmtId="179" fontId="4" fillId="2" borderId="26" xfId="17" applyFont="1" applyFill="1" applyBorder="1" applyAlignment="1" applyProtection="1">
      <alignment horizontal="left" vertical="center" wrapText="1"/>
      <protection locked="0"/>
    </xf>
    <xf numFmtId="179" fontId="21" fillId="2" borderId="10" xfId="21" applyFont="1" applyFill="1" applyBorder="1" applyAlignment="1" applyProtection="1">
      <alignment horizontal="center" vertical="center" wrapText="1"/>
      <protection locked="0"/>
    </xf>
    <xf numFmtId="179" fontId="20" fillId="2" borderId="10" xfId="21" applyFont="1" applyFill="1" applyBorder="1" applyAlignment="1" applyProtection="1">
      <alignment horizontal="center" vertical="center"/>
      <protection locked="0"/>
    </xf>
    <xf numFmtId="179" fontId="20" fillId="2" borderId="10" xfId="21" applyFont="1" applyFill="1" applyBorder="1" applyAlignment="1" applyProtection="1">
      <alignment horizontal="center" vertical="center" wrapText="1"/>
      <protection locked="0"/>
    </xf>
    <xf numFmtId="179" fontId="21" fillId="2" borderId="10" xfId="21" applyFont="1" applyFill="1" applyBorder="1" applyAlignment="1" applyProtection="1">
      <alignment horizontal="center" vertical="center"/>
      <protection locked="0"/>
    </xf>
    <xf numFmtId="179" fontId="21" fillId="2" borderId="22" xfId="21" applyFont="1" applyFill="1" applyBorder="1" applyAlignment="1" applyProtection="1">
      <alignment horizontal="center" vertical="center" wrapText="1"/>
      <protection locked="0"/>
    </xf>
    <xf numFmtId="179" fontId="21" fillId="2" borderId="18" xfId="21" applyFont="1" applyFill="1" applyBorder="1" applyAlignment="1" applyProtection="1">
      <alignment horizontal="center" vertical="center" wrapText="1"/>
      <protection locked="0"/>
    </xf>
    <xf numFmtId="179" fontId="21" fillId="2" borderId="23" xfId="21" applyFont="1" applyFill="1" applyBorder="1" applyAlignment="1" applyProtection="1">
      <alignment horizontal="center" vertical="center" wrapText="1"/>
      <protection locked="0"/>
    </xf>
    <xf numFmtId="179" fontId="21" fillId="2" borderId="22" xfId="21" applyFont="1" applyFill="1" applyBorder="1" applyAlignment="1" applyProtection="1">
      <alignment horizontal="center" vertical="center"/>
      <protection locked="0"/>
    </xf>
    <xf numFmtId="179" fontId="21" fillId="2" borderId="18" xfId="21" applyFont="1" applyFill="1" applyBorder="1" applyAlignment="1" applyProtection="1">
      <alignment horizontal="center" vertical="center"/>
      <protection locked="0"/>
    </xf>
    <xf numFmtId="179" fontId="21" fillId="2" borderId="23" xfId="21" applyFont="1" applyFill="1" applyBorder="1" applyAlignment="1" applyProtection="1">
      <alignment horizontal="center" vertical="center"/>
      <protection locked="0"/>
    </xf>
    <xf numFmtId="179" fontId="22" fillId="2" borderId="22" xfId="21" applyFont="1" applyFill="1" applyBorder="1" applyAlignment="1" applyProtection="1">
      <alignment horizontal="center" vertical="center"/>
      <protection locked="0"/>
    </xf>
    <xf numFmtId="179" fontId="22" fillId="2" borderId="23" xfId="21" applyFont="1" applyFill="1" applyBorder="1" applyAlignment="1" applyProtection="1">
      <alignment horizontal="center" vertical="center"/>
      <protection locked="0"/>
    </xf>
    <xf numFmtId="179" fontId="33" fillId="2" borderId="0" xfId="19" applyFont="1" applyFill="1" applyBorder="1" applyAlignment="1" applyProtection="1">
      <alignment horizontal="left" vertical="center" wrapText="1"/>
      <protection locked="0"/>
    </xf>
    <xf numFmtId="179" fontId="22" fillId="2" borderId="33" xfId="19" applyFont="1" applyFill="1" applyBorder="1" applyAlignment="1" applyProtection="1">
      <alignment horizontal="center" vertical="center" wrapText="1"/>
      <protection locked="0"/>
    </xf>
    <xf numFmtId="179" fontId="18" fillId="2" borderId="10" xfId="19" applyFont="1" applyFill="1" applyBorder="1" applyAlignment="1" applyProtection="1">
      <alignment horizontal="center" vertical="center" wrapText="1"/>
      <protection locked="0"/>
    </xf>
    <xf numFmtId="179" fontId="24" fillId="2" borderId="19" xfId="21" applyFont="1" applyFill="1" applyBorder="1" applyAlignment="1" applyProtection="1">
      <alignment horizontal="center" vertical="center" wrapText="1"/>
      <protection locked="0"/>
    </xf>
    <xf numFmtId="179" fontId="24" fillId="2" borderId="20" xfId="21" applyFont="1" applyFill="1" applyBorder="1" applyAlignment="1" applyProtection="1">
      <alignment horizontal="center" vertical="center" wrapText="1"/>
      <protection locked="0"/>
    </xf>
    <xf numFmtId="179" fontId="24" fillId="2" borderId="24" xfId="21" applyFont="1" applyFill="1" applyBorder="1" applyAlignment="1" applyProtection="1">
      <alignment horizontal="center" vertical="center" wrapText="1"/>
      <protection locked="0"/>
    </xf>
    <xf numFmtId="179" fontId="24" fillId="2" borderId="28" xfId="21" applyFont="1" applyFill="1" applyBorder="1" applyAlignment="1" applyProtection="1">
      <alignment horizontal="center" vertical="center" wrapText="1"/>
      <protection locked="0"/>
    </xf>
    <xf numFmtId="179" fontId="24" fillId="2" borderId="34" xfId="21" applyFont="1" applyFill="1" applyBorder="1" applyAlignment="1" applyProtection="1">
      <alignment horizontal="center" vertical="center" wrapText="1"/>
      <protection locked="0"/>
    </xf>
    <xf numFmtId="179" fontId="24" fillId="2" borderId="29" xfId="21" applyFont="1" applyFill="1" applyBorder="1" applyAlignment="1" applyProtection="1">
      <alignment horizontal="center" vertical="center" wrapText="1"/>
      <protection locked="0"/>
    </xf>
    <xf numFmtId="179" fontId="18" fillId="2" borderId="10" xfId="11" applyNumberFormat="1" applyFont="1" applyFill="1" applyBorder="1" applyAlignment="1">
      <alignment horizontal="center" vertical="center" wrapText="1"/>
    </xf>
    <xf numFmtId="179" fontId="22" fillId="2" borderId="10" xfId="11" applyNumberFormat="1" applyFont="1" applyFill="1" applyBorder="1" applyAlignment="1">
      <alignment horizontal="center" vertical="center" wrapText="1"/>
    </xf>
    <xf numFmtId="0" fontId="25" fillId="2" borderId="10" xfId="11" applyFont="1" applyFill="1" applyBorder="1" applyAlignment="1">
      <alignment horizontal="center" vertical="center" wrapText="1"/>
    </xf>
    <xf numFmtId="179" fontId="18" fillId="2" borderId="22" xfId="21" applyFont="1" applyFill="1" applyBorder="1" applyAlignment="1" applyProtection="1">
      <alignment horizontal="center" vertical="center" wrapText="1"/>
      <protection locked="0"/>
    </xf>
    <xf numFmtId="179" fontId="18" fillId="2" borderId="18" xfId="21" applyFont="1" applyFill="1" applyBorder="1" applyAlignment="1" applyProtection="1">
      <alignment horizontal="center" vertical="center" wrapText="1"/>
      <protection locked="0"/>
    </xf>
    <xf numFmtId="179" fontId="18" fillId="2" borderId="23" xfId="21" applyFont="1" applyFill="1" applyBorder="1" applyAlignment="1" applyProtection="1">
      <alignment horizontal="center" vertical="center" wrapText="1"/>
      <protection locked="0"/>
    </xf>
    <xf numFmtId="0" fontId="15" fillId="5" borderId="27" xfId="11" applyFont="1" applyFill="1" applyBorder="1" applyAlignment="1">
      <alignment horizontal="center" vertical="center" wrapText="1"/>
    </xf>
    <xf numFmtId="0" fontId="15" fillId="5" borderId="30" xfId="11" applyFont="1" applyFill="1" applyBorder="1" applyAlignment="1">
      <alignment horizontal="center" vertical="center" wrapText="1"/>
    </xf>
    <xf numFmtId="0" fontId="18" fillId="2" borderId="27" xfId="19" applyNumberFormat="1" applyFont="1" applyFill="1" applyBorder="1" applyAlignment="1" applyProtection="1">
      <alignment horizontal="center" vertical="center" wrapText="1"/>
      <protection locked="0"/>
    </xf>
    <xf numFmtId="0" fontId="18" fillId="2" borderId="30" xfId="19" applyNumberFormat="1" applyFont="1" applyFill="1" applyBorder="1" applyAlignment="1" applyProtection="1">
      <alignment horizontal="center" vertical="center" wrapText="1"/>
      <protection locked="0"/>
    </xf>
    <xf numFmtId="0" fontId="18" fillId="2" borderId="26" xfId="19" applyNumberFormat="1" applyFont="1" applyFill="1" applyBorder="1" applyAlignment="1" applyProtection="1">
      <alignment horizontal="center" vertical="center" wrapText="1"/>
      <protection locked="0"/>
    </xf>
    <xf numFmtId="179" fontId="18" fillId="2" borderId="27" xfId="0" applyFont="1" applyFill="1" applyBorder="1" applyAlignment="1" applyProtection="1">
      <alignment horizontal="center" vertical="center" wrapText="1"/>
      <protection locked="0"/>
    </xf>
    <xf numFmtId="179" fontId="18" fillId="2" borderId="30" xfId="0" applyFont="1" applyFill="1" applyBorder="1" applyAlignment="1" applyProtection="1">
      <alignment horizontal="center" vertical="center" wrapText="1"/>
      <protection locked="0"/>
    </xf>
    <xf numFmtId="179" fontId="18" fillId="2" borderId="26" xfId="0" applyFont="1" applyFill="1" applyBorder="1" applyAlignment="1" applyProtection="1">
      <alignment horizontal="center" vertical="center" wrapText="1"/>
      <protection locked="0"/>
    </xf>
    <xf numFmtId="179" fontId="20" fillId="2" borderId="22" xfId="0" applyFont="1" applyFill="1" applyBorder="1" applyAlignment="1" applyProtection="1">
      <alignment horizontal="center" vertical="center" wrapText="1"/>
      <protection locked="0"/>
    </xf>
    <xf numFmtId="179" fontId="20" fillId="2" borderId="23" xfId="0" applyFont="1" applyFill="1" applyBorder="1" applyAlignment="1" applyProtection="1">
      <alignment horizontal="center" vertical="center" wrapText="1"/>
      <protection locked="0"/>
    </xf>
    <xf numFmtId="0" fontId="49" fillId="0" borderId="22" xfId="50" applyFont="1" applyFill="1" applyBorder="1" applyAlignment="1">
      <alignment horizontal="center" vertical="center" wrapText="1"/>
    </xf>
    <xf numFmtId="0" fontId="49" fillId="0" borderId="18" xfId="50" applyFont="1" applyFill="1" applyBorder="1" applyAlignment="1">
      <alignment horizontal="center" vertical="center" wrapText="1"/>
    </xf>
    <xf numFmtId="0" fontId="49" fillId="0" borderId="23" xfId="50" applyFont="1" applyFill="1" applyBorder="1" applyAlignment="1">
      <alignment horizontal="center" vertical="center" wrapText="1"/>
    </xf>
    <xf numFmtId="0" fontId="51" fillId="0" borderId="10" xfId="50" applyFont="1" applyFill="1" applyBorder="1" applyAlignment="1">
      <alignment horizontal="center" vertical="center" wrapText="1"/>
    </xf>
    <xf numFmtId="0" fontId="51" fillId="0" borderId="27" xfId="50" applyFont="1" applyFill="1" applyBorder="1" applyAlignment="1">
      <alignment horizontal="center" vertical="center" wrapText="1"/>
    </xf>
    <xf numFmtId="0" fontId="51" fillId="0" borderId="26" xfId="50" applyFont="1" applyFill="1" applyBorder="1" applyAlignment="1">
      <alignment horizontal="center" vertical="center" wrapText="1"/>
    </xf>
    <xf numFmtId="0" fontId="53" fillId="0" borderId="10" xfId="50" applyFont="1" applyFill="1" applyBorder="1" applyAlignment="1">
      <alignment horizontal="left" vertical="center" wrapText="1"/>
    </xf>
    <xf numFmtId="0" fontId="53" fillId="2" borderId="22" xfId="50" applyFont="1" applyFill="1" applyBorder="1" applyAlignment="1">
      <alignment horizontal="left" vertical="center" wrapText="1"/>
    </xf>
    <xf numFmtId="0" fontId="53" fillId="2" borderId="18" xfId="50" applyFont="1" applyFill="1" applyBorder="1" applyAlignment="1">
      <alignment horizontal="left" vertical="center" wrapText="1"/>
    </xf>
    <xf numFmtId="0" fontId="53" fillId="2" borderId="23" xfId="50" applyFont="1" applyFill="1" applyBorder="1" applyAlignment="1">
      <alignment horizontal="left" vertical="center" wrapText="1"/>
    </xf>
    <xf numFmtId="0" fontId="51" fillId="2" borderId="10" xfId="50" applyFont="1" applyFill="1" applyBorder="1" applyAlignment="1">
      <alignment horizontal="center" vertical="center" wrapText="1"/>
    </xf>
    <xf numFmtId="0" fontId="52" fillId="0" borderId="27" xfId="50" applyFont="1" applyFill="1" applyBorder="1" applyAlignment="1">
      <alignment horizontal="center" vertical="center" wrapText="1"/>
    </xf>
    <xf numFmtId="0" fontId="52" fillId="0" borderId="26" xfId="50" applyFont="1" applyFill="1" applyBorder="1" applyAlignment="1">
      <alignment horizontal="center" vertical="center" wrapText="1"/>
    </xf>
    <xf numFmtId="179" fontId="19" fillId="0" borderId="10" xfId="17" applyFont="1" applyFill="1" applyBorder="1" applyAlignment="1" applyProtection="1">
      <alignment horizontal="left" vertical="center" wrapText="1"/>
      <protection locked="0"/>
    </xf>
    <xf numFmtId="179" fontId="19" fillId="0" borderId="17" xfId="17" applyFont="1" applyFill="1" applyBorder="1" applyAlignment="1" applyProtection="1">
      <alignment horizontal="left" vertical="center" wrapText="1"/>
      <protection locked="0"/>
    </xf>
    <xf numFmtId="179" fontId="21" fillId="2" borderId="35" xfId="21" applyFont="1" applyFill="1" applyBorder="1" applyAlignment="1" applyProtection="1">
      <alignment horizontal="center" vertical="center"/>
      <protection locked="0"/>
    </xf>
    <xf numFmtId="179" fontId="21" fillId="2" borderId="37" xfId="21" applyFont="1" applyFill="1" applyBorder="1" applyAlignment="1" applyProtection="1">
      <alignment horizontal="center" vertical="center"/>
      <protection locked="0"/>
    </xf>
    <xf numFmtId="179" fontId="21" fillId="2" borderId="36" xfId="21" applyFont="1" applyFill="1" applyBorder="1" applyAlignment="1" applyProtection="1">
      <alignment horizontal="center" vertical="center"/>
      <protection locked="0"/>
    </xf>
    <xf numFmtId="179" fontId="21" fillId="0" borderId="10" xfId="21" applyFont="1" applyFill="1" applyBorder="1" applyAlignment="1" applyProtection="1">
      <alignment horizontal="center" vertical="center" wrapText="1"/>
      <protection locked="0"/>
    </xf>
    <xf numFmtId="179" fontId="20" fillId="0" borderId="10" xfId="21" applyFont="1" applyFill="1" applyBorder="1" applyAlignment="1" applyProtection="1">
      <alignment horizontal="center" vertical="center" wrapText="1"/>
      <protection locked="0"/>
    </xf>
    <xf numFmtId="179" fontId="21" fillId="0" borderId="10" xfId="21" applyFont="1" applyFill="1" applyBorder="1" applyAlignment="1" applyProtection="1">
      <alignment horizontal="center" vertical="center"/>
      <protection locked="0"/>
    </xf>
    <xf numFmtId="179" fontId="20" fillId="0" borderId="10" xfId="21" applyFont="1" applyFill="1" applyBorder="1" applyAlignment="1" applyProtection="1">
      <alignment horizontal="center" vertical="center"/>
      <protection locked="0"/>
    </xf>
    <xf numFmtId="179" fontId="22" fillId="2" borderId="22" xfId="21" applyFont="1" applyFill="1" applyBorder="1" applyAlignment="1" applyProtection="1">
      <alignment horizontal="center" vertical="center" wrapText="1"/>
      <protection locked="0"/>
    </xf>
    <xf numFmtId="179" fontId="22" fillId="2" borderId="18" xfId="21" applyFont="1" applyFill="1" applyBorder="1" applyAlignment="1" applyProtection="1">
      <alignment horizontal="center" vertical="center" wrapText="1"/>
      <protection locked="0"/>
    </xf>
    <xf numFmtId="179" fontId="22" fillId="2" borderId="23" xfId="21" applyFont="1" applyFill="1" applyBorder="1" applyAlignment="1" applyProtection="1">
      <alignment horizontal="center" vertical="center" wrapText="1"/>
      <protection locked="0"/>
    </xf>
    <xf numFmtId="179" fontId="21" fillId="0" borderId="35" xfId="21" applyFont="1" applyFill="1" applyBorder="1" applyAlignment="1" applyProtection="1">
      <alignment horizontal="center" vertical="center"/>
      <protection locked="0"/>
    </xf>
    <xf numFmtId="179" fontId="21" fillId="0" borderId="36" xfId="21" applyFont="1" applyFill="1" applyBorder="1" applyAlignment="1" applyProtection="1">
      <alignment horizontal="center" vertical="center"/>
      <protection locked="0"/>
    </xf>
    <xf numFmtId="179" fontId="18" fillId="0" borderId="10" xfId="11" applyNumberFormat="1" applyFont="1" applyFill="1" applyBorder="1" applyAlignment="1">
      <alignment horizontal="center" vertical="center" wrapText="1"/>
    </xf>
    <xf numFmtId="179" fontId="17" fillId="0" borderId="0" xfId="19" applyFont="1" applyFill="1" applyBorder="1" applyAlignment="1" applyProtection="1">
      <alignment horizontal="left" vertical="center" wrapText="1"/>
      <protection locked="0"/>
    </xf>
    <xf numFmtId="179" fontId="21" fillId="0" borderId="22" xfId="21" applyFont="1" applyFill="1" applyBorder="1" applyAlignment="1" applyProtection="1">
      <alignment horizontal="center" vertical="center" wrapText="1"/>
      <protection locked="0"/>
    </xf>
    <xf numFmtId="179" fontId="21" fillId="0" borderId="23" xfId="21" applyFont="1" applyFill="1" applyBorder="1" applyAlignment="1" applyProtection="1">
      <alignment horizontal="center" vertical="center" wrapText="1"/>
      <protection locked="0"/>
    </xf>
    <xf numFmtId="179" fontId="22" fillId="0" borderId="33" xfId="19" applyFont="1" applyFill="1" applyBorder="1" applyAlignment="1" applyProtection="1">
      <alignment horizontal="center" vertical="center" wrapText="1"/>
      <protection locked="0"/>
    </xf>
    <xf numFmtId="179" fontId="18" fillId="0" borderId="10" xfId="19" applyFont="1" applyFill="1" applyBorder="1" applyAlignment="1" applyProtection="1">
      <alignment horizontal="center" vertical="center" wrapText="1"/>
      <protection locked="0"/>
    </xf>
    <xf numFmtId="179" fontId="24" fillId="0" borderId="19" xfId="21" applyFont="1" applyFill="1" applyBorder="1" applyAlignment="1" applyProtection="1">
      <alignment horizontal="center" vertical="center" wrapText="1"/>
      <protection locked="0"/>
    </xf>
    <xf numFmtId="179" fontId="24" fillId="0" borderId="20" xfId="21" applyFont="1" applyFill="1" applyBorder="1" applyAlignment="1" applyProtection="1">
      <alignment horizontal="center" vertical="center" wrapText="1"/>
      <protection locked="0"/>
    </xf>
    <xf numFmtId="179" fontId="24" fillId="0" borderId="24" xfId="21" applyFont="1" applyFill="1" applyBorder="1" applyAlignment="1" applyProtection="1">
      <alignment horizontal="center" vertical="center" wrapText="1"/>
      <protection locked="0"/>
    </xf>
    <xf numFmtId="179" fontId="24" fillId="0" borderId="28" xfId="21" applyFont="1" applyFill="1" applyBorder="1" applyAlignment="1" applyProtection="1">
      <alignment horizontal="center" vertical="center" wrapText="1"/>
      <protection locked="0"/>
    </xf>
    <xf numFmtId="179" fontId="24" fillId="0" borderId="34" xfId="21" applyFont="1" applyFill="1" applyBorder="1" applyAlignment="1" applyProtection="1">
      <alignment horizontal="center" vertical="center" wrapText="1"/>
      <protection locked="0"/>
    </xf>
    <xf numFmtId="179" fontId="24" fillId="0" borderId="29" xfId="21" applyFont="1" applyFill="1" applyBorder="1" applyAlignment="1" applyProtection="1">
      <alignment horizontal="center" vertical="center" wrapText="1"/>
      <protection locked="0"/>
    </xf>
    <xf numFmtId="179" fontId="21" fillId="0" borderId="10" xfId="21" applyFont="1" applyBorder="1" applyAlignment="1" applyProtection="1">
      <alignment horizontal="center" vertical="center"/>
      <protection locked="0"/>
    </xf>
    <xf numFmtId="179" fontId="20" fillId="0" borderId="10" xfId="21" applyFont="1" applyBorder="1" applyAlignment="1" applyProtection="1">
      <alignment horizontal="center" vertical="center"/>
      <protection locked="0"/>
    </xf>
    <xf numFmtId="179" fontId="22" fillId="0" borderId="10" xfId="11" applyNumberFormat="1" applyFont="1" applyFill="1" applyBorder="1" applyAlignment="1">
      <alignment horizontal="center" vertical="center" wrapText="1"/>
    </xf>
    <xf numFmtId="178" fontId="1" fillId="2" borderId="1" xfId="11" applyNumberFormat="1" applyFont="1" applyFill="1" applyBorder="1" applyAlignment="1">
      <alignment horizontal="center" vertical="center" wrapText="1"/>
    </xf>
    <xf numFmtId="178" fontId="1" fillId="2" borderId="2" xfId="11" applyNumberFormat="1" applyFont="1" applyFill="1" applyBorder="1" applyAlignment="1">
      <alignment horizontal="center" vertical="center" wrapText="1"/>
    </xf>
    <xf numFmtId="178" fontId="1" fillId="2" borderId="13" xfId="11" applyNumberFormat="1" applyFont="1" applyFill="1" applyBorder="1" applyAlignment="1">
      <alignment horizontal="center" vertical="center" wrapText="1"/>
    </xf>
    <xf numFmtId="178" fontId="1" fillId="2" borderId="3" xfId="11" applyNumberFormat="1" applyFont="1" applyFill="1" applyBorder="1" applyAlignment="1">
      <alignment horizontal="center" vertical="center" wrapText="1"/>
    </xf>
    <xf numFmtId="178" fontId="1" fillId="2" borderId="0" xfId="11" applyNumberFormat="1" applyFont="1" applyFill="1" applyBorder="1" applyAlignment="1">
      <alignment horizontal="center" vertical="center" wrapText="1"/>
    </xf>
    <xf numFmtId="178" fontId="1" fillId="2" borderId="14" xfId="11" applyNumberFormat="1" applyFont="1" applyFill="1" applyBorder="1" applyAlignment="1">
      <alignment horizontal="center" vertical="center" wrapText="1"/>
    </xf>
    <xf numFmtId="178" fontId="1" fillId="2" borderId="4" xfId="11" applyNumberFormat="1" applyFont="1" applyFill="1" applyBorder="1" applyAlignment="1">
      <alignment horizontal="center" vertical="center" wrapText="1"/>
    </xf>
    <xf numFmtId="178" fontId="1" fillId="2" borderId="5" xfId="11" applyNumberFormat="1" applyFont="1" applyFill="1" applyBorder="1" applyAlignment="1">
      <alignment horizontal="center" vertical="center" wrapText="1"/>
    </xf>
    <xf numFmtId="178" fontId="1" fillId="2" borderId="15" xfId="11" applyNumberFormat="1" applyFont="1" applyFill="1" applyBorder="1" applyAlignment="1">
      <alignment horizontal="center" vertical="center" wrapText="1"/>
    </xf>
    <xf numFmtId="0" fontId="5" fillId="2" borderId="6" xfId="11" applyFont="1" applyFill="1" applyBorder="1" applyAlignment="1">
      <alignment horizontal="center" vertical="center"/>
    </xf>
    <xf numFmtId="0" fontId="5" fillId="2" borderId="7" xfId="11" applyFont="1" applyFill="1" applyBorder="1" applyAlignment="1">
      <alignment horizontal="center" vertical="center"/>
    </xf>
    <xf numFmtId="0" fontId="7" fillId="2" borderId="10" xfId="4" applyFont="1" applyFill="1" applyBorder="1" applyAlignment="1">
      <alignment horizontal="center" vertical="center" wrapText="1"/>
    </xf>
    <xf numFmtId="0" fontId="7" fillId="2" borderId="9" xfId="4" applyFont="1" applyFill="1" applyBorder="1" applyAlignment="1">
      <alignment horizontal="center" vertical="center" wrapText="1"/>
    </xf>
    <xf numFmtId="0" fontId="7" fillId="2" borderId="11" xfId="4" applyFont="1" applyFill="1" applyBorder="1" applyAlignment="1">
      <alignment horizontal="center" vertical="center" wrapText="1"/>
    </xf>
    <xf numFmtId="0" fontId="7" fillId="2" borderId="31" xfId="4" applyFont="1" applyFill="1" applyBorder="1" applyAlignment="1">
      <alignment horizontal="center" vertical="center" wrapText="1"/>
    </xf>
  </cellXfs>
  <cellStyles count="55">
    <cellStyle name="Normal_DEI-003" xfId="13"/>
    <cellStyle name="百分比" xfId="1" builtinId="5"/>
    <cellStyle name="百分比 2" xfId="2"/>
    <cellStyle name="百分比 2 2" xfId="6"/>
    <cellStyle name="百分比 2 3" xfId="8"/>
    <cellStyle name="百分比 2 4" xfId="9"/>
    <cellStyle name="百分比 3" xfId="16"/>
    <cellStyle name="百分比 4" xfId="5"/>
    <cellStyle name="百分比 5" xfId="7"/>
    <cellStyle name="常规" xfId="0" builtinId="0"/>
    <cellStyle name="常规 2" xfId="17"/>
    <cellStyle name="常规 2 15" xfId="18"/>
    <cellStyle name="常规 2 18" xfId="19"/>
    <cellStyle name="常规 2 18 2" xfId="11"/>
    <cellStyle name="常规 2 18 3" xfId="21"/>
    <cellStyle name="常规 2 2" xfId="14"/>
    <cellStyle name="常规 2 2 5" xfId="12"/>
    <cellStyle name="常规 2 2 5 2" xfId="54"/>
    <cellStyle name="常规 2 3" xfId="15"/>
    <cellStyle name="常规 2 4" xfId="22"/>
    <cellStyle name="常规 2 5" xfId="23"/>
    <cellStyle name="常规 2 6" xfId="24"/>
    <cellStyle name="常规 24" xfId="25"/>
    <cellStyle name="常规 3" xfId="26"/>
    <cellStyle name="常规 3 12" xfId="27"/>
    <cellStyle name="常规 3 2" xfId="28"/>
    <cellStyle name="常规 3 2 2" xfId="29"/>
    <cellStyle name="常规 3 2 2 2" xfId="30"/>
    <cellStyle name="常规 3 2 3" xfId="31"/>
    <cellStyle name="常规 3 2 3 2" xfId="32"/>
    <cellStyle name="常规 3 2 4" xfId="33"/>
    <cellStyle name="常规 3 3" xfId="34"/>
    <cellStyle name="常规 3 3 2" xfId="35"/>
    <cellStyle name="常规 3 3 3" xfId="36"/>
    <cellStyle name="常规 3 4" xfId="37"/>
    <cellStyle name="常规 3 5" xfId="38"/>
    <cellStyle name="常规 3 5 2" xfId="20"/>
    <cellStyle name="常规 3 6" xfId="39"/>
    <cellStyle name="常规 3 7" xfId="40"/>
    <cellStyle name="常规 35" xfId="41"/>
    <cellStyle name="常规 36" xfId="42"/>
    <cellStyle name="常规 4" xfId="43"/>
    <cellStyle name="常规 4 2" xfId="44"/>
    <cellStyle name="常规 4 3" xfId="45"/>
    <cellStyle name="常规 4 4" xfId="46"/>
    <cellStyle name="常规 5" xfId="47"/>
    <cellStyle name="常规 5 2" xfId="4"/>
    <cellStyle name="常规 5 3" xfId="48"/>
    <cellStyle name="常规 6" xfId="3"/>
    <cellStyle name="常规 6 2" xfId="49"/>
    <cellStyle name="常规 7" xfId="50"/>
    <cellStyle name="常规 8" xfId="51"/>
    <cellStyle name="常规 8 3" xfId="10"/>
    <cellStyle name="常规 9" xfId="52"/>
    <cellStyle name="一般_NLX" xfId="5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38100</xdr:colOff>
      <xdr:row>0</xdr:row>
      <xdr:rowOff>152400</xdr:rowOff>
    </xdr:from>
    <xdr:to>
      <xdr:col>4</xdr:col>
      <xdr:colOff>190500</xdr:colOff>
      <xdr:row>0</xdr:row>
      <xdr:rowOff>485775</xdr:rowOff>
    </xdr:to>
    <xdr:sp macro="" textlink="">
      <xdr:nvSpPr>
        <xdr:cNvPr id="2" name="文本框 1">
          <a:extLst>
            <a:ext uri="{FF2B5EF4-FFF2-40B4-BE49-F238E27FC236}">
              <a16:creationId xmlns:a16="http://schemas.microsoft.com/office/drawing/2014/main" id="{00000000-0008-0000-0000-000002000000}"/>
            </a:ext>
          </a:extLst>
        </xdr:cNvPr>
        <xdr:cNvSpPr txBox="1"/>
      </xdr:nvSpPr>
      <xdr:spPr>
        <a:xfrm>
          <a:off x="177800" y="152400"/>
          <a:ext cx="201295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sz="1200">
              <a:latin typeface="+mn-ea"/>
              <a:ea typeface="+mn-ea"/>
            </a:rPr>
            <a:t>CALB</a:t>
          </a:r>
          <a:r>
            <a:rPr lang="zh-CN" altLang="en-US" sz="1200">
              <a:latin typeface="+mn-ea"/>
              <a:ea typeface="+mn-ea"/>
            </a:rPr>
            <a:t>普通商密▲</a:t>
          </a:r>
          <a:r>
            <a:rPr lang="en-US" altLang="zh-CN" sz="1200">
              <a:latin typeface="+mn-ea"/>
              <a:ea typeface="+mn-ea"/>
            </a:rPr>
            <a:t>3</a:t>
          </a:r>
          <a:r>
            <a:rPr lang="zh-CN" altLang="en-US" sz="1200">
              <a:latin typeface="+mn-ea"/>
              <a:ea typeface="+mn-ea"/>
            </a:rPr>
            <a:t>年</a:t>
          </a:r>
        </a:p>
      </xdr:txBody>
    </xdr:sp>
    <xdr:clientData/>
  </xdr:twoCellAnchor>
  <xdr:twoCellAnchor editAs="oneCell">
    <xdr:from>
      <xdr:col>9</xdr:col>
      <xdr:colOff>510918</xdr:colOff>
      <xdr:row>0</xdr:row>
      <xdr:rowOff>116782</xdr:rowOff>
    </xdr:from>
    <xdr:to>
      <xdr:col>10</xdr:col>
      <xdr:colOff>713292</xdr:colOff>
      <xdr:row>0</xdr:row>
      <xdr:rowOff>421582</xdr:rowOff>
    </xdr:to>
    <xdr:pic>
      <xdr:nvPicPr>
        <xdr:cNvPr id="4" name="图片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34654" y="116782"/>
          <a:ext cx="1005248"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426759</xdr:colOff>
      <xdr:row>12</xdr:row>
      <xdr:rowOff>169023</xdr:rowOff>
    </xdr:from>
    <xdr:to>
      <xdr:col>12</xdr:col>
      <xdr:colOff>994125</xdr:colOff>
      <xdr:row>22</xdr:row>
      <xdr:rowOff>241098</xdr:rowOff>
    </xdr:to>
    <xdr:grpSp>
      <xdr:nvGrpSpPr>
        <xdr:cNvPr id="31" name="组合 30">
          <a:extLst>
            <a:ext uri="{FF2B5EF4-FFF2-40B4-BE49-F238E27FC236}">
              <a16:creationId xmlns:a16="http://schemas.microsoft.com/office/drawing/2014/main" id="{00000000-0008-0000-0200-00001F000000}"/>
            </a:ext>
          </a:extLst>
        </xdr:cNvPr>
        <xdr:cNvGrpSpPr/>
      </xdr:nvGrpSpPr>
      <xdr:grpSpPr>
        <a:xfrm>
          <a:off x="1861859" y="3661523"/>
          <a:ext cx="7647616" cy="2612075"/>
          <a:chOff x="382239" y="8068136"/>
          <a:chExt cx="7002811" cy="2612075"/>
        </a:xfrm>
      </xdr:grpSpPr>
      <xdr:sp macro="" textlink="">
        <xdr:nvSpPr>
          <xdr:cNvPr id="32" name="TextBox 45">
            <a:extLst>
              <a:ext uri="{FF2B5EF4-FFF2-40B4-BE49-F238E27FC236}">
                <a16:creationId xmlns:a16="http://schemas.microsoft.com/office/drawing/2014/main" id="{00000000-0008-0000-0200-000020000000}"/>
              </a:ext>
            </a:extLst>
          </xdr:cNvPr>
          <xdr:cNvSpPr txBox="1"/>
        </xdr:nvSpPr>
        <xdr:spPr>
          <a:xfrm>
            <a:off x="6483002" y="9956005"/>
            <a:ext cx="902048" cy="3471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altLang="zh-CN" sz="1100"/>
              <a:t>27.7±0.7</a:t>
            </a:r>
            <a:endParaRPr lang="zh-CN" altLang="en-US" sz="1100"/>
          </a:p>
        </xdr:txBody>
      </xdr:sp>
      <xdr:grpSp>
        <xdr:nvGrpSpPr>
          <xdr:cNvPr id="33" name="组合 32">
            <a:extLst>
              <a:ext uri="{FF2B5EF4-FFF2-40B4-BE49-F238E27FC236}">
                <a16:creationId xmlns:a16="http://schemas.microsoft.com/office/drawing/2014/main" id="{00000000-0008-0000-0200-000021000000}"/>
              </a:ext>
            </a:extLst>
          </xdr:cNvPr>
          <xdr:cNvGrpSpPr/>
        </xdr:nvGrpSpPr>
        <xdr:grpSpPr>
          <a:xfrm>
            <a:off x="382239" y="8068136"/>
            <a:ext cx="6059836" cy="2612075"/>
            <a:chOff x="382239" y="8068136"/>
            <a:chExt cx="6059836" cy="2612075"/>
          </a:xfrm>
        </xdr:grpSpPr>
        <xdr:sp macro="" textlink="">
          <xdr:nvSpPr>
            <xdr:cNvPr id="34" name="上箭头 5">
              <a:extLst>
                <a:ext uri="{FF2B5EF4-FFF2-40B4-BE49-F238E27FC236}">
                  <a16:creationId xmlns:a16="http://schemas.microsoft.com/office/drawing/2014/main" id="{00000000-0008-0000-0200-000022000000}"/>
                </a:ext>
              </a:extLst>
            </xdr:cNvPr>
            <xdr:cNvSpPr/>
          </xdr:nvSpPr>
          <xdr:spPr>
            <a:xfrm>
              <a:off x="964670" y="8359156"/>
              <a:ext cx="50010" cy="942394"/>
            </a:xfrm>
            <a:prstGeom prst="upArrow">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zh-CN" altLang="en-US" sz="1100"/>
            </a:p>
          </xdr:txBody>
        </xdr:sp>
        <xdr:grpSp>
          <xdr:nvGrpSpPr>
            <xdr:cNvPr id="35" name="组合 34">
              <a:extLst>
                <a:ext uri="{FF2B5EF4-FFF2-40B4-BE49-F238E27FC236}">
                  <a16:creationId xmlns:a16="http://schemas.microsoft.com/office/drawing/2014/main" id="{00000000-0008-0000-0200-000023000000}"/>
                </a:ext>
              </a:extLst>
            </xdr:cNvPr>
            <xdr:cNvGrpSpPr/>
          </xdr:nvGrpSpPr>
          <xdr:grpSpPr>
            <a:xfrm>
              <a:off x="1263694" y="8068136"/>
              <a:ext cx="5178381" cy="1813012"/>
              <a:chOff x="1305658" y="11709148"/>
              <a:chExt cx="5348996" cy="1217733"/>
            </a:xfrm>
          </xdr:grpSpPr>
          <xdr:sp macro="" textlink="">
            <xdr:nvSpPr>
              <xdr:cNvPr id="49" name="矩形 48">
                <a:extLst>
                  <a:ext uri="{FF2B5EF4-FFF2-40B4-BE49-F238E27FC236}">
                    <a16:creationId xmlns:a16="http://schemas.microsoft.com/office/drawing/2014/main" id="{00000000-0008-0000-0200-000031000000}"/>
                  </a:ext>
                </a:extLst>
              </xdr:cNvPr>
              <xdr:cNvSpPr/>
            </xdr:nvSpPr>
            <xdr:spPr>
              <a:xfrm>
                <a:off x="1305658" y="11709148"/>
                <a:ext cx="5348996" cy="1217733"/>
              </a:xfrm>
              <a:prstGeom prst="rect">
                <a:avLst/>
              </a:prstGeom>
              <a:solidFill>
                <a:schemeClr val="accent6">
                  <a:lumMod val="60000"/>
                  <a:lumOff val="40000"/>
                </a:schemeClr>
              </a:solidFill>
              <a:ln w="19050">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zh-CN" altLang="en-US" sz="1100">
                  <a:solidFill>
                    <a:sysClr val="windowText" lastClr="000000"/>
                  </a:solidFill>
                </a:endParaRPr>
              </a:p>
            </xdr:txBody>
          </xdr:sp>
          <xdr:sp macro="" textlink="">
            <xdr:nvSpPr>
              <xdr:cNvPr id="50" name="矩形 49">
                <a:extLst>
                  <a:ext uri="{FF2B5EF4-FFF2-40B4-BE49-F238E27FC236}">
                    <a16:creationId xmlns:a16="http://schemas.microsoft.com/office/drawing/2014/main" id="{00000000-0008-0000-0200-000032000000}"/>
                  </a:ext>
                </a:extLst>
              </xdr:cNvPr>
              <xdr:cNvSpPr/>
            </xdr:nvSpPr>
            <xdr:spPr>
              <a:xfrm>
                <a:off x="1945298" y="11709156"/>
                <a:ext cx="4053263" cy="1208209"/>
              </a:xfrm>
              <a:prstGeom prst="rect">
                <a:avLst/>
              </a:prstGeom>
              <a:solidFill>
                <a:schemeClr val="tx1">
                  <a:lumMod val="75000"/>
                  <a:lumOff val="25000"/>
                </a:schemeClr>
              </a:solid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zh-CN" altLang="en-US" sz="1100"/>
              </a:p>
            </xdr:txBody>
          </xdr:sp>
        </xdr:grpSp>
        <xdr:cxnSp macro="">
          <xdr:nvCxnSpPr>
            <xdr:cNvPr id="36" name="直接箭头连接符 35">
              <a:extLst>
                <a:ext uri="{FF2B5EF4-FFF2-40B4-BE49-F238E27FC236}">
                  <a16:creationId xmlns:a16="http://schemas.microsoft.com/office/drawing/2014/main" id="{00000000-0008-0000-0200-000024000000}"/>
                </a:ext>
              </a:extLst>
            </xdr:cNvPr>
            <xdr:cNvCxnSpPr/>
          </xdr:nvCxnSpPr>
          <xdr:spPr>
            <a:xfrm>
              <a:off x="1244562" y="10448093"/>
              <a:ext cx="5169897" cy="734"/>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7" name="直接连接符 36">
              <a:extLst>
                <a:ext uri="{FF2B5EF4-FFF2-40B4-BE49-F238E27FC236}">
                  <a16:creationId xmlns:a16="http://schemas.microsoft.com/office/drawing/2014/main" id="{00000000-0008-0000-0200-000025000000}"/>
                </a:ext>
              </a:extLst>
            </xdr:cNvPr>
            <xdr:cNvCxnSpPr>
              <a:stCxn id="49" idx="1"/>
            </xdr:cNvCxnSpPr>
          </xdr:nvCxnSpPr>
          <xdr:spPr>
            <a:xfrm rot="10800000" flipV="1">
              <a:off x="1255194" y="8974643"/>
              <a:ext cx="8501" cy="1705568"/>
            </a:xfrm>
            <a:prstGeom prst="line">
              <a:avLst/>
            </a:prstGeom>
            <a:ln w="12700">
              <a:solidFill>
                <a:schemeClr val="tx1"/>
              </a:solidFill>
              <a:prstDash val="lgDash"/>
            </a:ln>
          </xdr:spPr>
          <xdr:style>
            <a:lnRef idx="1">
              <a:schemeClr val="accent1"/>
            </a:lnRef>
            <a:fillRef idx="0">
              <a:schemeClr val="accent1"/>
            </a:fillRef>
            <a:effectRef idx="0">
              <a:schemeClr val="accent1"/>
            </a:effectRef>
            <a:fontRef idx="minor">
              <a:schemeClr val="tx1"/>
            </a:fontRef>
          </xdr:style>
        </xdr:cxnSp>
        <xdr:cxnSp macro="">
          <xdr:nvCxnSpPr>
            <xdr:cNvPr id="38" name="直接连接符 37">
              <a:extLst>
                <a:ext uri="{FF2B5EF4-FFF2-40B4-BE49-F238E27FC236}">
                  <a16:creationId xmlns:a16="http://schemas.microsoft.com/office/drawing/2014/main" id="{00000000-0008-0000-0200-000026000000}"/>
                </a:ext>
              </a:extLst>
            </xdr:cNvPr>
            <xdr:cNvCxnSpPr>
              <a:stCxn id="49" idx="3"/>
            </xdr:cNvCxnSpPr>
          </xdr:nvCxnSpPr>
          <xdr:spPr>
            <a:xfrm flipH="1">
              <a:off x="6432870" y="8974643"/>
              <a:ext cx="9205" cy="1571667"/>
            </a:xfrm>
            <a:prstGeom prst="line">
              <a:avLst/>
            </a:prstGeom>
            <a:ln w="12700">
              <a:solidFill>
                <a:schemeClr val="tx1"/>
              </a:solidFill>
              <a:prstDash val="lgDash"/>
            </a:ln>
          </xdr:spPr>
          <xdr:style>
            <a:lnRef idx="1">
              <a:schemeClr val="accent1"/>
            </a:lnRef>
            <a:fillRef idx="0">
              <a:schemeClr val="accent1"/>
            </a:fillRef>
            <a:effectRef idx="0">
              <a:schemeClr val="accent1"/>
            </a:effectRef>
            <a:fontRef idx="minor">
              <a:schemeClr val="tx1"/>
            </a:fontRef>
          </xdr:style>
        </xdr:cxnSp>
        <xdr:cxnSp macro="">
          <xdr:nvCxnSpPr>
            <xdr:cNvPr id="39" name="直接连接符 38">
              <a:extLst>
                <a:ext uri="{FF2B5EF4-FFF2-40B4-BE49-F238E27FC236}">
                  <a16:creationId xmlns:a16="http://schemas.microsoft.com/office/drawing/2014/main" id="{00000000-0008-0000-0200-000027000000}"/>
                </a:ext>
              </a:extLst>
            </xdr:cNvPr>
            <xdr:cNvCxnSpPr/>
          </xdr:nvCxnSpPr>
          <xdr:spPr>
            <a:xfrm flipH="1">
              <a:off x="1864301" y="9711197"/>
              <a:ext cx="2250" cy="642891"/>
            </a:xfrm>
            <a:prstGeom prst="line">
              <a:avLst/>
            </a:prstGeom>
            <a:ln w="12700">
              <a:solidFill>
                <a:schemeClr val="tx1"/>
              </a:solidFill>
              <a:prstDash val="lgDash"/>
            </a:ln>
          </xdr:spPr>
          <xdr:style>
            <a:lnRef idx="1">
              <a:schemeClr val="accent1"/>
            </a:lnRef>
            <a:fillRef idx="0">
              <a:schemeClr val="accent1"/>
            </a:fillRef>
            <a:effectRef idx="0">
              <a:schemeClr val="accent1"/>
            </a:effectRef>
            <a:fontRef idx="minor">
              <a:schemeClr val="tx1"/>
            </a:fontRef>
          </xdr:style>
        </xdr:cxnSp>
        <xdr:cxnSp macro="">
          <xdr:nvCxnSpPr>
            <xdr:cNvPr id="40" name="直接箭头连接符 39">
              <a:extLst>
                <a:ext uri="{FF2B5EF4-FFF2-40B4-BE49-F238E27FC236}">
                  <a16:creationId xmlns:a16="http://schemas.microsoft.com/office/drawing/2014/main" id="{00000000-0008-0000-0200-000028000000}"/>
                </a:ext>
              </a:extLst>
            </xdr:cNvPr>
            <xdr:cNvCxnSpPr/>
          </xdr:nvCxnSpPr>
          <xdr:spPr>
            <a:xfrm>
              <a:off x="1263787" y="10118465"/>
              <a:ext cx="603903" cy="2735"/>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1" name="TextBox 43">
              <a:extLst>
                <a:ext uri="{FF2B5EF4-FFF2-40B4-BE49-F238E27FC236}">
                  <a16:creationId xmlns:a16="http://schemas.microsoft.com/office/drawing/2014/main" id="{00000000-0008-0000-0200-000029000000}"/>
                </a:ext>
              </a:extLst>
            </xdr:cNvPr>
            <xdr:cNvSpPr txBox="1"/>
          </xdr:nvSpPr>
          <xdr:spPr>
            <a:xfrm>
              <a:off x="709379" y="8411490"/>
              <a:ext cx="264348" cy="902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zh-CN" altLang="en-US" sz="800"/>
                <a:t>走带方向</a:t>
              </a:r>
            </a:p>
          </xdr:txBody>
        </xdr:sp>
        <xdr:sp macro="" textlink="">
          <xdr:nvSpPr>
            <xdr:cNvPr id="42" name="TextBox 45">
              <a:extLst>
                <a:ext uri="{FF2B5EF4-FFF2-40B4-BE49-F238E27FC236}">
                  <a16:creationId xmlns:a16="http://schemas.microsoft.com/office/drawing/2014/main" id="{00000000-0008-0000-0200-00002A000000}"/>
                </a:ext>
              </a:extLst>
            </xdr:cNvPr>
            <xdr:cNvSpPr txBox="1"/>
          </xdr:nvSpPr>
          <xdr:spPr>
            <a:xfrm>
              <a:off x="382239" y="9888695"/>
              <a:ext cx="845100" cy="2743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altLang="zh-CN" sz="1100"/>
                <a:t>27.7±0.7</a:t>
              </a:r>
              <a:endParaRPr lang="zh-CN" altLang="en-US" sz="1100"/>
            </a:p>
          </xdr:txBody>
        </xdr:sp>
        <xdr:cxnSp macro="">
          <xdr:nvCxnSpPr>
            <xdr:cNvPr id="43" name="直接箭头连接符 42">
              <a:extLst>
                <a:ext uri="{FF2B5EF4-FFF2-40B4-BE49-F238E27FC236}">
                  <a16:creationId xmlns:a16="http://schemas.microsoft.com/office/drawing/2014/main" id="{00000000-0008-0000-0200-00002B000000}"/>
                </a:ext>
              </a:extLst>
            </xdr:cNvPr>
            <xdr:cNvCxnSpPr/>
          </xdr:nvCxnSpPr>
          <xdr:spPr>
            <a:xfrm>
              <a:off x="1875793" y="10123243"/>
              <a:ext cx="3931116" cy="19210"/>
            </a:xfrm>
            <a:prstGeom prst="straightConnector1">
              <a:avLst/>
            </a:prstGeom>
            <a:ln w="1270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44" name="TextBox 63">
              <a:extLst>
                <a:ext uri="{FF2B5EF4-FFF2-40B4-BE49-F238E27FC236}">
                  <a16:creationId xmlns:a16="http://schemas.microsoft.com/office/drawing/2014/main" id="{00000000-0008-0000-0200-00002C000000}"/>
                </a:ext>
              </a:extLst>
            </xdr:cNvPr>
            <xdr:cNvSpPr txBox="1"/>
          </xdr:nvSpPr>
          <xdr:spPr>
            <a:xfrm>
              <a:off x="2138492" y="8292976"/>
              <a:ext cx="3553192" cy="11301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zh-CN" altLang="en-US" sz="1100"/>
                <a:t>涂敷区</a:t>
              </a:r>
              <a:endParaRPr lang="en-US" altLang="zh-CN" sz="1100"/>
            </a:p>
            <a:p>
              <a:pPr algn="l"/>
              <a:r>
                <a:rPr lang="zh-CN" altLang="zh-CN" sz="1100">
                  <a:solidFill>
                    <a:schemeClr val="dk1"/>
                  </a:solidFill>
                  <a:effectLst/>
                  <a:latin typeface="+mn-lt"/>
                  <a:ea typeface="+mn-ea"/>
                  <a:cs typeface="+mn-cs"/>
                </a:rPr>
                <a:t>☆</a:t>
              </a:r>
              <a:r>
                <a:rPr lang="en-US" altLang="zh-CN" sz="1100">
                  <a:solidFill>
                    <a:schemeClr val="dk1"/>
                  </a:solidFill>
                  <a:effectLst/>
                  <a:latin typeface="+mn-lt"/>
                  <a:ea typeface="+mn-ea"/>
                  <a:cs typeface="+mn-cs"/>
                </a:rPr>
                <a:t>A</a:t>
              </a:r>
              <a:r>
                <a:rPr lang="zh-CN" altLang="zh-CN" sz="1100">
                  <a:solidFill>
                    <a:schemeClr val="dk1"/>
                  </a:solidFill>
                  <a:effectLst/>
                  <a:latin typeface="+mn-lt"/>
                  <a:ea typeface="+mn-ea"/>
                  <a:cs typeface="+mn-cs"/>
                </a:rPr>
                <a:t>面</a:t>
              </a:r>
              <a:r>
                <a:rPr lang="zh-CN" altLang="en-US" sz="1100">
                  <a:solidFill>
                    <a:schemeClr val="dk1"/>
                  </a:solidFill>
                  <a:effectLst/>
                  <a:latin typeface="+mn-lt"/>
                  <a:ea typeface="+mn-ea"/>
                  <a:cs typeface="+mn-cs"/>
                </a:rPr>
                <a:t>底层</a:t>
              </a:r>
              <a:r>
                <a:rPr lang="zh-CN" altLang="zh-CN" sz="1100">
                  <a:solidFill>
                    <a:schemeClr val="dk1"/>
                  </a:solidFill>
                  <a:effectLst/>
                  <a:latin typeface="+mn-lt"/>
                  <a:ea typeface="+mn-ea"/>
                  <a:cs typeface="+mn-cs"/>
                </a:rPr>
                <a:t>面密度</a:t>
              </a:r>
              <a:r>
                <a:rPr lang="zh-CN" altLang="en-US" sz="1100">
                  <a:solidFill>
                    <a:schemeClr val="dk1"/>
                  </a:solidFill>
                  <a:effectLst/>
                  <a:latin typeface="+mn-lt"/>
                  <a:ea typeface="+mn-ea"/>
                  <a:cs typeface="+mn-cs"/>
                </a:rPr>
                <a:t>：（</a:t>
              </a:r>
              <a:r>
                <a:rPr lang="en-US" altLang="zh-CN" sz="1100">
                  <a:solidFill>
                    <a:schemeClr val="dk1"/>
                  </a:solidFill>
                  <a:effectLst/>
                  <a:latin typeface="+mn-lt"/>
                  <a:ea typeface="+mn-ea"/>
                  <a:cs typeface="+mn-cs"/>
                </a:rPr>
                <a:t>48.1±1.5</a:t>
              </a:r>
              <a:r>
                <a:rPr lang="zh-CN" altLang="en-US" sz="1100">
                  <a:solidFill>
                    <a:schemeClr val="dk1"/>
                  </a:solidFill>
                  <a:effectLst/>
                  <a:latin typeface="+mn-lt"/>
                  <a:ea typeface="+mn-ea"/>
                  <a:cs typeface="+mn-cs"/>
                </a:rPr>
                <a:t>）</a:t>
              </a:r>
              <a:r>
                <a:rPr lang="en-US" altLang="zh-CN" sz="1100">
                  <a:solidFill>
                    <a:schemeClr val="dk1"/>
                  </a:solidFill>
                  <a:effectLst/>
                  <a:latin typeface="+mn-lt"/>
                  <a:ea typeface="+mn-ea"/>
                  <a:cs typeface="+mn-cs"/>
                </a:rPr>
                <a:t>g /m2</a:t>
              </a:r>
              <a:endParaRPr lang="en-US" altLang="zh-CN" sz="1100"/>
            </a:p>
            <a:p>
              <a:pPr marL="0" marR="0" indent="0" algn="l" defTabSz="914400" eaLnBrk="1" fontAlgn="auto" latinLnBrk="0" hangingPunct="1">
                <a:lnSpc>
                  <a:spcPct val="100000"/>
                </a:lnSpc>
                <a:spcBef>
                  <a:spcPts val="0"/>
                </a:spcBef>
                <a:spcAft>
                  <a:spcPts val="0"/>
                </a:spcAft>
                <a:buClrTx/>
                <a:buSzTx/>
                <a:buFontTx/>
                <a:buNone/>
                <a:tabLst/>
                <a:defRPr/>
              </a:pPr>
              <a:r>
                <a:rPr lang="zh-CN" altLang="en-US" sz="1100"/>
                <a:t>☆</a:t>
              </a:r>
              <a:r>
                <a:rPr lang="en-US" altLang="zh-CN" sz="1100">
                  <a:solidFill>
                    <a:schemeClr val="dk1"/>
                  </a:solidFill>
                  <a:effectLst/>
                  <a:latin typeface="+mn-lt"/>
                  <a:ea typeface="+mn-ea"/>
                  <a:cs typeface="+mn-cs"/>
                </a:rPr>
                <a:t>A</a:t>
              </a:r>
              <a:r>
                <a:rPr lang="zh-CN" altLang="zh-CN" sz="1100">
                  <a:solidFill>
                    <a:schemeClr val="dk1"/>
                  </a:solidFill>
                  <a:effectLst/>
                  <a:latin typeface="+mn-lt"/>
                  <a:ea typeface="+mn-ea"/>
                  <a:cs typeface="+mn-cs"/>
                </a:rPr>
                <a:t>面面密度：</a:t>
              </a:r>
              <a:r>
                <a:rPr lang="zh-CN" altLang="en-US" sz="1100"/>
                <a:t>（</a:t>
              </a:r>
              <a:r>
                <a:rPr lang="en-US" altLang="zh-CN" sz="1100"/>
                <a:t>96.1±1.5</a:t>
              </a:r>
              <a:r>
                <a:rPr lang="zh-CN" altLang="en-US" sz="1100"/>
                <a:t>）</a:t>
              </a:r>
              <a:r>
                <a:rPr lang="en-US" altLang="zh-CN" sz="1100"/>
                <a:t>g /m2 </a:t>
              </a:r>
            </a:p>
            <a:p>
              <a:pPr marL="0" marR="0" indent="0" algn="l" defTabSz="914400" eaLnBrk="1" fontAlgn="auto" latinLnBrk="0" hangingPunct="1">
                <a:lnSpc>
                  <a:spcPct val="100000"/>
                </a:lnSpc>
                <a:spcBef>
                  <a:spcPts val="0"/>
                </a:spcBef>
                <a:spcAft>
                  <a:spcPts val="0"/>
                </a:spcAft>
                <a:buClrTx/>
                <a:buSzTx/>
                <a:buFontTx/>
                <a:buNone/>
                <a:tabLst/>
                <a:defRPr/>
              </a:pPr>
              <a:r>
                <a:rPr lang="zh-CN" altLang="zh-CN" sz="1100">
                  <a:solidFill>
                    <a:schemeClr val="dk1"/>
                  </a:solidFill>
                  <a:effectLst/>
                  <a:latin typeface="+mn-lt"/>
                  <a:ea typeface="+mn-ea"/>
                  <a:cs typeface="+mn-cs"/>
                </a:rPr>
                <a:t>☆</a:t>
              </a:r>
              <a:r>
                <a:rPr lang="en-US" altLang="zh-CN" sz="1100">
                  <a:solidFill>
                    <a:schemeClr val="dk1"/>
                  </a:solidFill>
                  <a:effectLst/>
                  <a:latin typeface="+mn-lt"/>
                  <a:ea typeface="+mn-ea"/>
                  <a:cs typeface="+mn-cs"/>
                </a:rPr>
                <a:t>A</a:t>
              </a:r>
              <a:r>
                <a:rPr lang="zh-CN" altLang="zh-CN" sz="1100">
                  <a:solidFill>
                    <a:schemeClr val="dk1"/>
                  </a:solidFill>
                  <a:effectLst/>
                  <a:latin typeface="+mn-lt"/>
                  <a:ea typeface="+mn-ea"/>
                  <a:cs typeface="+mn-cs"/>
                </a:rPr>
                <a:t>面</a:t>
              </a:r>
              <a:r>
                <a:rPr lang="zh-CN" altLang="en-US" sz="1100">
                  <a:solidFill>
                    <a:schemeClr val="dk1"/>
                  </a:solidFill>
                  <a:effectLst/>
                  <a:latin typeface="+mn-lt"/>
                  <a:ea typeface="+mn-ea"/>
                  <a:cs typeface="+mn-cs"/>
                </a:rPr>
                <a:t>＋</a:t>
              </a:r>
              <a:r>
                <a:rPr lang="en-US" altLang="zh-CN" sz="1100">
                  <a:solidFill>
                    <a:schemeClr val="dk1"/>
                  </a:solidFill>
                  <a:effectLst/>
                  <a:latin typeface="+mn-lt"/>
                  <a:ea typeface="+mn-ea"/>
                  <a:cs typeface="+mn-cs"/>
                </a:rPr>
                <a:t>B</a:t>
              </a:r>
              <a:r>
                <a:rPr lang="zh-CN" altLang="en-US" sz="1100">
                  <a:solidFill>
                    <a:schemeClr val="dk1"/>
                  </a:solidFill>
                  <a:effectLst/>
                  <a:latin typeface="+mn-lt"/>
                  <a:ea typeface="+mn-ea"/>
                  <a:cs typeface="+mn-cs"/>
                </a:rPr>
                <a:t>面底层面密度：（</a:t>
              </a:r>
              <a:r>
                <a:rPr lang="en-US" altLang="zh-CN" sz="1100">
                  <a:solidFill>
                    <a:schemeClr val="dk1"/>
                  </a:solidFill>
                  <a:effectLst/>
                  <a:latin typeface="+mn-lt"/>
                  <a:ea typeface="+mn-ea"/>
                  <a:cs typeface="+mn-cs"/>
                </a:rPr>
                <a:t>144.1±2.2</a:t>
              </a:r>
              <a:r>
                <a:rPr lang="zh-CN" altLang="en-US" sz="1100">
                  <a:solidFill>
                    <a:schemeClr val="dk1"/>
                  </a:solidFill>
                  <a:effectLst/>
                  <a:latin typeface="+mn-lt"/>
                  <a:ea typeface="+mn-ea"/>
                  <a:cs typeface="+mn-cs"/>
                </a:rPr>
                <a:t>）</a:t>
              </a:r>
              <a:r>
                <a:rPr lang="en-US" altLang="zh-CN" sz="1100">
                  <a:solidFill>
                    <a:schemeClr val="dk1"/>
                  </a:solidFill>
                  <a:effectLst/>
                  <a:latin typeface="+mn-lt"/>
                  <a:ea typeface="+mn-ea"/>
                  <a:cs typeface="+mn-cs"/>
                </a:rPr>
                <a:t>g /m2 </a:t>
              </a:r>
              <a:endParaRPr lang="en-US" altLang="zh-CN" sz="1100"/>
            </a:p>
            <a:p>
              <a:pPr algn="l"/>
              <a:r>
                <a:rPr lang="zh-CN" altLang="en-US" sz="1100"/>
                <a:t>☆</a:t>
              </a:r>
              <a:r>
                <a:rPr lang="en-US" altLang="zh-CN" sz="1100"/>
                <a:t>A</a:t>
              </a:r>
              <a:r>
                <a:rPr lang="zh-CN" altLang="en-US" sz="1100"/>
                <a:t>面</a:t>
              </a:r>
              <a:r>
                <a:rPr lang="en-US" altLang="zh-CN" sz="1100"/>
                <a:t>+B</a:t>
              </a:r>
              <a:r>
                <a:rPr lang="zh-CN" altLang="en-US" sz="1100"/>
                <a:t>面面密度：（</a:t>
              </a:r>
              <a:r>
                <a:rPr lang="en-US" altLang="zh-CN" sz="1100"/>
                <a:t>192.1±2.9</a:t>
              </a:r>
              <a:r>
                <a:rPr lang="zh-CN" altLang="en-US" sz="1100"/>
                <a:t>）</a:t>
              </a:r>
              <a:r>
                <a:rPr lang="en-US" altLang="zh-CN" sz="1100"/>
                <a:t>g /m2</a:t>
              </a:r>
              <a:endParaRPr lang="zh-CN" altLang="en-US" sz="1100"/>
            </a:p>
          </xdr:txBody>
        </xdr:sp>
        <xdr:sp macro="" textlink="">
          <xdr:nvSpPr>
            <xdr:cNvPr id="45" name="TextBox 54">
              <a:extLst>
                <a:ext uri="{FF2B5EF4-FFF2-40B4-BE49-F238E27FC236}">
                  <a16:creationId xmlns:a16="http://schemas.microsoft.com/office/drawing/2014/main" id="{00000000-0008-0000-0200-00002D000000}"/>
                </a:ext>
              </a:extLst>
            </xdr:cNvPr>
            <xdr:cNvSpPr txBox="1"/>
          </xdr:nvSpPr>
          <xdr:spPr>
            <a:xfrm>
              <a:off x="3417212" y="9966743"/>
              <a:ext cx="980315" cy="2746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altLang="zh-CN" sz="1100"/>
                <a:t>461.6±0.5</a:t>
              </a:r>
              <a:endParaRPr lang="zh-CN" altLang="en-US" sz="1100"/>
            </a:p>
          </xdr:txBody>
        </xdr:sp>
        <xdr:sp macro="" textlink="">
          <xdr:nvSpPr>
            <xdr:cNvPr id="46" name="TextBox 44">
              <a:extLst>
                <a:ext uri="{FF2B5EF4-FFF2-40B4-BE49-F238E27FC236}">
                  <a16:creationId xmlns:a16="http://schemas.microsoft.com/office/drawing/2014/main" id="{00000000-0008-0000-0200-00002E000000}"/>
                </a:ext>
              </a:extLst>
            </xdr:cNvPr>
            <xdr:cNvSpPr txBox="1"/>
          </xdr:nvSpPr>
          <xdr:spPr>
            <a:xfrm>
              <a:off x="3404202" y="10307107"/>
              <a:ext cx="1159859" cy="3040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r>
                <a:rPr lang="en-US" altLang="zh-CN" sz="1100"/>
                <a:t>517.0±1.0</a:t>
              </a:r>
              <a:endParaRPr lang="zh-CN" altLang="en-US" sz="1100"/>
            </a:p>
          </xdr:txBody>
        </xdr:sp>
        <xdr:cxnSp macro="">
          <xdr:nvCxnSpPr>
            <xdr:cNvPr id="47" name="直接连接符 46">
              <a:extLst>
                <a:ext uri="{FF2B5EF4-FFF2-40B4-BE49-F238E27FC236}">
                  <a16:creationId xmlns:a16="http://schemas.microsoft.com/office/drawing/2014/main" id="{00000000-0008-0000-0200-00002F000000}"/>
                </a:ext>
              </a:extLst>
            </xdr:cNvPr>
            <xdr:cNvCxnSpPr/>
          </xdr:nvCxnSpPr>
          <xdr:spPr>
            <a:xfrm>
              <a:off x="5819428" y="9711197"/>
              <a:ext cx="2389" cy="623770"/>
            </a:xfrm>
            <a:prstGeom prst="line">
              <a:avLst/>
            </a:prstGeom>
            <a:ln w="12700">
              <a:solidFill>
                <a:schemeClr val="tx1"/>
              </a:solidFill>
              <a:prstDash val="lgDash"/>
            </a:ln>
          </xdr:spPr>
          <xdr:style>
            <a:lnRef idx="1">
              <a:schemeClr val="accent1"/>
            </a:lnRef>
            <a:fillRef idx="0">
              <a:schemeClr val="accent1"/>
            </a:fillRef>
            <a:effectRef idx="0">
              <a:schemeClr val="accent1"/>
            </a:effectRef>
            <a:fontRef idx="minor">
              <a:schemeClr val="tx1"/>
            </a:fontRef>
          </xdr:style>
        </xdr:cxnSp>
        <xdr:cxnSp macro="">
          <xdr:nvCxnSpPr>
            <xdr:cNvPr id="48" name="直接箭头连接符 47">
              <a:extLst>
                <a:ext uri="{FF2B5EF4-FFF2-40B4-BE49-F238E27FC236}">
                  <a16:creationId xmlns:a16="http://schemas.microsoft.com/office/drawing/2014/main" id="{00000000-0008-0000-0200-000030000000}"/>
                </a:ext>
              </a:extLst>
            </xdr:cNvPr>
            <xdr:cNvCxnSpPr/>
          </xdr:nvCxnSpPr>
          <xdr:spPr>
            <a:xfrm flipV="1">
              <a:off x="5816600" y="10134600"/>
              <a:ext cx="603250" cy="10320"/>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editAs="oneCell">
    <xdr:from>
      <xdr:col>1</xdr:col>
      <xdr:colOff>149412</xdr:colOff>
      <xdr:row>5</xdr:row>
      <xdr:rowOff>0</xdr:rowOff>
    </xdr:from>
    <xdr:to>
      <xdr:col>10</xdr:col>
      <xdr:colOff>434815</xdr:colOff>
      <xdr:row>11</xdr:row>
      <xdr:rowOff>142875</xdr:rowOff>
    </xdr:to>
    <xdr:pic>
      <xdr:nvPicPr>
        <xdr:cNvPr id="23" name="图片 2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4118" y="1942353"/>
          <a:ext cx="7185025" cy="1539875"/>
        </a:xfrm>
        <a:prstGeom prst="rect">
          <a:avLst/>
        </a:prstGeom>
        <a:noFill/>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K22"/>
  <sheetViews>
    <sheetView showGridLines="0" topLeftCell="A6" zoomScale="87" zoomScaleNormal="87" zoomScaleSheetLayoutView="115" zoomScalePageLayoutView="115" workbookViewId="0">
      <selection activeCell="D8" sqref="D8:I8"/>
    </sheetView>
  </sheetViews>
  <sheetFormatPr defaultColWidth="9" defaultRowHeight="14"/>
  <cols>
    <col min="1" max="1" width="2" style="58" customWidth="1"/>
    <col min="2" max="2" width="6.08984375" style="59" customWidth="1"/>
    <col min="3" max="3" width="7.08984375" style="58" customWidth="1"/>
    <col min="4" max="5" width="13.08984375" style="58" customWidth="1"/>
    <col min="6" max="7" width="10.6328125" style="58" customWidth="1"/>
    <col min="8" max="8" width="16.08984375" style="58" customWidth="1"/>
    <col min="9" max="9" width="10.54296875" style="58" customWidth="1"/>
    <col min="10" max="10" width="11.453125" style="58" customWidth="1"/>
    <col min="11" max="11" width="13.6328125" style="58" customWidth="1"/>
    <col min="12" max="16384" width="9" style="58"/>
  </cols>
  <sheetData>
    <row r="1" spans="2:11" ht="40.4" customHeight="1">
      <c r="B1" s="257" t="s">
        <v>0</v>
      </c>
      <c r="C1" s="258"/>
      <c r="D1" s="258"/>
      <c r="E1" s="258"/>
      <c r="F1" s="258"/>
      <c r="G1" s="258"/>
      <c r="H1" s="258"/>
      <c r="I1" s="258"/>
      <c r="J1" s="258"/>
      <c r="K1" s="259"/>
    </row>
    <row r="2" spans="2:11" ht="40.4" customHeight="1">
      <c r="B2" s="260" t="s">
        <v>1</v>
      </c>
      <c r="C2" s="260"/>
      <c r="D2" s="261" t="s">
        <v>272</v>
      </c>
      <c r="E2" s="262"/>
      <c r="F2" s="262"/>
      <c r="G2" s="60" t="s">
        <v>2</v>
      </c>
      <c r="H2" s="263" t="s">
        <v>3</v>
      </c>
      <c r="I2" s="263"/>
      <c r="J2" s="264"/>
      <c r="K2" s="264"/>
    </row>
    <row r="3" spans="2:11" ht="40.4" customHeight="1">
      <c r="B3" s="61"/>
      <c r="C3" s="62"/>
      <c r="D3" s="265" t="s">
        <v>4</v>
      </c>
      <c r="E3" s="265"/>
      <c r="F3" s="265"/>
      <c r="G3" s="265"/>
      <c r="H3" s="265"/>
      <c r="I3" s="265"/>
      <c r="J3" s="265"/>
      <c r="K3" s="71"/>
    </row>
    <row r="4" spans="2:11" ht="40.4" customHeight="1">
      <c r="B4" s="63" t="s">
        <v>5</v>
      </c>
      <c r="C4" s="135" t="s">
        <v>6</v>
      </c>
      <c r="D4" s="251" t="s">
        <v>7</v>
      </c>
      <c r="E4" s="252"/>
      <c r="F4" s="252"/>
      <c r="G4" s="252"/>
      <c r="H4" s="252"/>
      <c r="I4" s="253"/>
      <c r="J4" s="72" t="s">
        <v>8</v>
      </c>
      <c r="K4" s="72" t="s">
        <v>9</v>
      </c>
    </row>
    <row r="5" spans="2:11" ht="40.4" customHeight="1">
      <c r="B5" s="105">
        <v>1</v>
      </c>
      <c r="C5" s="106" t="s">
        <v>369</v>
      </c>
      <c r="D5" s="230" t="s">
        <v>401</v>
      </c>
      <c r="E5" s="231"/>
      <c r="F5" s="231"/>
      <c r="G5" s="231"/>
      <c r="H5" s="231"/>
      <c r="I5" s="232"/>
      <c r="J5" s="118" t="s">
        <v>340</v>
      </c>
      <c r="K5" s="107" t="s">
        <v>370</v>
      </c>
    </row>
    <row r="6" spans="2:11" ht="80.5" customHeight="1">
      <c r="B6" s="105">
        <v>2</v>
      </c>
      <c r="C6" s="106" t="s">
        <v>365</v>
      </c>
      <c r="D6" s="230" t="s">
        <v>406</v>
      </c>
      <c r="E6" s="231"/>
      <c r="F6" s="231"/>
      <c r="G6" s="231"/>
      <c r="H6" s="231"/>
      <c r="I6" s="232"/>
      <c r="J6" s="118" t="s">
        <v>340</v>
      </c>
      <c r="K6" s="107" t="s">
        <v>367</v>
      </c>
    </row>
    <row r="7" spans="2:11" ht="65.150000000000006" customHeight="1">
      <c r="B7" s="105">
        <v>3</v>
      </c>
      <c r="C7" s="93" t="s">
        <v>368</v>
      </c>
      <c r="D7" s="230" t="s">
        <v>402</v>
      </c>
      <c r="E7" s="231"/>
      <c r="F7" s="231"/>
      <c r="G7" s="231"/>
      <c r="H7" s="231"/>
      <c r="I7" s="232"/>
      <c r="J7" s="118" t="s">
        <v>340</v>
      </c>
      <c r="K7" s="107" t="s">
        <v>371</v>
      </c>
    </row>
    <row r="8" spans="2:11" ht="128" customHeight="1">
      <c r="B8" s="64">
        <v>4</v>
      </c>
      <c r="C8" s="66" t="s">
        <v>375</v>
      </c>
      <c r="D8" s="254" t="s">
        <v>404</v>
      </c>
      <c r="E8" s="255"/>
      <c r="F8" s="255"/>
      <c r="G8" s="255"/>
      <c r="H8" s="255"/>
      <c r="I8" s="256"/>
      <c r="J8" s="118" t="s">
        <v>298</v>
      </c>
      <c r="K8" s="107" t="s">
        <v>376</v>
      </c>
    </row>
    <row r="9" spans="2:11" ht="40.4" customHeight="1">
      <c r="B9" s="64"/>
      <c r="C9" s="66"/>
      <c r="D9" s="244"/>
      <c r="E9" s="245"/>
      <c r="F9" s="245"/>
      <c r="G9" s="245"/>
      <c r="H9" s="245"/>
      <c r="I9" s="74"/>
      <c r="J9" s="65"/>
      <c r="K9" s="73"/>
    </row>
    <row r="10" spans="2:11" ht="40.4" customHeight="1">
      <c r="B10" s="64"/>
      <c r="C10" s="66"/>
      <c r="D10" s="246"/>
      <c r="E10" s="245"/>
      <c r="F10" s="245"/>
      <c r="G10" s="245"/>
      <c r="H10" s="245"/>
      <c r="I10" s="75"/>
      <c r="J10" s="65"/>
      <c r="K10" s="73"/>
    </row>
    <row r="11" spans="2:11" ht="40.4" customHeight="1">
      <c r="B11" s="64"/>
      <c r="C11" s="66"/>
      <c r="D11" s="246"/>
      <c r="E11" s="245"/>
      <c r="F11" s="245"/>
      <c r="G11" s="245"/>
      <c r="H11" s="245"/>
      <c r="I11" s="75"/>
      <c r="J11" s="65"/>
      <c r="K11" s="73"/>
    </row>
    <row r="12" spans="2:11" ht="40.4" customHeight="1">
      <c r="B12" s="64"/>
      <c r="C12" s="65"/>
      <c r="D12" s="247"/>
      <c r="E12" s="248"/>
      <c r="F12" s="248"/>
      <c r="G12" s="248"/>
      <c r="H12" s="248"/>
      <c r="I12" s="80"/>
      <c r="J12" s="65"/>
      <c r="K12" s="73"/>
    </row>
    <row r="13" spans="2:11" ht="40.4" customHeight="1">
      <c r="B13" s="64"/>
      <c r="C13" s="65"/>
      <c r="D13" s="249"/>
      <c r="E13" s="250"/>
      <c r="F13" s="250"/>
      <c r="G13" s="250"/>
      <c r="H13" s="250"/>
      <c r="I13" s="80"/>
      <c r="J13" s="65"/>
      <c r="K13" s="76"/>
    </row>
    <row r="14" spans="2:11" ht="40.4" customHeight="1">
      <c r="B14" s="64"/>
      <c r="C14" s="65"/>
      <c r="D14" s="233"/>
      <c r="E14" s="234"/>
      <c r="F14" s="234"/>
      <c r="G14" s="234"/>
      <c r="H14" s="234"/>
      <c r="I14" s="82"/>
      <c r="J14" s="68"/>
      <c r="K14" s="77"/>
    </row>
    <row r="15" spans="2:11" ht="40.4" customHeight="1">
      <c r="B15" s="67"/>
      <c r="C15" s="68"/>
      <c r="D15" s="235"/>
      <c r="E15" s="236"/>
      <c r="F15" s="236"/>
      <c r="G15" s="236"/>
      <c r="H15" s="236"/>
      <c r="I15" s="81"/>
      <c r="J15" s="68"/>
      <c r="K15" s="77"/>
    </row>
    <row r="16" spans="2:11" ht="32.25" customHeight="1">
      <c r="B16" s="69"/>
      <c r="C16" s="70"/>
      <c r="D16" s="237" t="s">
        <v>10</v>
      </c>
      <c r="E16" s="237"/>
      <c r="F16" s="237"/>
      <c r="G16" s="237"/>
      <c r="H16" s="237"/>
      <c r="I16" s="237"/>
      <c r="J16" s="70"/>
      <c r="K16" s="78"/>
    </row>
    <row r="17" spans="2:11" ht="21.75" customHeight="1">
      <c r="B17" s="238" t="s">
        <v>11</v>
      </c>
      <c r="C17" s="239"/>
      <c r="D17" s="240" t="s">
        <v>12</v>
      </c>
      <c r="E17" s="240"/>
      <c r="F17" s="241" t="s">
        <v>13</v>
      </c>
      <c r="G17" s="242"/>
      <c r="H17" s="242"/>
      <c r="I17" s="243"/>
      <c r="J17" s="136" t="s">
        <v>14</v>
      </c>
      <c r="K17" s="136" t="s">
        <v>286</v>
      </c>
    </row>
    <row r="18" spans="2:11" ht="48.75" customHeight="1">
      <c r="B18" s="226">
        <v>1</v>
      </c>
      <c r="C18" s="227"/>
      <c r="D18" s="228" t="s">
        <v>279</v>
      </c>
      <c r="E18" s="229"/>
      <c r="F18" s="230" t="s">
        <v>209</v>
      </c>
      <c r="G18" s="231"/>
      <c r="H18" s="231"/>
      <c r="I18" s="232"/>
      <c r="J18" s="137" t="s">
        <v>184</v>
      </c>
      <c r="K18" s="137">
        <v>1</v>
      </c>
    </row>
    <row r="19" spans="2:11" ht="45" customHeight="1">
      <c r="B19" s="226">
        <v>2</v>
      </c>
      <c r="C19" s="227"/>
      <c r="D19" s="228" t="s">
        <v>280</v>
      </c>
      <c r="E19" s="229"/>
      <c r="F19" s="230" t="s">
        <v>209</v>
      </c>
      <c r="G19" s="231"/>
      <c r="H19" s="231"/>
      <c r="I19" s="232"/>
      <c r="J19" s="137" t="s">
        <v>184</v>
      </c>
      <c r="K19" s="137">
        <v>1</v>
      </c>
    </row>
    <row r="20" spans="2:11" ht="29.25" customHeight="1">
      <c r="B20" s="58"/>
    </row>
    <row r="21" spans="2:11" ht="29.25" customHeight="1">
      <c r="B21" s="58"/>
    </row>
    <row r="22" spans="2:11">
      <c r="B22" s="58"/>
    </row>
  </sheetData>
  <mergeCells count="27">
    <mergeCell ref="B1:K1"/>
    <mergeCell ref="B2:C2"/>
    <mergeCell ref="D2:F2"/>
    <mergeCell ref="H2:K2"/>
    <mergeCell ref="D3:J3"/>
    <mergeCell ref="D4:I4"/>
    <mergeCell ref="D5:I5"/>
    <mergeCell ref="D6:I6"/>
    <mergeCell ref="D7:I7"/>
    <mergeCell ref="D8:I8"/>
    <mergeCell ref="D9:H9"/>
    <mergeCell ref="D10:H10"/>
    <mergeCell ref="D11:H11"/>
    <mergeCell ref="D12:H12"/>
    <mergeCell ref="D13:H13"/>
    <mergeCell ref="D14:H14"/>
    <mergeCell ref="D15:H15"/>
    <mergeCell ref="D16:I16"/>
    <mergeCell ref="B17:C17"/>
    <mergeCell ref="D17:E17"/>
    <mergeCell ref="F17:I17"/>
    <mergeCell ref="B19:C19"/>
    <mergeCell ref="D19:E19"/>
    <mergeCell ref="F19:I19"/>
    <mergeCell ref="B18:C18"/>
    <mergeCell ref="D18:E18"/>
    <mergeCell ref="F18:I18"/>
  </mergeCells>
  <phoneticPr fontId="41" type="noConversion"/>
  <printOptions horizontalCentered="1" verticalCentered="1"/>
  <pageMargins left="7.874015748031496E-2" right="7.874015748031496E-2" top="0.35433070866141736" bottom="0.39370078740157483" header="0.19685039370078741" footer="0.19685039370078741"/>
  <pageSetup paperSize="9" scale="91" fitToHeight="0" orientation="portrait" r:id="rId1"/>
  <headerFooter alignWithMargins="0">
    <oddHeader>&amp;LPM240707-015&amp;C负极涂布工序控制计划&amp;R版本号：B1</oddHeader>
    <oddFooter>&amp;C第 &amp;P 页，共 &amp;N 页</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A58"/>
  <sheetViews>
    <sheetView showGridLines="0" tabSelected="1" topLeftCell="A48" zoomScale="70" zoomScaleNormal="70" zoomScaleSheetLayoutView="90" zoomScalePageLayoutView="85" workbookViewId="0">
      <selection activeCell="F49" sqref="F49:N49"/>
    </sheetView>
  </sheetViews>
  <sheetFormatPr defaultColWidth="9" defaultRowHeight="14"/>
  <cols>
    <col min="1" max="1" width="1.08984375" style="145" customWidth="1"/>
    <col min="2" max="2" width="11.08984375" style="145" customWidth="1"/>
    <col min="3" max="3" width="9.6328125" style="145" customWidth="1"/>
    <col min="4" max="4" width="13.90625" style="145" customWidth="1"/>
    <col min="5" max="5" width="5.453125" style="156" customWidth="1"/>
    <col min="6" max="6" width="13.08984375" style="145" customWidth="1"/>
    <col min="7" max="7" width="11.453125" style="145" customWidth="1"/>
    <col min="8" max="8" width="13" style="145" customWidth="1"/>
    <col min="9" max="9" width="21.36328125" style="145" customWidth="1"/>
    <col min="10" max="10" width="13.08984375" style="145" customWidth="1"/>
    <col min="11" max="14" width="10.90625" style="145" customWidth="1"/>
    <col min="15" max="15" width="29.90625" style="145" customWidth="1"/>
    <col min="16" max="16" width="18.90625" style="157" customWidth="1"/>
    <col min="17" max="17" width="17.36328125" style="157" customWidth="1"/>
    <col min="18" max="18" width="24.453125" style="145" customWidth="1"/>
    <col min="19" max="16384" width="9" style="145"/>
  </cols>
  <sheetData>
    <row r="1" spans="2:27" s="147" customFormat="1" ht="10.5" customHeight="1">
      <c r="B1" s="322"/>
      <c r="C1" s="322"/>
      <c r="D1" s="322"/>
      <c r="E1" s="144"/>
      <c r="F1" s="145"/>
      <c r="G1" s="145"/>
      <c r="H1" s="145"/>
      <c r="I1" s="146"/>
      <c r="K1" s="145"/>
      <c r="L1" s="145"/>
      <c r="M1" s="145"/>
      <c r="N1" s="145"/>
      <c r="O1" s="322"/>
      <c r="P1" s="322"/>
      <c r="Q1" s="322"/>
    </row>
    <row r="2" spans="2:27" s="149" customFormat="1" ht="31.5" customHeight="1">
      <c r="B2" s="325" t="s">
        <v>295</v>
      </c>
      <c r="C2" s="326"/>
      <c r="D2" s="326"/>
      <c r="E2" s="326"/>
      <c r="F2" s="326"/>
      <c r="G2" s="326"/>
      <c r="H2" s="326"/>
      <c r="I2" s="326"/>
      <c r="J2" s="327"/>
      <c r="K2" s="310" t="s">
        <v>161</v>
      </c>
      <c r="L2" s="310"/>
      <c r="M2" s="334" t="s">
        <v>307</v>
      </c>
      <c r="N2" s="335"/>
      <c r="O2" s="336"/>
      <c r="P2" s="173" t="s">
        <v>162</v>
      </c>
      <c r="Q2" s="148" t="s">
        <v>343</v>
      </c>
    </row>
    <row r="3" spans="2:27" s="149" customFormat="1" ht="31.5" customHeight="1">
      <c r="B3" s="328"/>
      <c r="C3" s="329"/>
      <c r="D3" s="329"/>
      <c r="E3" s="329"/>
      <c r="F3" s="329"/>
      <c r="G3" s="329"/>
      <c r="H3" s="329"/>
      <c r="I3" s="329"/>
      <c r="J3" s="330"/>
      <c r="K3" s="314" t="s">
        <v>163</v>
      </c>
      <c r="L3" s="316"/>
      <c r="M3" s="317" t="s">
        <v>296</v>
      </c>
      <c r="N3" s="318"/>
      <c r="O3" s="319"/>
      <c r="P3" s="173" t="s">
        <v>164</v>
      </c>
      <c r="Q3" s="150" t="s">
        <v>368</v>
      </c>
      <c r="T3" s="151"/>
      <c r="U3" s="151"/>
      <c r="V3" s="151"/>
      <c r="W3" s="151"/>
      <c r="X3" s="151"/>
      <c r="Y3" s="151"/>
      <c r="Z3" s="151"/>
      <c r="AA3" s="151"/>
    </row>
    <row r="4" spans="2:27" s="149" customFormat="1" ht="32.25" customHeight="1">
      <c r="B4" s="323" t="s">
        <v>300</v>
      </c>
      <c r="C4" s="324"/>
      <c r="D4" s="324"/>
      <c r="E4" s="312" t="s">
        <v>366</v>
      </c>
      <c r="F4" s="312"/>
      <c r="G4" s="312"/>
      <c r="H4" s="312"/>
      <c r="I4" s="312"/>
      <c r="J4" s="312"/>
      <c r="K4" s="310" t="s">
        <v>165</v>
      </c>
      <c r="L4" s="312"/>
      <c r="M4" s="314" t="s">
        <v>209</v>
      </c>
      <c r="N4" s="315"/>
      <c r="O4" s="315"/>
      <c r="P4" s="315"/>
      <c r="Q4" s="316"/>
      <c r="T4" s="152"/>
      <c r="U4" s="151"/>
      <c r="V4" s="151"/>
      <c r="W4" s="151"/>
      <c r="X4" s="151"/>
      <c r="Y4" s="151"/>
      <c r="Z4" s="151"/>
      <c r="AA4" s="151"/>
    </row>
    <row r="5" spans="2:27" s="149" customFormat="1" ht="41.15" customHeight="1">
      <c r="B5" s="176" t="s">
        <v>301</v>
      </c>
      <c r="C5" s="331" t="s">
        <v>302</v>
      </c>
      <c r="D5" s="331"/>
      <c r="E5" s="332" t="s">
        <v>303</v>
      </c>
      <c r="F5" s="331"/>
      <c r="G5" s="331" t="s">
        <v>304</v>
      </c>
      <c r="H5" s="331"/>
      <c r="I5" s="177" t="s">
        <v>305</v>
      </c>
      <c r="J5" s="177" t="s">
        <v>306</v>
      </c>
      <c r="K5" s="153" t="s">
        <v>166</v>
      </c>
      <c r="L5" s="313" t="s">
        <v>83</v>
      </c>
      <c r="M5" s="313"/>
      <c r="N5" s="313"/>
      <c r="O5" s="311"/>
      <c r="P5" s="175" t="s">
        <v>168</v>
      </c>
      <c r="Q5" s="174" t="s">
        <v>83</v>
      </c>
      <c r="T5" s="84"/>
      <c r="U5" s="84"/>
      <c r="V5" s="84"/>
      <c r="W5" s="84"/>
      <c r="X5" s="84"/>
      <c r="Y5" s="84"/>
      <c r="Z5" s="84"/>
      <c r="AA5" s="84"/>
    </row>
    <row r="6" spans="2:27" s="154" customFormat="1" ht="31.5" customHeight="1">
      <c r="B6" s="324" t="s">
        <v>128</v>
      </c>
      <c r="C6" s="324" t="s">
        <v>129</v>
      </c>
      <c r="D6" s="324" t="s">
        <v>130</v>
      </c>
      <c r="E6" s="306" t="s">
        <v>131</v>
      </c>
      <c r="F6" s="306"/>
      <c r="G6" s="306"/>
      <c r="H6" s="306"/>
      <c r="I6" s="306" t="s">
        <v>132</v>
      </c>
      <c r="J6" s="308"/>
      <c r="K6" s="308"/>
      <c r="L6" s="308"/>
      <c r="M6" s="308"/>
      <c r="N6" s="308"/>
      <c r="O6" s="308"/>
      <c r="P6" s="306" t="s">
        <v>133</v>
      </c>
      <c r="Q6" s="306"/>
      <c r="T6" s="84"/>
      <c r="U6" s="84"/>
      <c r="V6" s="84"/>
      <c r="W6" s="84"/>
      <c r="X6" s="84"/>
      <c r="Y6" s="84"/>
      <c r="Z6" s="84"/>
      <c r="AA6" s="84"/>
    </row>
    <row r="7" spans="2:27" s="154" customFormat="1" ht="31.5" customHeight="1">
      <c r="B7" s="324"/>
      <c r="C7" s="324"/>
      <c r="D7" s="324"/>
      <c r="E7" s="339" t="s">
        <v>134</v>
      </c>
      <c r="F7" s="342" t="s">
        <v>135</v>
      </c>
      <c r="G7" s="342" t="s">
        <v>136</v>
      </c>
      <c r="H7" s="342" t="s">
        <v>137</v>
      </c>
      <c r="I7" s="342" t="s">
        <v>138</v>
      </c>
      <c r="J7" s="342" t="s">
        <v>139</v>
      </c>
      <c r="K7" s="345" t="s">
        <v>224</v>
      </c>
      <c r="L7" s="346"/>
      <c r="M7" s="345" t="s">
        <v>220</v>
      </c>
      <c r="N7" s="346"/>
      <c r="O7" s="172"/>
      <c r="P7" s="306"/>
      <c r="Q7" s="306"/>
      <c r="T7" s="84"/>
      <c r="U7" s="84"/>
      <c r="V7" s="84"/>
      <c r="W7" s="84"/>
      <c r="X7" s="84"/>
      <c r="Y7" s="84"/>
      <c r="Z7" s="84"/>
      <c r="AA7" s="84"/>
    </row>
    <row r="8" spans="2:27" s="154" customFormat="1" ht="30" customHeight="1">
      <c r="B8" s="324"/>
      <c r="C8" s="324"/>
      <c r="D8" s="324"/>
      <c r="E8" s="340"/>
      <c r="F8" s="343"/>
      <c r="G8" s="343"/>
      <c r="H8" s="343"/>
      <c r="I8" s="343"/>
      <c r="J8" s="343"/>
      <c r="K8" s="306" t="s">
        <v>140</v>
      </c>
      <c r="L8" s="308"/>
      <c r="M8" s="345" t="s">
        <v>221</v>
      </c>
      <c r="N8" s="346"/>
      <c r="O8" s="306" t="s">
        <v>141</v>
      </c>
      <c r="P8" s="306"/>
      <c r="Q8" s="306"/>
      <c r="T8" s="84"/>
      <c r="U8" s="84"/>
      <c r="V8" s="84"/>
      <c r="W8" s="84"/>
      <c r="X8" s="84"/>
      <c r="Y8" s="84"/>
      <c r="Z8" s="84"/>
      <c r="AA8" s="84"/>
    </row>
    <row r="9" spans="2:27" s="154" customFormat="1" ht="32.9" customHeight="1">
      <c r="B9" s="324"/>
      <c r="C9" s="324"/>
      <c r="D9" s="324"/>
      <c r="E9" s="341"/>
      <c r="F9" s="344"/>
      <c r="G9" s="344"/>
      <c r="H9" s="344"/>
      <c r="I9" s="344"/>
      <c r="J9" s="344"/>
      <c r="K9" s="124" t="s">
        <v>142</v>
      </c>
      <c r="L9" s="124" t="s">
        <v>143</v>
      </c>
      <c r="M9" s="125" t="s">
        <v>222</v>
      </c>
      <c r="N9" s="125" t="s">
        <v>223</v>
      </c>
      <c r="O9" s="306"/>
      <c r="P9" s="306"/>
      <c r="Q9" s="306"/>
      <c r="T9" s="84"/>
      <c r="U9" s="84"/>
      <c r="V9" s="84"/>
      <c r="W9" s="84"/>
      <c r="X9" s="84"/>
      <c r="Y9" s="84"/>
      <c r="Z9" s="84"/>
      <c r="AA9" s="84"/>
    </row>
    <row r="10" spans="2:27" s="85" customFormat="1" ht="45.65" customHeight="1">
      <c r="B10" s="269" t="s">
        <v>210</v>
      </c>
      <c r="C10" s="266" t="s">
        <v>23</v>
      </c>
      <c r="D10" s="337" t="s">
        <v>405</v>
      </c>
      <c r="E10" s="179" t="s">
        <v>16</v>
      </c>
      <c r="F10" s="86" t="s">
        <v>24</v>
      </c>
      <c r="G10" s="86" t="s">
        <v>16</v>
      </c>
      <c r="H10" s="120" t="s">
        <v>16</v>
      </c>
      <c r="I10" s="86" t="s">
        <v>308</v>
      </c>
      <c r="J10" s="86" t="s">
        <v>356</v>
      </c>
      <c r="K10" s="120" t="s">
        <v>25</v>
      </c>
      <c r="L10" s="120" t="s">
        <v>26</v>
      </c>
      <c r="M10" s="120" t="s">
        <v>83</v>
      </c>
      <c r="N10" s="120" t="s">
        <v>261</v>
      </c>
      <c r="O10" s="119" t="s">
        <v>362</v>
      </c>
      <c r="P10" s="282" t="s">
        <v>27</v>
      </c>
      <c r="Q10" s="282"/>
      <c r="R10" s="168"/>
      <c r="T10" s="84"/>
      <c r="U10" s="84"/>
      <c r="V10" s="84"/>
      <c r="W10" s="84"/>
      <c r="X10" s="84"/>
      <c r="Y10" s="84"/>
      <c r="Z10" s="84"/>
      <c r="AA10" s="84"/>
    </row>
    <row r="11" spans="2:27" s="163" customFormat="1" ht="35.9" customHeight="1">
      <c r="B11" s="270"/>
      <c r="C11" s="267"/>
      <c r="D11" s="338"/>
      <c r="E11" s="179" t="s">
        <v>16</v>
      </c>
      <c r="F11" s="86" t="s">
        <v>28</v>
      </c>
      <c r="G11" s="86" t="s">
        <v>16</v>
      </c>
      <c r="H11" s="120" t="s">
        <v>16</v>
      </c>
      <c r="I11" s="217" t="s">
        <v>364</v>
      </c>
      <c r="J11" s="86" t="s">
        <v>90</v>
      </c>
      <c r="K11" s="120" t="s">
        <v>20</v>
      </c>
      <c r="L11" s="120" t="s">
        <v>29</v>
      </c>
      <c r="M11" s="120" t="s">
        <v>83</v>
      </c>
      <c r="N11" s="120" t="s">
        <v>261</v>
      </c>
      <c r="O11" s="119" t="s">
        <v>346</v>
      </c>
      <c r="P11" s="302" t="s">
        <v>171</v>
      </c>
      <c r="Q11" s="303"/>
      <c r="T11" s="167"/>
      <c r="U11" s="167"/>
      <c r="V11" s="167"/>
      <c r="W11" s="167"/>
      <c r="X11" s="167"/>
      <c r="Y11" s="167"/>
      <c r="Z11" s="167"/>
      <c r="AA11" s="167"/>
    </row>
    <row r="12" spans="2:27" s="163" customFormat="1" ht="33" customHeight="1">
      <c r="B12" s="270"/>
      <c r="C12" s="267"/>
      <c r="D12" s="338"/>
      <c r="E12" s="179" t="s">
        <v>16</v>
      </c>
      <c r="F12" s="86" t="s">
        <v>30</v>
      </c>
      <c r="G12" s="86" t="s">
        <v>16</v>
      </c>
      <c r="H12" s="120" t="s">
        <v>16</v>
      </c>
      <c r="I12" s="180" t="s">
        <v>215</v>
      </c>
      <c r="J12" s="86" t="s">
        <v>31</v>
      </c>
      <c r="K12" s="120" t="s">
        <v>20</v>
      </c>
      <c r="L12" s="120" t="s">
        <v>29</v>
      </c>
      <c r="M12" s="120" t="s">
        <v>261</v>
      </c>
      <c r="N12" s="120" t="s">
        <v>261</v>
      </c>
      <c r="O12" s="119" t="s">
        <v>347</v>
      </c>
      <c r="P12" s="304"/>
      <c r="Q12" s="305"/>
      <c r="T12" s="167"/>
      <c r="U12" s="167"/>
      <c r="V12" s="167"/>
      <c r="W12" s="167"/>
      <c r="X12" s="167"/>
      <c r="Y12" s="167"/>
      <c r="Z12" s="167"/>
      <c r="AA12" s="167"/>
    </row>
    <row r="13" spans="2:27" s="163" customFormat="1" ht="36.75" customHeight="1">
      <c r="B13" s="270"/>
      <c r="C13" s="267"/>
      <c r="D13" s="338"/>
      <c r="E13" s="179" t="s">
        <v>16</v>
      </c>
      <c r="F13" s="86" t="s">
        <v>86</v>
      </c>
      <c r="G13" s="86" t="s">
        <v>16</v>
      </c>
      <c r="H13" s="120" t="s">
        <v>16</v>
      </c>
      <c r="I13" s="86" t="s">
        <v>357</v>
      </c>
      <c r="J13" s="86" t="s">
        <v>32</v>
      </c>
      <c r="K13" s="120" t="s">
        <v>20</v>
      </c>
      <c r="L13" s="120" t="s">
        <v>29</v>
      </c>
      <c r="M13" s="120" t="s">
        <v>83</v>
      </c>
      <c r="N13" s="120" t="s">
        <v>83</v>
      </c>
      <c r="O13" s="119" t="s">
        <v>352</v>
      </c>
      <c r="P13" s="304"/>
      <c r="Q13" s="305"/>
      <c r="R13" s="165"/>
      <c r="T13" s="167"/>
      <c r="U13" s="167"/>
      <c r="V13" s="167"/>
      <c r="W13" s="167"/>
      <c r="X13" s="167"/>
      <c r="Y13" s="167"/>
      <c r="Z13" s="167"/>
      <c r="AA13" s="167"/>
    </row>
    <row r="14" spans="2:27" s="163" customFormat="1" ht="31.4" customHeight="1">
      <c r="B14" s="270"/>
      <c r="C14" s="267"/>
      <c r="D14" s="338"/>
      <c r="E14" s="179" t="s">
        <v>16</v>
      </c>
      <c r="F14" s="181" t="s">
        <v>119</v>
      </c>
      <c r="G14" s="86" t="s">
        <v>16</v>
      </c>
      <c r="H14" s="120" t="s">
        <v>16</v>
      </c>
      <c r="I14" s="86" t="s">
        <v>33</v>
      </c>
      <c r="J14" s="86" t="s">
        <v>34</v>
      </c>
      <c r="K14" s="182" t="s">
        <v>20</v>
      </c>
      <c r="L14" s="120" t="s">
        <v>29</v>
      </c>
      <c r="M14" s="120" t="s">
        <v>262</v>
      </c>
      <c r="N14" s="120" t="s">
        <v>262</v>
      </c>
      <c r="O14" s="119" t="s">
        <v>101</v>
      </c>
      <c r="P14" s="304"/>
      <c r="Q14" s="305"/>
      <c r="R14" s="164"/>
      <c r="T14" s="167"/>
      <c r="U14" s="167"/>
      <c r="V14" s="167"/>
      <c r="W14" s="167"/>
      <c r="X14" s="167"/>
      <c r="Y14" s="167"/>
      <c r="Z14" s="167"/>
      <c r="AA14" s="167"/>
    </row>
    <row r="15" spans="2:27" s="163" customFormat="1" ht="53.15" customHeight="1">
      <c r="B15" s="289" t="s">
        <v>211</v>
      </c>
      <c r="C15" s="283" t="s">
        <v>17</v>
      </c>
      <c r="D15" s="333" t="s">
        <v>172</v>
      </c>
      <c r="E15" s="121" t="s">
        <v>16</v>
      </c>
      <c r="F15" s="178" t="s">
        <v>16</v>
      </c>
      <c r="G15" s="108" t="s">
        <v>94</v>
      </c>
      <c r="H15" s="108" t="s">
        <v>16</v>
      </c>
      <c r="I15" s="108" t="s">
        <v>18</v>
      </c>
      <c r="J15" s="120" t="s">
        <v>19</v>
      </c>
      <c r="K15" s="86" t="s">
        <v>20</v>
      </c>
      <c r="L15" s="86" t="s">
        <v>97</v>
      </c>
      <c r="M15" s="120" t="s">
        <v>83</v>
      </c>
      <c r="N15" s="120" t="s">
        <v>83</v>
      </c>
      <c r="O15" s="183" t="s">
        <v>98</v>
      </c>
      <c r="P15" s="307" t="s">
        <v>21</v>
      </c>
      <c r="Q15" s="307"/>
    </row>
    <row r="16" spans="2:27" s="163" customFormat="1" ht="58.5" customHeight="1">
      <c r="B16" s="289"/>
      <c r="C16" s="283"/>
      <c r="D16" s="333"/>
      <c r="E16" s="121" t="s">
        <v>16</v>
      </c>
      <c r="F16" s="109" t="s">
        <v>16</v>
      </c>
      <c r="G16" s="108" t="s">
        <v>95</v>
      </c>
      <c r="H16" s="108" t="s">
        <v>16</v>
      </c>
      <c r="I16" s="184" t="s">
        <v>338</v>
      </c>
      <c r="J16" s="120" t="s">
        <v>19</v>
      </c>
      <c r="K16" s="86" t="s">
        <v>20</v>
      </c>
      <c r="L16" s="86" t="s">
        <v>263</v>
      </c>
      <c r="M16" s="120" t="s">
        <v>83</v>
      </c>
      <c r="N16" s="120" t="s">
        <v>83</v>
      </c>
      <c r="O16" s="183" t="s">
        <v>99</v>
      </c>
      <c r="P16" s="307" t="s">
        <v>21</v>
      </c>
      <c r="Q16" s="307"/>
      <c r="R16" s="164"/>
    </row>
    <row r="17" spans="2:18" s="85" customFormat="1" ht="56.9" customHeight="1">
      <c r="B17" s="289"/>
      <c r="C17" s="283"/>
      <c r="D17" s="333"/>
      <c r="E17" s="121" t="s">
        <v>16</v>
      </c>
      <c r="F17" s="109" t="s">
        <v>16</v>
      </c>
      <c r="G17" s="108" t="s">
        <v>96</v>
      </c>
      <c r="H17" s="108" t="s">
        <v>16</v>
      </c>
      <c r="I17" s="108" t="s">
        <v>353</v>
      </c>
      <c r="J17" s="120" t="s">
        <v>341</v>
      </c>
      <c r="K17" s="120" t="s">
        <v>83</v>
      </c>
      <c r="L17" s="120" t="s">
        <v>262</v>
      </c>
      <c r="M17" s="86" t="s">
        <v>20</v>
      </c>
      <c r="N17" s="86" t="s">
        <v>22</v>
      </c>
      <c r="O17" s="183" t="s">
        <v>100</v>
      </c>
      <c r="P17" s="307" t="s">
        <v>21</v>
      </c>
      <c r="Q17" s="307"/>
      <c r="R17" s="142"/>
    </row>
    <row r="18" spans="2:18" s="159" customFormat="1" ht="46.4" customHeight="1">
      <c r="B18" s="269" t="s">
        <v>212</v>
      </c>
      <c r="C18" s="266" t="s">
        <v>15</v>
      </c>
      <c r="D18" s="272" t="s">
        <v>185</v>
      </c>
      <c r="E18" s="185" t="s">
        <v>16</v>
      </c>
      <c r="F18" s="186" t="s">
        <v>16</v>
      </c>
      <c r="G18" s="186" t="s">
        <v>186</v>
      </c>
      <c r="H18" s="186" t="s">
        <v>16</v>
      </c>
      <c r="I18" s="187" t="s">
        <v>315</v>
      </c>
      <c r="J18" s="186" t="s">
        <v>187</v>
      </c>
      <c r="K18" s="188" t="s">
        <v>188</v>
      </c>
      <c r="L18" s="188" t="s">
        <v>264</v>
      </c>
      <c r="M18" s="120" t="s">
        <v>83</v>
      </c>
      <c r="N18" s="120" t="s">
        <v>262</v>
      </c>
      <c r="O18" s="189" t="s">
        <v>189</v>
      </c>
      <c r="P18" s="275" t="s">
        <v>190</v>
      </c>
      <c r="Q18" s="275"/>
      <c r="R18" s="160"/>
    </row>
    <row r="19" spans="2:18" s="159" customFormat="1" ht="46.4" customHeight="1">
      <c r="B19" s="270"/>
      <c r="C19" s="267"/>
      <c r="D19" s="273"/>
      <c r="E19" s="185" t="s">
        <v>16</v>
      </c>
      <c r="F19" s="190" t="s">
        <v>16</v>
      </c>
      <c r="G19" s="190" t="s">
        <v>191</v>
      </c>
      <c r="H19" s="190" t="s">
        <v>157</v>
      </c>
      <c r="I19" s="190" t="s">
        <v>192</v>
      </c>
      <c r="J19" s="190" t="s">
        <v>193</v>
      </c>
      <c r="K19" s="191" t="s">
        <v>265</v>
      </c>
      <c r="L19" s="191" t="s">
        <v>379</v>
      </c>
      <c r="M19" s="191" t="s">
        <v>265</v>
      </c>
      <c r="N19" s="191" t="s">
        <v>380</v>
      </c>
      <c r="O19" s="192" t="s">
        <v>194</v>
      </c>
      <c r="P19" s="276" t="s">
        <v>195</v>
      </c>
      <c r="Q19" s="277"/>
    </row>
    <row r="20" spans="2:18" s="159" customFormat="1" ht="46.4" customHeight="1">
      <c r="B20" s="270"/>
      <c r="C20" s="267"/>
      <c r="D20" s="274"/>
      <c r="E20" s="185" t="s">
        <v>16</v>
      </c>
      <c r="F20" s="190" t="s">
        <v>16</v>
      </c>
      <c r="G20" s="190" t="s">
        <v>196</v>
      </c>
      <c r="H20" s="190" t="s">
        <v>157</v>
      </c>
      <c r="I20" s="193" t="s">
        <v>316</v>
      </c>
      <c r="J20" s="190" t="s">
        <v>193</v>
      </c>
      <c r="K20" s="194" t="s">
        <v>197</v>
      </c>
      <c r="L20" s="194" t="s">
        <v>198</v>
      </c>
      <c r="M20" s="120" t="s">
        <v>83</v>
      </c>
      <c r="N20" s="120" t="s">
        <v>83</v>
      </c>
      <c r="O20" s="192" t="s">
        <v>199</v>
      </c>
      <c r="P20" s="276" t="s">
        <v>200</v>
      </c>
      <c r="Q20" s="277"/>
    </row>
    <row r="21" spans="2:18" s="161" customFormat="1" ht="47.15" customHeight="1">
      <c r="B21" s="270"/>
      <c r="C21" s="267"/>
      <c r="D21" s="278" t="s">
        <v>201</v>
      </c>
      <c r="E21" s="185" t="s">
        <v>157</v>
      </c>
      <c r="F21" s="195" t="s">
        <v>16</v>
      </c>
      <c r="G21" s="195" t="s">
        <v>202</v>
      </c>
      <c r="H21" s="195" t="s">
        <v>157</v>
      </c>
      <c r="I21" s="195" t="s">
        <v>203</v>
      </c>
      <c r="J21" s="195" t="s">
        <v>204</v>
      </c>
      <c r="K21" s="196" t="s">
        <v>20</v>
      </c>
      <c r="L21" s="196" t="s">
        <v>205</v>
      </c>
      <c r="M21" s="196" t="s">
        <v>20</v>
      </c>
      <c r="N21" s="196" t="s">
        <v>281</v>
      </c>
      <c r="O21" s="189" t="s">
        <v>206</v>
      </c>
      <c r="P21" s="280" t="s">
        <v>207</v>
      </c>
      <c r="Q21" s="280"/>
    </row>
    <row r="22" spans="2:18" s="161" customFormat="1" ht="54.65" customHeight="1">
      <c r="B22" s="270"/>
      <c r="C22" s="267"/>
      <c r="D22" s="279"/>
      <c r="E22" s="185">
        <v>1</v>
      </c>
      <c r="F22" s="197" t="s">
        <v>16</v>
      </c>
      <c r="G22" s="198" t="s">
        <v>291</v>
      </c>
      <c r="H22" s="198" t="s">
        <v>292</v>
      </c>
      <c r="I22" s="198" t="s">
        <v>293</v>
      </c>
      <c r="J22" s="199" t="s">
        <v>123</v>
      </c>
      <c r="K22" s="200" t="s">
        <v>20</v>
      </c>
      <c r="L22" s="200" t="s">
        <v>294</v>
      </c>
      <c r="M22" s="200" t="s">
        <v>20</v>
      </c>
      <c r="N22" s="200" t="s">
        <v>294</v>
      </c>
      <c r="O22" s="201" t="s">
        <v>339</v>
      </c>
      <c r="P22" s="281" t="s">
        <v>317</v>
      </c>
      <c r="Q22" s="281"/>
      <c r="R22" s="162"/>
    </row>
    <row r="23" spans="2:18" s="163" customFormat="1" ht="41.9" customHeight="1">
      <c r="B23" s="270"/>
      <c r="C23" s="267"/>
      <c r="D23" s="283" t="s">
        <v>117</v>
      </c>
      <c r="E23" s="179" t="s">
        <v>16</v>
      </c>
      <c r="F23" s="86" t="s">
        <v>16</v>
      </c>
      <c r="G23" s="86" t="s">
        <v>35</v>
      </c>
      <c r="H23" s="120" t="s">
        <v>16</v>
      </c>
      <c r="I23" s="202" t="s">
        <v>318</v>
      </c>
      <c r="J23" s="86" t="s">
        <v>36</v>
      </c>
      <c r="K23" s="120" t="s">
        <v>20</v>
      </c>
      <c r="L23" s="120" t="s">
        <v>282</v>
      </c>
      <c r="M23" s="120" t="s">
        <v>118</v>
      </c>
      <c r="N23" s="120" t="s">
        <v>266</v>
      </c>
      <c r="O23" s="119" t="s">
        <v>181</v>
      </c>
      <c r="P23" s="282" t="s">
        <v>40</v>
      </c>
      <c r="Q23" s="282"/>
    </row>
    <row r="24" spans="2:18" s="163" customFormat="1" ht="41.9" customHeight="1">
      <c r="B24" s="270"/>
      <c r="C24" s="267"/>
      <c r="D24" s="283"/>
      <c r="E24" s="179" t="s">
        <v>16</v>
      </c>
      <c r="F24" s="86" t="s">
        <v>16</v>
      </c>
      <c r="G24" s="86" t="s">
        <v>37</v>
      </c>
      <c r="H24" s="120" t="s">
        <v>16</v>
      </c>
      <c r="I24" s="86" t="s">
        <v>38</v>
      </c>
      <c r="J24" s="86" t="s">
        <v>39</v>
      </c>
      <c r="K24" s="120" t="s">
        <v>20</v>
      </c>
      <c r="L24" s="120" t="s">
        <v>282</v>
      </c>
      <c r="M24" s="120" t="s">
        <v>118</v>
      </c>
      <c r="N24" s="120" t="s">
        <v>266</v>
      </c>
      <c r="O24" s="119" t="s">
        <v>319</v>
      </c>
      <c r="P24" s="282" t="s">
        <v>40</v>
      </c>
      <c r="Q24" s="282"/>
    </row>
    <row r="25" spans="2:18" s="163" customFormat="1" ht="41.9" customHeight="1">
      <c r="B25" s="270"/>
      <c r="C25" s="267"/>
      <c r="D25" s="283"/>
      <c r="E25" s="179" t="s">
        <v>16</v>
      </c>
      <c r="F25" s="86" t="s">
        <v>16</v>
      </c>
      <c r="G25" s="86" t="s">
        <v>183</v>
      </c>
      <c r="H25" s="120" t="s">
        <v>16</v>
      </c>
      <c r="I25" s="178" t="s">
        <v>38</v>
      </c>
      <c r="J25" s="86" t="s">
        <v>41</v>
      </c>
      <c r="K25" s="120" t="s">
        <v>20</v>
      </c>
      <c r="L25" s="120" t="s">
        <v>282</v>
      </c>
      <c r="M25" s="120" t="s">
        <v>118</v>
      </c>
      <c r="N25" s="120" t="s">
        <v>266</v>
      </c>
      <c r="O25" s="119" t="s">
        <v>182</v>
      </c>
      <c r="P25" s="282" t="s">
        <v>40</v>
      </c>
      <c r="Q25" s="282"/>
    </row>
    <row r="26" spans="2:18" s="163" customFormat="1" ht="41.9" customHeight="1">
      <c r="B26" s="270"/>
      <c r="C26" s="267"/>
      <c r="D26" s="283"/>
      <c r="E26" s="179" t="s">
        <v>16</v>
      </c>
      <c r="F26" s="86" t="s">
        <v>16</v>
      </c>
      <c r="G26" s="86" t="s">
        <v>42</v>
      </c>
      <c r="H26" s="120" t="s">
        <v>16</v>
      </c>
      <c r="I26" s="178" t="s">
        <v>320</v>
      </c>
      <c r="J26" s="86" t="s">
        <v>36</v>
      </c>
      <c r="K26" s="120" t="s">
        <v>20</v>
      </c>
      <c r="L26" s="120" t="s">
        <v>282</v>
      </c>
      <c r="M26" s="120" t="s">
        <v>118</v>
      </c>
      <c r="N26" s="120" t="s">
        <v>266</v>
      </c>
      <c r="O26" s="119" t="s">
        <v>181</v>
      </c>
      <c r="P26" s="282" t="s">
        <v>40</v>
      </c>
      <c r="Q26" s="282"/>
    </row>
    <row r="27" spans="2:18" s="163" customFormat="1" ht="47.9" customHeight="1">
      <c r="B27" s="270"/>
      <c r="C27" s="267"/>
      <c r="D27" s="283"/>
      <c r="E27" s="179">
        <v>2</v>
      </c>
      <c r="F27" s="86" t="s">
        <v>16</v>
      </c>
      <c r="G27" s="86" t="s">
        <v>342</v>
      </c>
      <c r="H27" s="120" t="s">
        <v>43</v>
      </c>
      <c r="I27" s="178" t="s">
        <v>321</v>
      </c>
      <c r="J27" s="86" t="s">
        <v>36</v>
      </c>
      <c r="K27" s="120" t="s">
        <v>20</v>
      </c>
      <c r="L27" s="120" t="s">
        <v>282</v>
      </c>
      <c r="M27" s="120" t="s">
        <v>118</v>
      </c>
      <c r="N27" s="120" t="s">
        <v>266</v>
      </c>
      <c r="O27" s="119" t="s">
        <v>181</v>
      </c>
      <c r="P27" s="282" t="s">
        <v>40</v>
      </c>
      <c r="Q27" s="282"/>
    </row>
    <row r="28" spans="2:18" s="85" customFormat="1" ht="30.65" customHeight="1">
      <c r="B28" s="270"/>
      <c r="C28" s="267"/>
      <c r="D28" s="283"/>
      <c r="E28" s="179" t="s">
        <v>16</v>
      </c>
      <c r="F28" s="86" t="s">
        <v>16</v>
      </c>
      <c r="G28" s="171" t="s">
        <v>325</v>
      </c>
      <c r="H28" s="120" t="s">
        <v>16</v>
      </c>
      <c r="I28" s="178" t="s">
        <v>322</v>
      </c>
      <c r="J28" s="87" t="s">
        <v>44</v>
      </c>
      <c r="K28" s="123" t="s">
        <v>20</v>
      </c>
      <c r="L28" s="120" t="s">
        <v>354</v>
      </c>
      <c r="M28" s="120" t="s">
        <v>118</v>
      </c>
      <c r="N28" s="120" t="s">
        <v>266</v>
      </c>
      <c r="O28" s="119" t="s">
        <v>45</v>
      </c>
      <c r="P28" s="282" t="s">
        <v>40</v>
      </c>
      <c r="Q28" s="282"/>
      <c r="R28" s="168"/>
    </row>
    <row r="29" spans="2:18" s="85" customFormat="1" ht="30" customHeight="1">
      <c r="B29" s="270"/>
      <c r="C29" s="267"/>
      <c r="D29" s="283"/>
      <c r="E29" s="179" t="s">
        <v>16</v>
      </c>
      <c r="F29" s="86" t="s">
        <v>16</v>
      </c>
      <c r="G29" s="171" t="s">
        <v>326</v>
      </c>
      <c r="H29" s="120" t="s">
        <v>16</v>
      </c>
      <c r="I29" s="178" t="s">
        <v>323</v>
      </c>
      <c r="J29" s="87" t="s">
        <v>44</v>
      </c>
      <c r="K29" s="123" t="s">
        <v>20</v>
      </c>
      <c r="L29" s="120" t="s">
        <v>354</v>
      </c>
      <c r="M29" s="120" t="s">
        <v>118</v>
      </c>
      <c r="N29" s="120" t="s">
        <v>266</v>
      </c>
      <c r="O29" s="119" t="s">
        <v>45</v>
      </c>
      <c r="P29" s="282" t="s">
        <v>40</v>
      </c>
      <c r="Q29" s="282"/>
      <c r="R29" s="168"/>
    </row>
    <row r="30" spans="2:18" s="85" customFormat="1" ht="36.65" customHeight="1">
      <c r="B30" s="270"/>
      <c r="C30" s="267"/>
      <c r="D30" s="283"/>
      <c r="E30" s="179" t="s">
        <v>16</v>
      </c>
      <c r="F30" s="86" t="s">
        <v>16</v>
      </c>
      <c r="G30" s="171" t="s">
        <v>327</v>
      </c>
      <c r="H30" s="120" t="s">
        <v>16</v>
      </c>
      <c r="I30" s="178" t="s">
        <v>324</v>
      </c>
      <c r="J30" s="87" t="s">
        <v>44</v>
      </c>
      <c r="K30" s="123" t="s">
        <v>20</v>
      </c>
      <c r="L30" s="120" t="s">
        <v>354</v>
      </c>
      <c r="M30" s="120" t="s">
        <v>118</v>
      </c>
      <c r="N30" s="120" t="s">
        <v>266</v>
      </c>
      <c r="O30" s="119" t="s">
        <v>45</v>
      </c>
      <c r="P30" s="282" t="s">
        <v>40</v>
      </c>
      <c r="Q30" s="282"/>
      <c r="R30" s="168"/>
    </row>
    <row r="31" spans="2:18" s="163" customFormat="1" ht="68.900000000000006" customHeight="1">
      <c r="B31" s="270"/>
      <c r="C31" s="267"/>
      <c r="D31" s="283"/>
      <c r="E31" s="179">
        <v>3</v>
      </c>
      <c r="F31" s="86" t="s">
        <v>16</v>
      </c>
      <c r="G31" s="198" t="s">
        <v>291</v>
      </c>
      <c r="H31" s="198" t="s">
        <v>292</v>
      </c>
      <c r="I31" s="198" t="s">
        <v>330</v>
      </c>
      <c r="J31" s="199" t="s">
        <v>123</v>
      </c>
      <c r="K31" s="200" t="s">
        <v>20</v>
      </c>
      <c r="L31" s="200" t="s">
        <v>328</v>
      </c>
      <c r="M31" s="200" t="s">
        <v>20</v>
      </c>
      <c r="N31" s="200" t="s">
        <v>329</v>
      </c>
      <c r="O31" s="201" t="s">
        <v>337</v>
      </c>
      <c r="P31" s="281" t="s">
        <v>331</v>
      </c>
      <c r="Q31" s="281"/>
      <c r="R31" s="162"/>
    </row>
    <row r="32" spans="2:18" s="163" customFormat="1" ht="36.65" customHeight="1">
      <c r="B32" s="270"/>
      <c r="C32" s="267"/>
      <c r="D32" s="283"/>
      <c r="E32" s="179">
        <v>4</v>
      </c>
      <c r="F32" s="86" t="s">
        <v>16</v>
      </c>
      <c r="G32" s="86" t="s">
        <v>125</v>
      </c>
      <c r="H32" s="198" t="s">
        <v>292</v>
      </c>
      <c r="I32" s="86" t="s">
        <v>283</v>
      </c>
      <c r="J32" s="203" t="s">
        <v>363</v>
      </c>
      <c r="K32" s="204" t="s">
        <v>126</v>
      </c>
      <c r="L32" s="204" t="s">
        <v>22</v>
      </c>
      <c r="M32" s="120" t="s">
        <v>16</v>
      </c>
      <c r="N32" s="120" t="s">
        <v>16</v>
      </c>
      <c r="O32" s="119" t="s">
        <v>178</v>
      </c>
      <c r="P32" s="284" t="s">
        <v>124</v>
      </c>
      <c r="Q32" s="285"/>
    </row>
    <row r="33" spans="2:19" s="85" customFormat="1" ht="71.900000000000006" customHeight="1">
      <c r="B33" s="270"/>
      <c r="C33" s="267"/>
      <c r="D33" s="283"/>
      <c r="E33" s="179" t="s">
        <v>16</v>
      </c>
      <c r="F33" s="86" t="s">
        <v>377</v>
      </c>
      <c r="G33" s="86" t="s">
        <v>16</v>
      </c>
      <c r="H33" s="120" t="s">
        <v>16</v>
      </c>
      <c r="I33" s="216" t="s">
        <v>378</v>
      </c>
      <c r="J33" s="86" t="s">
        <v>276</v>
      </c>
      <c r="K33" s="120" t="s">
        <v>20</v>
      </c>
      <c r="L33" s="120" t="s">
        <v>29</v>
      </c>
      <c r="M33" s="120" t="s">
        <v>118</v>
      </c>
      <c r="N33" s="120" t="s">
        <v>266</v>
      </c>
      <c r="O33" s="119" t="s">
        <v>278</v>
      </c>
      <c r="P33" s="282" t="s">
        <v>113</v>
      </c>
      <c r="Q33" s="282"/>
    </row>
    <row r="34" spans="2:19" s="85" customFormat="1" ht="71.150000000000006" customHeight="1">
      <c r="B34" s="270"/>
      <c r="C34" s="267"/>
      <c r="D34" s="283"/>
      <c r="E34" s="179" t="s">
        <v>16</v>
      </c>
      <c r="F34" s="86" t="s">
        <v>167</v>
      </c>
      <c r="G34" s="86" t="s">
        <v>16</v>
      </c>
      <c r="H34" s="120" t="s">
        <v>16</v>
      </c>
      <c r="I34" s="178" t="s">
        <v>309</v>
      </c>
      <c r="J34" s="86" t="s">
        <v>277</v>
      </c>
      <c r="K34" s="120" t="s">
        <v>20</v>
      </c>
      <c r="L34" s="120" t="s">
        <v>310</v>
      </c>
      <c r="M34" s="120" t="s">
        <v>118</v>
      </c>
      <c r="N34" s="120" t="s">
        <v>266</v>
      </c>
      <c r="O34" s="119" t="s">
        <v>278</v>
      </c>
      <c r="P34" s="282" t="s">
        <v>113</v>
      </c>
      <c r="Q34" s="282"/>
    </row>
    <row r="35" spans="2:19" s="85" customFormat="1" ht="83.15" customHeight="1">
      <c r="B35" s="271"/>
      <c r="C35" s="268"/>
      <c r="D35" s="283"/>
      <c r="E35" s="179" t="s">
        <v>16</v>
      </c>
      <c r="F35" s="86" t="s">
        <v>93</v>
      </c>
      <c r="G35" s="86" t="s">
        <v>16</v>
      </c>
      <c r="H35" s="120" t="s">
        <v>16</v>
      </c>
      <c r="I35" s="86" t="s">
        <v>75</v>
      </c>
      <c r="J35" s="86" t="s">
        <v>277</v>
      </c>
      <c r="K35" s="120" t="s">
        <v>118</v>
      </c>
      <c r="L35" s="120" t="s">
        <v>29</v>
      </c>
      <c r="M35" s="120" t="s">
        <v>118</v>
      </c>
      <c r="N35" s="120" t="s">
        <v>266</v>
      </c>
      <c r="O35" s="119" t="s">
        <v>278</v>
      </c>
      <c r="P35" s="282" t="s">
        <v>113</v>
      </c>
      <c r="Q35" s="282"/>
    </row>
    <row r="36" spans="2:19" s="85" customFormat="1" ht="83.15" customHeight="1">
      <c r="B36" s="221"/>
      <c r="C36" s="220"/>
      <c r="D36" s="218"/>
      <c r="E36" s="179">
        <v>5</v>
      </c>
      <c r="F36" s="218" t="s">
        <v>345</v>
      </c>
      <c r="G36" s="218" t="s">
        <v>16</v>
      </c>
      <c r="H36" s="198" t="s">
        <v>92</v>
      </c>
      <c r="I36" s="216" t="s">
        <v>384</v>
      </c>
      <c r="J36" s="218" t="s">
        <v>102</v>
      </c>
      <c r="K36" s="120" t="s">
        <v>20</v>
      </c>
      <c r="L36" s="120" t="s">
        <v>29</v>
      </c>
      <c r="M36" s="120" t="s">
        <v>118</v>
      </c>
      <c r="N36" s="120" t="s">
        <v>266</v>
      </c>
      <c r="O36" s="205" t="s">
        <v>407</v>
      </c>
      <c r="P36" s="300" t="s">
        <v>145</v>
      </c>
      <c r="Q36" s="301"/>
    </row>
    <row r="37" spans="2:19" s="158" customFormat="1" ht="72" customHeight="1">
      <c r="B37" s="289" t="s">
        <v>212</v>
      </c>
      <c r="C37" s="283" t="s">
        <v>114</v>
      </c>
      <c r="D37" s="283" t="s">
        <v>398</v>
      </c>
      <c r="E37" s="179" t="s">
        <v>16</v>
      </c>
      <c r="F37" s="86" t="s">
        <v>274</v>
      </c>
      <c r="G37" s="86" t="s">
        <v>16</v>
      </c>
      <c r="H37" s="120" t="s">
        <v>273</v>
      </c>
      <c r="I37" s="216" t="s">
        <v>385</v>
      </c>
      <c r="J37" s="86" t="s">
        <v>102</v>
      </c>
      <c r="K37" s="120" t="s">
        <v>20</v>
      </c>
      <c r="L37" s="120" t="s">
        <v>29</v>
      </c>
      <c r="M37" s="120" t="s">
        <v>118</v>
      </c>
      <c r="N37" s="120" t="s">
        <v>266</v>
      </c>
      <c r="O37" s="205" t="s">
        <v>144</v>
      </c>
      <c r="P37" s="300" t="s">
        <v>145</v>
      </c>
      <c r="Q37" s="301"/>
      <c r="R37" s="165"/>
      <c r="S37" s="166"/>
    </row>
    <row r="38" spans="2:19" s="154" customFormat="1" ht="89.9" customHeight="1">
      <c r="B38" s="289"/>
      <c r="C38" s="283"/>
      <c r="D38" s="283"/>
      <c r="E38" s="179">
        <v>6</v>
      </c>
      <c r="F38" s="86" t="s">
        <v>275</v>
      </c>
      <c r="G38" s="86" t="s">
        <v>16</v>
      </c>
      <c r="H38" s="120" t="s">
        <v>176</v>
      </c>
      <c r="I38" s="216" t="s">
        <v>386</v>
      </c>
      <c r="J38" s="86" t="s">
        <v>102</v>
      </c>
      <c r="K38" s="120" t="s">
        <v>20</v>
      </c>
      <c r="L38" s="120" t="s">
        <v>29</v>
      </c>
      <c r="M38" s="120" t="s">
        <v>118</v>
      </c>
      <c r="N38" s="120" t="s">
        <v>266</v>
      </c>
      <c r="O38" s="205" t="s">
        <v>144</v>
      </c>
      <c r="P38" s="300" t="s">
        <v>145</v>
      </c>
      <c r="Q38" s="301"/>
    </row>
    <row r="39" spans="2:19" s="154" customFormat="1" ht="89.9" customHeight="1">
      <c r="B39" s="289"/>
      <c r="C39" s="283"/>
      <c r="D39" s="283"/>
      <c r="E39" s="179" t="s">
        <v>158</v>
      </c>
      <c r="F39" s="218" t="s">
        <v>399</v>
      </c>
      <c r="G39" s="218" t="s">
        <v>16</v>
      </c>
      <c r="H39" s="120" t="s">
        <v>92</v>
      </c>
      <c r="I39" s="216" t="s">
        <v>400</v>
      </c>
      <c r="J39" s="218" t="s">
        <v>102</v>
      </c>
      <c r="K39" s="120" t="s">
        <v>20</v>
      </c>
      <c r="L39" s="120" t="s">
        <v>29</v>
      </c>
      <c r="M39" s="120" t="s">
        <v>118</v>
      </c>
      <c r="N39" s="120" t="s">
        <v>266</v>
      </c>
      <c r="O39" s="205" t="s">
        <v>144</v>
      </c>
      <c r="P39" s="300" t="s">
        <v>145</v>
      </c>
      <c r="Q39" s="301"/>
    </row>
    <row r="40" spans="2:19" s="85" customFormat="1" ht="73.400000000000006" customHeight="1">
      <c r="B40" s="289"/>
      <c r="C40" s="283"/>
      <c r="D40" s="283"/>
      <c r="E40" s="179" t="s">
        <v>158</v>
      </c>
      <c r="F40" s="86" t="s">
        <v>122</v>
      </c>
      <c r="G40" s="86" t="s">
        <v>16</v>
      </c>
      <c r="H40" s="120" t="s">
        <v>177</v>
      </c>
      <c r="I40" s="216" t="s">
        <v>388</v>
      </c>
      <c r="J40" s="86" t="s">
        <v>103</v>
      </c>
      <c r="K40" s="120" t="s">
        <v>20</v>
      </c>
      <c r="L40" s="120" t="s">
        <v>29</v>
      </c>
      <c r="M40" s="120" t="s">
        <v>118</v>
      </c>
      <c r="N40" s="120" t="s">
        <v>266</v>
      </c>
      <c r="O40" s="205" t="s">
        <v>146</v>
      </c>
      <c r="P40" s="300" t="s">
        <v>147</v>
      </c>
      <c r="Q40" s="301"/>
      <c r="R40" s="88"/>
    </row>
    <row r="41" spans="2:19" s="154" customFormat="1" ht="75.650000000000006" customHeight="1">
      <c r="B41" s="289"/>
      <c r="C41" s="283"/>
      <c r="D41" s="283"/>
      <c r="E41" s="179">
        <v>7</v>
      </c>
      <c r="F41" s="86" t="s">
        <v>121</v>
      </c>
      <c r="G41" s="86" t="s">
        <v>16</v>
      </c>
      <c r="H41" s="120" t="s">
        <v>176</v>
      </c>
      <c r="I41" s="216" t="s">
        <v>387</v>
      </c>
      <c r="J41" s="86" t="s">
        <v>156</v>
      </c>
      <c r="K41" s="120" t="s">
        <v>20</v>
      </c>
      <c r="L41" s="120" t="s">
        <v>29</v>
      </c>
      <c r="M41" s="120" t="s">
        <v>297</v>
      </c>
      <c r="N41" s="120" t="s">
        <v>266</v>
      </c>
      <c r="O41" s="205" t="s">
        <v>148</v>
      </c>
      <c r="P41" s="300" t="s">
        <v>147</v>
      </c>
      <c r="Q41" s="301"/>
    </row>
    <row r="42" spans="2:19" s="163" customFormat="1" ht="50.15" customHeight="1">
      <c r="B42" s="289"/>
      <c r="C42" s="283"/>
      <c r="D42" s="283"/>
      <c r="E42" s="179" t="s">
        <v>16</v>
      </c>
      <c r="F42" s="86" t="s">
        <v>46</v>
      </c>
      <c r="G42" s="86" t="s">
        <v>16</v>
      </c>
      <c r="H42" s="120" t="s">
        <v>159</v>
      </c>
      <c r="I42" s="86" t="s">
        <v>87</v>
      </c>
      <c r="J42" s="218" t="s">
        <v>31</v>
      </c>
      <c r="K42" s="120" t="s">
        <v>20</v>
      </c>
      <c r="L42" s="120" t="s">
        <v>29</v>
      </c>
      <c r="M42" s="120" t="s">
        <v>118</v>
      </c>
      <c r="N42" s="120" t="s">
        <v>266</v>
      </c>
      <c r="O42" s="119" t="s">
        <v>179</v>
      </c>
      <c r="P42" s="295" t="s">
        <v>127</v>
      </c>
      <c r="Q42" s="295"/>
      <c r="R42" s="164"/>
    </row>
    <row r="43" spans="2:19" s="163" customFormat="1" ht="54.65" customHeight="1">
      <c r="B43" s="289"/>
      <c r="C43" s="283"/>
      <c r="D43" s="283"/>
      <c r="E43" s="179" t="s">
        <v>16</v>
      </c>
      <c r="F43" s="86" t="s">
        <v>348</v>
      </c>
      <c r="G43" s="86" t="s">
        <v>16</v>
      </c>
      <c r="H43" s="120" t="s">
        <v>16</v>
      </c>
      <c r="I43" s="86" t="s">
        <v>88</v>
      </c>
      <c r="J43" s="218" t="s">
        <v>120</v>
      </c>
      <c r="K43" s="120" t="s">
        <v>20</v>
      </c>
      <c r="L43" s="120" t="s">
        <v>29</v>
      </c>
      <c r="M43" s="120" t="s">
        <v>118</v>
      </c>
      <c r="N43" s="120" t="s">
        <v>266</v>
      </c>
      <c r="O43" s="119" t="s">
        <v>180</v>
      </c>
      <c r="P43" s="295"/>
      <c r="Q43" s="295"/>
      <c r="R43" s="164"/>
    </row>
    <row r="44" spans="2:19" s="163" customFormat="1" ht="76.400000000000006" customHeight="1">
      <c r="B44" s="289"/>
      <c r="C44" s="283"/>
      <c r="D44" s="283"/>
      <c r="E44" s="179">
        <v>8</v>
      </c>
      <c r="F44" s="89" t="s">
        <v>350</v>
      </c>
      <c r="G44" s="89" t="s">
        <v>16</v>
      </c>
      <c r="H44" s="120" t="s">
        <v>43</v>
      </c>
      <c r="I44" s="222" t="s">
        <v>383</v>
      </c>
      <c r="J44" s="224" t="s">
        <v>393</v>
      </c>
      <c r="K44" s="120" t="s">
        <v>392</v>
      </c>
      <c r="L44" s="89" t="s">
        <v>391</v>
      </c>
      <c r="M44" s="120" t="s">
        <v>118</v>
      </c>
      <c r="N44" s="120" t="s">
        <v>266</v>
      </c>
      <c r="O44" s="219" t="s">
        <v>394</v>
      </c>
      <c r="P44" s="284" t="s">
        <v>116</v>
      </c>
      <c r="Q44" s="294"/>
      <c r="R44" s="164"/>
    </row>
    <row r="45" spans="2:19" s="163" customFormat="1" ht="83.15" customHeight="1">
      <c r="B45" s="289"/>
      <c r="C45" s="283"/>
      <c r="D45" s="283"/>
      <c r="E45" s="179">
        <v>9</v>
      </c>
      <c r="F45" s="89" t="s">
        <v>349</v>
      </c>
      <c r="G45" s="89" t="s">
        <v>16</v>
      </c>
      <c r="H45" s="120" t="s">
        <v>43</v>
      </c>
      <c r="I45" s="222" t="s">
        <v>390</v>
      </c>
      <c r="J45" s="224" t="s">
        <v>393</v>
      </c>
      <c r="K45" s="120" t="s">
        <v>392</v>
      </c>
      <c r="L45" s="89" t="s">
        <v>29</v>
      </c>
      <c r="M45" s="120" t="s">
        <v>118</v>
      </c>
      <c r="N45" s="120" t="s">
        <v>266</v>
      </c>
      <c r="O45" s="119" t="s">
        <v>394</v>
      </c>
      <c r="P45" s="284" t="s">
        <v>115</v>
      </c>
      <c r="Q45" s="294"/>
    </row>
    <row r="46" spans="2:19" s="161" customFormat="1" ht="83.15" customHeight="1">
      <c r="B46" s="206"/>
      <c r="C46" s="86"/>
      <c r="D46" s="86"/>
      <c r="E46" s="178">
        <v>10</v>
      </c>
      <c r="F46" s="197" t="s">
        <v>381</v>
      </c>
      <c r="G46" s="197" t="s">
        <v>16</v>
      </c>
      <c r="H46" s="197" t="s">
        <v>43</v>
      </c>
      <c r="I46" s="222" t="s">
        <v>403</v>
      </c>
      <c r="J46" s="224" t="s">
        <v>393</v>
      </c>
      <c r="K46" s="120" t="s">
        <v>392</v>
      </c>
      <c r="L46" s="108" t="s">
        <v>29</v>
      </c>
      <c r="M46" s="120" t="s">
        <v>118</v>
      </c>
      <c r="N46" s="120" t="s">
        <v>266</v>
      </c>
      <c r="O46" s="219" t="s">
        <v>394</v>
      </c>
      <c r="P46" s="292" t="s">
        <v>217</v>
      </c>
      <c r="Q46" s="293"/>
    </row>
    <row r="47" spans="2:19" s="161" customFormat="1" ht="83.15" customHeight="1">
      <c r="B47" s="206"/>
      <c r="C47" s="86"/>
      <c r="D47" s="86"/>
      <c r="E47" s="178">
        <v>11</v>
      </c>
      <c r="F47" s="197" t="s">
        <v>382</v>
      </c>
      <c r="G47" s="197" t="s">
        <v>16</v>
      </c>
      <c r="H47" s="197" t="s">
        <v>43</v>
      </c>
      <c r="I47" s="223" t="s">
        <v>389</v>
      </c>
      <c r="J47" s="224" t="s">
        <v>393</v>
      </c>
      <c r="K47" s="120" t="s">
        <v>392</v>
      </c>
      <c r="L47" s="197" t="s">
        <v>29</v>
      </c>
      <c r="M47" s="120" t="s">
        <v>118</v>
      </c>
      <c r="N47" s="120" t="s">
        <v>266</v>
      </c>
      <c r="O47" s="219" t="s">
        <v>394</v>
      </c>
      <c r="P47" s="292" t="s">
        <v>218</v>
      </c>
      <c r="Q47" s="293"/>
    </row>
    <row r="48" spans="2:19" s="163" customFormat="1" ht="69.75" customHeight="1">
      <c r="B48" s="289" t="s">
        <v>213</v>
      </c>
      <c r="C48" s="283" t="s">
        <v>114</v>
      </c>
      <c r="D48" s="283" t="s">
        <v>395</v>
      </c>
      <c r="E48" s="179" t="s">
        <v>16</v>
      </c>
      <c r="F48" s="86" t="s">
        <v>351</v>
      </c>
      <c r="G48" s="86" t="s">
        <v>16</v>
      </c>
      <c r="H48" s="120" t="s">
        <v>16</v>
      </c>
      <c r="I48" s="86" t="s">
        <v>219</v>
      </c>
      <c r="J48" s="86" t="s">
        <v>47</v>
      </c>
      <c r="K48" s="182" t="s">
        <v>20</v>
      </c>
      <c r="L48" s="120" t="s">
        <v>29</v>
      </c>
      <c r="M48" s="120" t="s">
        <v>118</v>
      </c>
      <c r="N48" s="120" t="s">
        <v>266</v>
      </c>
      <c r="O48" s="119" t="s">
        <v>106</v>
      </c>
      <c r="P48" s="298" t="s">
        <v>108</v>
      </c>
      <c r="Q48" s="299"/>
    </row>
    <row r="49" spans="2:18" s="163" customFormat="1" ht="69.75" customHeight="1">
      <c r="B49" s="289"/>
      <c r="C49" s="283"/>
      <c r="D49" s="283"/>
      <c r="E49" s="179">
        <v>12</v>
      </c>
      <c r="F49" s="193" t="s">
        <v>344</v>
      </c>
      <c r="G49" s="207" t="s">
        <v>16</v>
      </c>
      <c r="H49" s="208" t="s">
        <v>92</v>
      </c>
      <c r="I49" s="190" t="s">
        <v>160</v>
      </c>
      <c r="J49" s="209" t="s">
        <v>149</v>
      </c>
      <c r="K49" s="120" t="s">
        <v>118</v>
      </c>
      <c r="L49" s="225" t="s">
        <v>396</v>
      </c>
      <c r="M49" s="120" t="s">
        <v>118</v>
      </c>
      <c r="N49" s="225" t="s">
        <v>396</v>
      </c>
      <c r="O49" s="210" t="s">
        <v>150</v>
      </c>
      <c r="P49" s="296" t="s">
        <v>151</v>
      </c>
      <c r="Q49" s="297"/>
    </row>
    <row r="50" spans="2:18" s="163" customFormat="1" ht="89.9" customHeight="1">
      <c r="B50" s="289"/>
      <c r="C50" s="283"/>
      <c r="D50" s="283"/>
      <c r="E50" s="179" t="s">
        <v>16</v>
      </c>
      <c r="F50" s="86" t="s">
        <v>48</v>
      </c>
      <c r="G50" s="86" t="s">
        <v>16</v>
      </c>
      <c r="H50" s="120" t="s">
        <v>16</v>
      </c>
      <c r="I50" s="178" t="s">
        <v>332</v>
      </c>
      <c r="J50" s="86" t="s">
        <v>105</v>
      </c>
      <c r="K50" s="182" t="s">
        <v>284</v>
      </c>
      <c r="L50" s="120" t="s">
        <v>29</v>
      </c>
      <c r="M50" s="182" t="s">
        <v>267</v>
      </c>
      <c r="N50" s="211" t="s">
        <v>268</v>
      </c>
      <c r="O50" s="119" t="s">
        <v>104</v>
      </c>
      <c r="P50" s="282" t="s">
        <v>107</v>
      </c>
      <c r="Q50" s="282"/>
    </row>
    <row r="51" spans="2:18" s="85" customFormat="1" ht="40.5" customHeight="1">
      <c r="B51" s="290" t="s">
        <v>214</v>
      </c>
      <c r="C51" s="291" t="s">
        <v>91</v>
      </c>
      <c r="D51" s="291" t="s">
        <v>80</v>
      </c>
      <c r="E51" s="122" t="s">
        <v>83</v>
      </c>
      <c r="F51" s="89" t="s">
        <v>16</v>
      </c>
      <c r="G51" s="171" t="s">
        <v>76</v>
      </c>
      <c r="H51" s="171" t="s">
        <v>83</v>
      </c>
      <c r="I51" s="171" t="s">
        <v>89</v>
      </c>
      <c r="J51" s="193" t="s">
        <v>81</v>
      </c>
      <c r="K51" s="90" t="s">
        <v>152</v>
      </c>
      <c r="L51" s="91" t="s">
        <v>22</v>
      </c>
      <c r="M51" s="90" t="s">
        <v>152</v>
      </c>
      <c r="N51" s="91" t="s">
        <v>22</v>
      </c>
      <c r="O51" s="212" t="s">
        <v>355</v>
      </c>
      <c r="P51" s="287" t="s">
        <v>153</v>
      </c>
      <c r="Q51" s="288"/>
      <c r="R51" s="168"/>
    </row>
    <row r="52" spans="2:18" s="163" customFormat="1" ht="51" customHeight="1">
      <c r="B52" s="290"/>
      <c r="C52" s="291"/>
      <c r="D52" s="291"/>
      <c r="E52" s="122" t="s">
        <v>83</v>
      </c>
      <c r="F52" s="89" t="s">
        <v>16</v>
      </c>
      <c r="G52" s="171" t="s">
        <v>77</v>
      </c>
      <c r="H52" s="120" t="s">
        <v>16</v>
      </c>
      <c r="I52" s="213" t="s">
        <v>112</v>
      </c>
      <c r="J52" s="213" t="s">
        <v>82</v>
      </c>
      <c r="K52" s="86" t="s">
        <v>20</v>
      </c>
      <c r="L52" s="86" t="s">
        <v>269</v>
      </c>
      <c r="M52" s="120" t="s">
        <v>83</v>
      </c>
      <c r="N52" s="120" t="s">
        <v>262</v>
      </c>
      <c r="O52" s="183" t="s">
        <v>109</v>
      </c>
      <c r="P52" s="286" t="s">
        <v>110</v>
      </c>
      <c r="Q52" s="286"/>
    </row>
    <row r="53" spans="2:18" s="163" customFormat="1" ht="52.4" customHeight="1">
      <c r="B53" s="290"/>
      <c r="C53" s="291"/>
      <c r="D53" s="291"/>
      <c r="E53" s="122" t="s">
        <v>84</v>
      </c>
      <c r="F53" s="89" t="s">
        <v>16</v>
      </c>
      <c r="G53" s="120" t="s">
        <v>78</v>
      </c>
      <c r="H53" s="120" t="s">
        <v>16</v>
      </c>
      <c r="I53" s="214" t="s">
        <v>173</v>
      </c>
      <c r="J53" s="213" t="s">
        <v>82</v>
      </c>
      <c r="K53" s="86" t="s">
        <v>20</v>
      </c>
      <c r="L53" s="86" t="s">
        <v>263</v>
      </c>
      <c r="M53" s="120" t="s">
        <v>262</v>
      </c>
      <c r="N53" s="120" t="s">
        <v>262</v>
      </c>
      <c r="O53" s="183" t="s">
        <v>109</v>
      </c>
      <c r="P53" s="286" t="s">
        <v>110</v>
      </c>
      <c r="Q53" s="286"/>
    </row>
    <row r="54" spans="2:18" s="163" customFormat="1" ht="52.4" customHeight="1">
      <c r="B54" s="290"/>
      <c r="C54" s="291"/>
      <c r="D54" s="291"/>
      <c r="E54" s="122" t="s">
        <v>85</v>
      </c>
      <c r="F54" s="89" t="s">
        <v>16</v>
      </c>
      <c r="G54" s="171" t="s">
        <v>79</v>
      </c>
      <c r="H54" s="120" t="s">
        <v>16</v>
      </c>
      <c r="I54" s="108" t="s">
        <v>170</v>
      </c>
      <c r="J54" s="120" t="s">
        <v>289</v>
      </c>
      <c r="K54" s="120" t="s">
        <v>262</v>
      </c>
      <c r="L54" s="120" t="s">
        <v>262</v>
      </c>
      <c r="M54" s="86" t="s">
        <v>20</v>
      </c>
      <c r="N54" s="86" t="s">
        <v>22</v>
      </c>
      <c r="O54" s="183" t="s">
        <v>111</v>
      </c>
      <c r="P54" s="286" t="s">
        <v>110</v>
      </c>
      <c r="Q54" s="286"/>
    </row>
    <row r="55" spans="2:18" s="83" customFormat="1" ht="96.75" customHeight="1">
      <c r="B55" s="215" t="s">
        <v>154</v>
      </c>
      <c r="C55" s="309" t="s">
        <v>155</v>
      </c>
      <c r="D55" s="309"/>
      <c r="E55" s="309"/>
      <c r="F55" s="309"/>
      <c r="G55" s="309"/>
      <c r="H55" s="309"/>
      <c r="I55" s="309"/>
      <c r="J55" s="309"/>
      <c r="K55" s="309"/>
      <c r="L55" s="309"/>
      <c r="M55" s="309"/>
      <c r="N55" s="309"/>
      <c r="O55" s="309"/>
      <c r="P55" s="309"/>
      <c r="Q55" s="309"/>
    </row>
    <row r="56" spans="2:18" s="83" customFormat="1" ht="34.5" customHeight="1">
      <c r="B56" s="310" t="s">
        <v>270</v>
      </c>
      <c r="C56" s="311"/>
      <c r="D56" s="311"/>
      <c r="E56" s="310" t="s">
        <v>255</v>
      </c>
      <c r="F56" s="310"/>
      <c r="G56" s="310" t="s">
        <v>256</v>
      </c>
      <c r="H56" s="310"/>
      <c r="I56" s="314" t="s">
        <v>257</v>
      </c>
      <c r="J56" s="315"/>
      <c r="K56" s="315"/>
      <c r="L56" s="315"/>
      <c r="M56" s="316"/>
      <c r="N56" s="314" t="s">
        <v>258</v>
      </c>
      <c r="O56" s="316"/>
      <c r="P56" s="310" t="s">
        <v>259</v>
      </c>
      <c r="Q56" s="312"/>
    </row>
    <row r="57" spans="2:18" s="83" customFormat="1" ht="40.5" customHeight="1">
      <c r="B57" s="313" t="s">
        <v>298</v>
      </c>
      <c r="C57" s="311"/>
      <c r="D57" s="311"/>
      <c r="E57" s="310" t="s">
        <v>372</v>
      </c>
      <c r="F57" s="312"/>
      <c r="G57" s="310" t="s">
        <v>287</v>
      </c>
      <c r="H57" s="312"/>
      <c r="I57" s="317" t="s">
        <v>397</v>
      </c>
      <c r="J57" s="318"/>
      <c r="K57" s="318"/>
      <c r="L57" s="318"/>
      <c r="M57" s="319"/>
      <c r="N57" s="320" t="s">
        <v>260</v>
      </c>
      <c r="O57" s="321"/>
      <c r="P57" s="313" t="s">
        <v>288</v>
      </c>
      <c r="Q57" s="311"/>
    </row>
    <row r="58" spans="2:18" ht="31.5" customHeight="1">
      <c r="B58" s="155"/>
      <c r="C58" s="155"/>
    </row>
  </sheetData>
  <sheetProtection formatCells="0" formatRows="0" insertColumns="0" insertRows="0" insertHyperlinks="0" deleteColumns="0" deleteRows="0" sort="0" autoFilter="0" pivotTables="0"/>
  <protectedRanges>
    <protectedRange sqref="Q1" name="区域1_1"/>
    <protectedRange sqref="O15:O17" name="区域1_1_10_1_1"/>
    <protectedRange sqref="I52" name="区域1_1_3_1_1_3_4_1" securityDescriptor=""/>
    <protectedRange sqref="J52:J53" name="区域1_1_8_4_1" securityDescriptor=""/>
    <protectedRange sqref="O52:O54" name="区域1_1_10_1_1_1"/>
    <protectedRange sqref="P52:P54" name="区域1_1_1_2_1_2_1_1_1"/>
    <protectedRange sqref="Q52:Q54" name="区域1_1_10_1_1_2"/>
    <protectedRange sqref="I53" name="区域1_1_3_1_1_3_4_1_1_3" securityDescriptor=""/>
    <protectedRange sqref="E18:H18 E19:E20" name="区域1_1_2_3_1_3_2_2"/>
    <protectedRange sqref="D18:D20" name="区域1_1_2_3_2_1_1_2"/>
    <protectedRange sqref="D21 E22:F22" name="区域1_1_5_1_2_2"/>
    <protectedRange sqref="Q18 I18:J18" name="区域1_1_2_3_1_3_1_1_2"/>
    <protectedRange sqref="P18" name="区域1_1_1_5_1_1_1_1_1_2"/>
    <protectedRange sqref="E21" name="区域1_1_4_3_3_4_1_2"/>
    <protectedRange sqref="L18" name="区域1_1_2_3_1_3_1_1_2_1"/>
    <protectedRange sqref="K18" name="区域1_1_18_1_1_1_2_1"/>
    <protectedRange sqref="G22:I22" name="区域1_1_4_5_1"/>
    <protectedRange sqref="L22 N22" name="区域1_1_12_1"/>
    <protectedRange sqref="G31:I31 H32 H36" name="区域1_1_4_5_1_1"/>
    <protectedRange sqref="L31 N31" name="区域1_1_12_1_1"/>
    <protectedRange sqref="R22 P22" name="区域1_1_1_2_1_2_1_1_2"/>
    <protectedRange sqref="Q22" name="区域1_1_10_1_2"/>
    <protectedRange sqref="O22" name="区域1_1_10_1_2_1"/>
    <protectedRange sqref="R31 P31" name="区域1_1_1_2_1_2_1_1_2_3"/>
    <protectedRange sqref="Q31" name="区域1_1_10_1_2_3"/>
    <protectedRange sqref="O31" name="区域1_1_10_1_2_1_4"/>
  </protectedRanges>
  <mergeCells count="106">
    <mergeCell ref="B15:B17"/>
    <mergeCell ref="C6:C9"/>
    <mergeCell ref="C15:C17"/>
    <mergeCell ref="D6:D9"/>
    <mergeCell ref="D15:D17"/>
    <mergeCell ref="M2:O2"/>
    <mergeCell ref="M3:O3"/>
    <mergeCell ref="M4:Q4"/>
    <mergeCell ref="K8:L8"/>
    <mergeCell ref="B10:B14"/>
    <mergeCell ref="B6:B9"/>
    <mergeCell ref="C10:C14"/>
    <mergeCell ref="D10:D14"/>
    <mergeCell ref="E7:E9"/>
    <mergeCell ref="F7:F9"/>
    <mergeCell ref="G7:G9"/>
    <mergeCell ref="H7:H9"/>
    <mergeCell ref="E6:H6"/>
    <mergeCell ref="I7:I9"/>
    <mergeCell ref="J7:J9"/>
    <mergeCell ref="K7:L7"/>
    <mergeCell ref="M7:N7"/>
    <mergeCell ref="M8:N8"/>
    <mergeCell ref="B1:D1"/>
    <mergeCell ref="O1:Q1"/>
    <mergeCell ref="K2:L2"/>
    <mergeCell ref="K3:L3"/>
    <mergeCell ref="B4:D4"/>
    <mergeCell ref="E4:J4"/>
    <mergeCell ref="K4:L4"/>
    <mergeCell ref="B2:J3"/>
    <mergeCell ref="C5:D5"/>
    <mergeCell ref="E5:F5"/>
    <mergeCell ref="G5:H5"/>
    <mergeCell ref="L5:O5"/>
    <mergeCell ref="C55:Q55"/>
    <mergeCell ref="B56:D56"/>
    <mergeCell ref="E56:F56"/>
    <mergeCell ref="G56:H56"/>
    <mergeCell ref="P56:Q56"/>
    <mergeCell ref="P57:Q57"/>
    <mergeCell ref="B57:D57"/>
    <mergeCell ref="E57:F57"/>
    <mergeCell ref="G57:H57"/>
    <mergeCell ref="I56:M56"/>
    <mergeCell ref="N56:O56"/>
    <mergeCell ref="I57:M57"/>
    <mergeCell ref="N57:O57"/>
    <mergeCell ref="P41:Q41"/>
    <mergeCell ref="P29:Q29"/>
    <mergeCell ref="P30:Q30"/>
    <mergeCell ref="P33:Q33"/>
    <mergeCell ref="P34:Q34"/>
    <mergeCell ref="P35:Q35"/>
    <mergeCell ref="P11:Q14"/>
    <mergeCell ref="O8:O9"/>
    <mergeCell ref="P15:Q15"/>
    <mergeCell ref="P16:Q16"/>
    <mergeCell ref="P17:Q17"/>
    <mergeCell ref="P10:Q10"/>
    <mergeCell ref="P6:Q9"/>
    <mergeCell ref="P23:Q23"/>
    <mergeCell ref="I6:O6"/>
    <mergeCell ref="P39:Q39"/>
    <mergeCell ref="P36:Q36"/>
    <mergeCell ref="P54:Q54"/>
    <mergeCell ref="P50:Q50"/>
    <mergeCell ref="P51:Q51"/>
    <mergeCell ref="P52:Q52"/>
    <mergeCell ref="P53:Q53"/>
    <mergeCell ref="B37:B45"/>
    <mergeCell ref="C37:C45"/>
    <mergeCell ref="D37:D45"/>
    <mergeCell ref="B48:B50"/>
    <mergeCell ref="B51:B54"/>
    <mergeCell ref="C51:C54"/>
    <mergeCell ref="D51:D54"/>
    <mergeCell ref="C48:C50"/>
    <mergeCell ref="D48:D50"/>
    <mergeCell ref="P46:Q46"/>
    <mergeCell ref="P47:Q47"/>
    <mergeCell ref="P44:Q44"/>
    <mergeCell ref="P45:Q45"/>
    <mergeCell ref="P42:Q43"/>
    <mergeCell ref="P49:Q49"/>
    <mergeCell ref="P48:Q48"/>
    <mergeCell ref="P37:Q37"/>
    <mergeCell ref="P38:Q38"/>
    <mergeCell ref="P40:Q40"/>
    <mergeCell ref="C18:C35"/>
    <mergeCell ref="B18:B35"/>
    <mergeCell ref="D18:D20"/>
    <mergeCell ref="P18:Q18"/>
    <mergeCell ref="P19:Q19"/>
    <mergeCell ref="P20:Q20"/>
    <mergeCell ref="D21:D22"/>
    <mergeCell ref="P21:Q21"/>
    <mergeCell ref="P22:Q22"/>
    <mergeCell ref="P27:Q27"/>
    <mergeCell ref="P28:Q28"/>
    <mergeCell ref="P24:Q24"/>
    <mergeCell ref="P25:Q25"/>
    <mergeCell ref="P26:Q26"/>
    <mergeCell ref="D23:D35"/>
    <mergeCell ref="P31:Q31"/>
    <mergeCell ref="P32:Q32"/>
  </mergeCells>
  <phoneticPr fontId="41" type="noConversion"/>
  <printOptions horizontalCentered="1" verticalCentered="1"/>
  <pageMargins left="7.874015748031496E-2" right="7.874015748031496E-2" top="0.35433070866141736" bottom="0.39370078740157483" header="0.19685039370078741" footer="0.19685039370078741"/>
  <pageSetup paperSize="9" scale="66" fitToHeight="0" orientation="landscape" r:id="rId1"/>
  <headerFooter alignWithMargins="0">
    <oddHeader>&amp;LPM240707-015&amp;C负极涂布工序控制计划&amp;R版本号：B1</oddHeader>
    <oddFooter>&amp;C第 &amp;P 页，共 &amp;N 页</oddFooter>
  </headerFooter>
  <rowBreaks count="3" manualBreakCount="3">
    <brk id="20" min="1" max="14" man="1"/>
    <brk id="34" min="1" max="14" man="1"/>
    <brk id="47" min="1" max="1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18"/>
  <sheetViews>
    <sheetView showWhiteSpace="0" view="pageLayout" topLeftCell="E1" zoomScaleNormal="90" workbookViewId="0">
      <selection activeCell="P6" sqref="P6"/>
    </sheetView>
  </sheetViews>
  <sheetFormatPr defaultRowHeight="14"/>
  <cols>
    <col min="3" max="3" width="10.90625" customWidth="1"/>
    <col min="6" max="6" width="9.90625" customWidth="1"/>
    <col min="8" max="8" width="9.6328125" customWidth="1"/>
    <col min="10" max="10" width="9.6328125" customWidth="1"/>
    <col min="11" max="11" width="12.90625" customWidth="1"/>
    <col min="12" max="12" width="11.6328125" customWidth="1"/>
    <col min="13" max="13" width="10.90625" customWidth="1"/>
    <col min="14" max="14" width="9.36328125" customWidth="1"/>
    <col min="15" max="15" width="11.90625" customWidth="1"/>
    <col min="16" max="16" width="10.90625" customWidth="1"/>
    <col min="17" max="17" width="17.90625" customWidth="1"/>
  </cols>
  <sheetData>
    <row r="1" spans="1:18" ht="15.5">
      <c r="A1" s="347" t="s">
        <v>311</v>
      </c>
      <c r="B1" s="348"/>
      <c r="C1" s="348"/>
      <c r="D1" s="348"/>
      <c r="E1" s="348"/>
      <c r="F1" s="348"/>
      <c r="G1" s="348"/>
      <c r="H1" s="348"/>
      <c r="I1" s="348"/>
      <c r="J1" s="348"/>
      <c r="K1" s="348"/>
      <c r="L1" s="348"/>
      <c r="M1" s="348"/>
      <c r="N1" s="348"/>
      <c r="O1" s="348"/>
      <c r="P1" s="348"/>
      <c r="Q1" s="349"/>
    </row>
    <row r="2" spans="1:18">
      <c r="A2" s="126"/>
      <c r="B2" s="127"/>
      <c r="C2" s="127"/>
      <c r="D2" s="127"/>
      <c r="E2" s="127"/>
      <c r="F2" s="128"/>
      <c r="G2" s="127"/>
      <c r="H2" s="127"/>
      <c r="I2" s="129"/>
      <c r="J2" s="127"/>
      <c r="K2" s="127"/>
      <c r="L2" s="127"/>
      <c r="M2" s="127"/>
      <c r="N2" s="127"/>
      <c r="O2" s="127"/>
      <c r="P2" s="128"/>
      <c r="Q2" s="130"/>
    </row>
    <row r="3" spans="1:18">
      <c r="A3" s="350" t="s">
        <v>11</v>
      </c>
      <c r="B3" s="350" t="s">
        <v>225</v>
      </c>
      <c r="C3" s="350" t="s">
        <v>226</v>
      </c>
      <c r="D3" s="350" t="s">
        <v>227</v>
      </c>
      <c r="E3" s="350" t="s">
        <v>228</v>
      </c>
      <c r="F3" s="351" t="s">
        <v>229</v>
      </c>
      <c r="G3" s="350" t="s">
        <v>230</v>
      </c>
      <c r="H3" s="350" t="s">
        <v>231</v>
      </c>
      <c r="I3" s="350" t="s">
        <v>232</v>
      </c>
      <c r="J3" s="350" t="s">
        <v>233</v>
      </c>
      <c r="K3" s="350" t="s">
        <v>234</v>
      </c>
      <c r="L3" s="350" t="s">
        <v>235</v>
      </c>
      <c r="M3" s="357" t="s">
        <v>236</v>
      </c>
      <c r="N3" s="350" t="s">
        <v>237</v>
      </c>
      <c r="O3" s="350" t="s">
        <v>238</v>
      </c>
      <c r="P3" s="358" t="s">
        <v>239</v>
      </c>
      <c r="Q3" s="351" t="s">
        <v>240</v>
      </c>
    </row>
    <row r="4" spans="1:18">
      <c r="A4" s="350"/>
      <c r="B4" s="350"/>
      <c r="C4" s="350"/>
      <c r="D4" s="350"/>
      <c r="E4" s="350"/>
      <c r="F4" s="352"/>
      <c r="G4" s="350"/>
      <c r="H4" s="350"/>
      <c r="I4" s="350"/>
      <c r="J4" s="350"/>
      <c r="K4" s="350"/>
      <c r="L4" s="350"/>
      <c r="M4" s="357"/>
      <c r="N4" s="350"/>
      <c r="O4" s="350"/>
      <c r="P4" s="359"/>
      <c r="Q4" s="352"/>
    </row>
    <row r="5" spans="1:18" ht="52.5">
      <c r="A5" s="134">
        <v>1</v>
      </c>
      <c r="B5" s="134" t="s">
        <v>249</v>
      </c>
      <c r="C5" s="134" t="s">
        <v>250</v>
      </c>
      <c r="D5" s="134" t="s">
        <v>251</v>
      </c>
      <c r="E5" s="134" t="s">
        <v>241</v>
      </c>
      <c r="F5" s="134" t="s">
        <v>242</v>
      </c>
      <c r="G5" s="134" t="s">
        <v>252</v>
      </c>
      <c r="H5" s="170" t="s">
        <v>358</v>
      </c>
      <c r="I5" s="170" t="s">
        <v>360</v>
      </c>
      <c r="J5" s="134" t="s">
        <v>253</v>
      </c>
      <c r="K5" s="169" t="s">
        <v>16</v>
      </c>
      <c r="L5" s="169" t="s">
        <v>16</v>
      </c>
      <c r="M5" s="134" t="s">
        <v>16</v>
      </c>
      <c r="N5" s="134" t="s">
        <v>16</v>
      </c>
      <c r="O5" s="134" t="s">
        <v>16</v>
      </c>
      <c r="P5" s="134" t="s">
        <v>16</v>
      </c>
      <c r="Q5" s="141" t="s">
        <v>254</v>
      </c>
      <c r="R5" s="143"/>
    </row>
    <row r="6" spans="1:18" ht="52.5">
      <c r="A6" s="140">
        <v>2</v>
      </c>
      <c r="B6" s="140" t="s">
        <v>333</v>
      </c>
      <c r="C6" s="140" t="s">
        <v>250</v>
      </c>
      <c r="D6" s="140" t="s">
        <v>334</v>
      </c>
      <c r="E6" s="140" t="s">
        <v>241</v>
      </c>
      <c r="F6" s="140" t="s">
        <v>242</v>
      </c>
      <c r="G6" s="140" t="s">
        <v>335</v>
      </c>
      <c r="H6" s="170" t="s">
        <v>359</v>
      </c>
      <c r="I6" s="170" t="s">
        <v>361</v>
      </c>
      <c r="J6" s="140" t="s">
        <v>336</v>
      </c>
      <c r="K6" s="140" t="s">
        <v>16</v>
      </c>
      <c r="L6" s="140" t="s">
        <v>16</v>
      </c>
      <c r="M6" s="140" t="s">
        <v>16</v>
      </c>
      <c r="N6" s="140" t="s">
        <v>16</v>
      </c>
      <c r="O6" s="140" t="s">
        <v>16</v>
      </c>
      <c r="P6" s="140" t="s">
        <v>16</v>
      </c>
      <c r="Q6" s="141" t="s">
        <v>254</v>
      </c>
    </row>
    <row r="7" spans="1:18">
      <c r="A7" s="131"/>
      <c r="B7" s="131"/>
      <c r="C7" s="132"/>
      <c r="D7" s="131"/>
      <c r="E7" s="131"/>
      <c r="F7" s="131"/>
      <c r="G7" s="131"/>
      <c r="H7" s="131"/>
      <c r="I7" s="133"/>
      <c r="J7" s="131"/>
      <c r="K7" s="131"/>
      <c r="L7" s="132"/>
      <c r="M7" s="132"/>
      <c r="N7" s="131"/>
      <c r="O7" s="132"/>
      <c r="P7" s="132"/>
      <c r="Q7" s="133"/>
    </row>
    <row r="8" spans="1:18">
      <c r="A8" s="131"/>
      <c r="B8" s="131"/>
      <c r="C8" s="132"/>
      <c r="D8" s="131"/>
      <c r="E8" s="131"/>
      <c r="F8" s="131"/>
      <c r="G8" s="131"/>
      <c r="H8" s="131"/>
      <c r="I8" s="133"/>
      <c r="J8" s="131"/>
      <c r="K8" s="131"/>
      <c r="L8" s="132"/>
      <c r="M8" s="132"/>
      <c r="N8" s="131"/>
      <c r="O8" s="132"/>
      <c r="P8" s="132"/>
      <c r="Q8" s="133"/>
    </row>
    <row r="9" spans="1:18">
      <c r="A9" s="131"/>
      <c r="B9" s="131"/>
      <c r="C9" s="132"/>
      <c r="D9" s="131"/>
      <c r="E9" s="131"/>
      <c r="F9" s="131"/>
      <c r="G9" s="131"/>
      <c r="H9" s="131"/>
      <c r="I9" s="133"/>
      <c r="J9" s="131"/>
      <c r="K9" s="131"/>
      <c r="L9" s="132"/>
      <c r="M9" s="132"/>
      <c r="N9" s="131"/>
      <c r="O9" s="132"/>
      <c r="P9" s="132"/>
      <c r="Q9" s="133"/>
    </row>
    <row r="10" spans="1:18">
      <c r="A10" s="131"/>
      <c r="B10" s="131"/>
      <c r="C10" s="132"/>
      <c r="D10" s="131"/>
      <c r="E10" s="131"/>
      <c r="F10" s="131"/>
      <c r="G10" s="131"/>
      <c r="H10" s="131"/>
      <c r="I10" s="133"/>
      <c r="J10" s="131"/>
      <c r="K10" s="131"/>
      <c r="L10" s="132"/>
      <c r="M10" s="132"/>
      <c r="N10" s="131"/>
      <c r="O10" s="132"/>
      <c r="P10" s="132"/>
      <c r="Q10" s="133"/>
    </row>
    <row r="11" spans="1:18">
      <c r="A11" s="131"/>
      <c r="B11" s="131"/>
      <c r="C11" s="132"/>
      <c r="D11" s="131"/>
      <c r="E11" s="131"/>
      <c r="F11" s="131"/>
      <c r="G11" s="131"/>
      <c r="H11" s="131"/>
      <c r="I11" s="133"/>
      <c r="J11" s="131"/>
      <c r="K11" s="131"/>
      <c r="L11" s="132"/>
      <c r="M11" s="132"/>
      <c r="N11" s="131"/>
      <c r="O11" s="132"/>
      <c r="P11" s="132"/>
      <c r="Q11" s="133"/>
    </row>
    <row r="12" spans="1:18">
      <c r="A12" s="131"/>
      <c r="B12" s="131"/>
      <c r="C12" s="132"/>
      <c r="D12" s="131"/>
      <c r="E12" s="131"/>
      <c r="F12" s="131"/>
      <c r="G12" s="131"/>
      <c r="H12" s="131"/>
      <c r="I12" s="133"/>
      <c r="J12" s="131"/>
      <c r="K12" s="131"/>
      <c r="L12" s="132"/>
      <c r="M12" s="132"/>
      <c r="N12" s="131"/>
      <c r="O12" s="132"/>
      <c r="P12" s="132"/>
      <c r="Q12" s="133"/>
    </row>
    <row r="13" spans="1:18">
      <c r="A13" s="131"/>
      <c r="B13" s="131"/>
      <c r="C13" s="132"/>
      <c r="D13" s="131"/>
      <c r="E13" s="131"/>
      <c r="F13" s="131"/>
      <c r="G13" s="131"/>
      <c r="H13" s="131"/>
      <c r="I13" s="133"/>
      <c r="J13" s="131"/>
      <c r="K13" s="131"/>
      <c r="L13" s="132"/>
      <c r="M13" s="132"/>
      <c r="N13" s="131"/>
      <c r="O13" s="132"/>
      <c r="P13" s="132"/>
      <c r="Q13" s="133"/>
    </row>
    <row r="14" spans="1:18">
      <c r="A14" s="131"/>
      <c r="B14" s="131"/>
      <c r="C14" s="132"/>
      <c r="D14" s="131"/>
      <c r="E14" s="131"/>
      <c r="F14" s="131"/>
      <c r="G14" s="131"/>
      <c r="H14" s="131"/>
      <c r="I14" s="133"/>
      <c r="J14" s="131"/>
      <c r="K14" s="131"/>
      <c r="L14" s="132"/>
      <c r="M14" s="132"/>
      <c r="N14" s="131"/>
      <c r="O14" s="132"/>
      <c r="P14" s="132"/>
      <c r="Q14" s="133"/>
    </row>
    <row r="15" spans="1:18">
      <c r="A15" s="131"/>
      <c r="B15" s="131"/>
      <c r="C15" s="132"/>
      <c r="D15" s="131"/>
      <c r="E15" s="131"/>
      <c r="F15" s="131"/>
      <c r="G15" s="131"/>
      <c r="H15" s="131"/>
      <c r="I15" s="133"/>
      <c r="J15" s="131"/>
      <c r="K15" s="131"/>
      <c r="L15" s="132"/>
      <c r="M15" s="132"/>
      <c r="N15" s="131"/>
      <c r="O15" s="132"/>
      <c r="P15" s="132"/>
      <c r="Q15" s="133"/>
    </row>
    <row r="16" spans="1:18">
      <c r="A16" s="131"/>
      <c r="B16" s="131"/>
      <c r="C16" s="132"/>
      <c r="D16" s="131"/>
      <c r="E16" s="131"/>
      <c r="F16" s="131"/>
      <c r="G16" s="131"/>
      <c r="H16" s="131"/>
      <c r="I16" s="133"/>
      <c r="J16" s="131"/>
      <c r="K16" s="131"/>
      <c r="L16" s="132"/>
      <c r="M16" s="132"/>
      <c r="N16" s="131"/>
      <c r="O16" s="132"/>
      <c r="P16" s="132"/>
      <c r="Q16" s="133"/>
    </row>
    <row r="17" spans="1:17" ht="22.4" customHeight="1">
      <c r="A17" s="353" t="s">
        <v>243</v>
      </c>
      <c r="B17" s="353"/>
      <c r="C17" s="353"/>
      <c r="D17" s="353"/>
      <c r="E17" s="353"/>
      <c r="F17" s="353"/>
      <c r="G17" s="353"/>
      <c r="H17" s="353"/>
      <c r="I17" s="353"/>
      <c r="J17" s="353"/>
      <c r="K17" s="354" t="s">
        <v>244</v>
      </c>
      <c r="L17" s="355"/>
      <c r="M17" s="356"/>
      <c r="N17" s="354" t="s">
        <v>245</v>
      </c>
      <c r="O17" s="355"/>
      <c r="P17" s="355"/>
      <c r="Q17" s="356"/>
    </row>
    <row r="18" spans="1:17" ht="68.900000000000006" customHeight="1">
      <c r="A18" s="353" t="s">
        <v>246</v>
      </c>
      <c r="B18" s="353"/>
      <c r="C18" s="353"/>
      <c r="D18" s="353"/>
      <c r="E18" s="353"/>
      <c r="F18" s="353"/>
      <c r="G18" s="353"/>
      <c r="H18" s="353"/>
      <c r="I18" s="353"/>
      <c r="J18" s="353"/>
      <c r="K18" s="354" t="s">
        <v>247</v>
      </c>
      <c r="L18" s="355"/>
      <c r="M18" s="356"/>
      <c r="N18" s="354" t="s">
        <v>248</v>
      </c>
      <c r="O18" s="355"/>
      <c r="P18" s="355"/>
      <c r="Q18" s="356"/>
    </row>
  </sheetData>
  <mergeCells count="24">
    <mergeCell ref="A18:J18"/>
    <mergeCell ref="K18:M18"/>
    <mergeCell ref="N18:Q18"/>
    <mergeCell ref="J3:J4"/>
    <mergeCell ref="K3:K4"/>
    <mergeCell ref="L3:L4"/>
    <mergeCell ref="M3:M4"/>
    <mergeCell ref="N3:N4"/>
    <mergeCell ref="O3:O4"/>
    <mergeCell ref="P3:P4"/>
    <mergeCell ref="Q3:Q4"/>
    <mergeCell ref="A17:J17"/>
    <mergeCell ref="K17:M17"/>
    <mergeCell ref="N17:Q17"/>
    <mergeCell ref="A1:Q1"/>
    <mergeCell ref="A3:A4"/>
    <mergeCell ref="B3:B4"/>
    <mergeCell ref="C3:C4"/>
    <mergeCell ref="D3:D4"/>
    <mergeCell ref="E3:E4"/>
    <mergeCell ref="F3:F4"/>
    <mergeCell ref="G3:G4"/>
    <mergeCell ref="H3:H4"/>
    <mergeCell ref="I3:I4"/>
  </mergeCells>
  <phoneticPr fontId="41" type="noConversion"/>
  <printOptions horizontalCentered="1" verticalCentered="1"/>
  <pageMargins left="7.874015748031496E-2" right="7.874015748031496E-2" top="0.35433070866141736" bottom="0.39370078740157483" header="0.19685039370078741" footer="0.19685039370078741"/>
  <pageSetup paperSize="9" scale="82" fitToHeight="0" orientation="landscape" r:id="rId1"/>
  <headerFooter alignWithMargins="0">
    <oddHeader>&amp;LPM240707-015&amp;C负极涂布工序控制计划&amp;R版本号：B2</oddHeader>
    <oddFooter>&amp;C第 &amp;P 页，共 &amp;N 页</oddFooter>
  </headerFooter>
  <colBreaks count="1" manualBreakCount="1">
    <brk id="1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Y26"/>
  <sheetViews>
    <sheetView showGridLines="0" view="pageLayout" topLeftCell="A10" zoomScaleNormal="70" zoomScaleSheetLayoutView="85" workbookViewId="0">
      <selection activeCell="P2" sqref="P2"/>
    </sheetView>
  </sheetViews>
  <sheetFormatPr defaultColWidth="9" defaultRowHeight="14"/>
  <cols>
    <col min="1" max="1" width="1.08984375" style="50" customWidth="1"/>
    <col min="2" max="2" width="11" style="50" customWidth="1"/>
    <col min="3" max="3" width="8.453125" style="50" customWidth="1"/>
    <col min="4" max="4" width="10.6328125" style="50" customWidth="1"/>
    <col min="5" max="5" width="5.453125" style="50" customWidth="1"/>
    <col min="6" max="6" width="8.453125" style="50" customWidth="1"/>
    <col min="7" max="7" width="8.6328125" style="50" customWidth="1"/>
    <col min="8" max="8" width="9.36328125" style="50" customWidth="1"/>
    <col min="9" max="9" width="14.90625" style="50" customWidth="1"/>
    <col min="10" max="10" width="21.90625" style="50" customWidth="1"/>
    <col min="11" max="12" width="10.90625" style="50" customWidth="1"/>
    <col min="13" max="13" width="15.6328125" style="50" customWidth="1"/>
    <col min="14" max="14" width="12.90625" style="51" customWidth="1"/>
    <col min="15" max="15" width="20.36328125" style="51" customWidth="1"/>
    <col min="16" max="16384" width="9" style="50"/>
  </cols>
  <sheetData>
    <row r="1" spans="2:25" s="47" customFormat="1" ht="10.5" customHeight="1">
      <c r="B1" s="375"/>
      <c r="C1" s="375"/>
      <c r="D1" s="375"/>
      <c r="E1" s="52"/>
      <c r="F1" s="50"/>
      <c r="G1" s="50"/>
      <c r="H1" s="50"/>
      <c r="I1" s="53"/>
      <c r="K1" s="50"/>
      <c r="L1" s="50"/>
      <c r="M1" s="375"/>
      <c r="N1" s="375"/>
      <c r="O1" s="375"/>
    </row>
    <row r="2" spans="2:25" s="48" customFormat="1" ht="30" customHeight="1">
      <c r="B2" s="380" t="s">
        <v>295</v>
      </c>
      <c r="C2" s="381"/>
      <c r="D2" s="381"/>
      <c r="E2" s="381"/>
      <c r="F2" s="381"/>
      <c r="G2" s="381"/>
      <c r="H2" s="381"/>
      <c r="I2" s="381"/>
      <c r="J2" s="382"/>
      <c r="K2" s="365" t="s">
        <v>161</v>
      </c>
      <c r="L2" s="365"/>
      <c r="M2" s="94" t="s">
        <v>312</v>
      </c>
      <c r="N2" s="104" t="s">
        <v>162</v>
      </c>
      <c r="O2" s="94"/>
    </row>
    <row r="3" spans="2:25" s="48" customFormat="1" ht="30" customHeight="1">
      <c r="B3" s="383"/>
      <c r="C3" s="384"/>
      <c r="D3" s="384"/>
      <c r="E3" s="384"/>
      <c r="F3" s="384"/>
      <c r="G3" s="384"/>
      <c r="H3" s="384"/>
      <c r="I3" s="384"/>
      <c r="J3" s="385"/>
      <c r="K3" s="376" t="s">
        <v>163</v>
      </c>
      <c r="L3" s="377"/>
      <c r="M3" s="102" t="s">
        <v>114</v>
      </c>
      <c r="N3" s="104" t="s">
        <v>164</v>
      </c>
      <c r="O3" s="103" t="s">
        <v>374</v>
      </c>
      <c r="R3" s="55"/>
      <c r="S3" s="55"/>
      <c r="T3" s="55"/>
      <c r="U3" s="55"/>
      <c r="V3" s="55"/>
      <c r="W3" s="55"/>
      <c r="X3" s="55"/>
      <c r="Y3" s="55"/>
    </row>
    <row r="4" spans="2:25" s="48" customFormat="1" ht="40.5" customHeight="1">
      <c r="B4" s="378" t="s">
        <v>300</v>
      </c>
      <c r="C4" s="379"/>
      <c r="D4" s="379"/>
      <c r="E4" s="312" t="s">
        <v>366</v>
      </c>
      <c r="F4" s="312"/>
      <c r="G4" s="312"/>
      <c r="H4" s="312"/>
      <c r="I4" s="312"/>
      <c r="J4" s="312"/>
      <c r="K4" s="310" t="s">
        <v>165</v>
      </c>
      <c r="L4" s="312"/>
      <c r="M4" s="310" t="s">
        <v>216</v>
      </c>
      <c r="N4" s="310"/>
      <c r="O4" s="310"/>
      <c r="R4" s="56"/>
      <c r="S4" s="55"/>
      <c r="T4" s="55"/>
      <c r="U4" s="55"/>
      <c r="V4" s="55"/>
      <c r="W4" s="55"/>
      <c r="X4" s="55"/>
      <c r="Y4" s="55"/>
    </row>
    <row r="5" spans="2:25" s="48" customFormat="1" ht="38.25" customHeight="1">
      <c r="B5" s="138" t="s">
        <v>301</v>
      </c>
      <c r="C5" s="374" t="s">
        <v>302</v>
      </c>
      <c r="D5" s="374"/>
      <c r="E5" s="388" t="s">
        <v>303</v>
      </c>
      <c r="F5" s="374"/>
      <c r="G5" s="374" t="s">
        <v>313</v>
      </c>
      <c r="H5" s="374"/>
      <c r="I5" s="139" t="s">
        <v>305</v>
      </c>
      <c r="J5" s="139" t="s">
        <v>314</v>
      </c>
      <c r="K5" s="95" t="s">
        <v>166</v>
      </c>
      <c r="L5" s="386" t="s">
        <v>83</v>
      </c>
      <c r="M5" s="387"/>
      <c r="N5" s="100" t="s">
        <v>168</v>
      </c>
      <c r="O5" s="101" t="s">
        <v>83</v>
      </c>
      <c r="R5" s="57"/>
      <c r="S5" s="57"/>
      <c r="T5" s="57"/>
      <c r="U5" s="57"/>
      <c r="V5" s="57"/>
      <c r="W5" s="57"/>
      <c r="X5" s="57"/>
      <c r="Y5" s="57"/>
    </row>
    <row r="6" spans="2:25" s="49" customFormat="1" ht="18" customHeight="1">
      <c r="B6" s="96"/>
      <c r="C6" s="79"/>
      <c r="D6" s="79"/>
      <c r="E6" s="79"/>
      <c r="F6" s="79"/>
      <c r="G6" s="79"/>
      <c r="H6" s="79"/>
      <c r="I6" s="79"/>
      <c r="J6" s="79"/>
      <c r="K6" s="79"/>
      <c r="L6" s="79"/>
      <c r="M6" s="79"/>
      <c r="N6" s="79"/>
      <c r="O6" s="97"/>
      <c r="P6" s="54"/>
    </row>
    <row r="7" spans="2:25" s="49" customFormat="1" ht="18" customHeight="1">
      <c r="B7" s="96"/>
      <c r="C7" s="79"/>
      <c r="D7" s="79"/>
      <c r="E7" s="79"/>
      <c r="F7" s="79"/>
      <c r="G7" s="79"/>
      <c r="H7" s="79"/>
      <c r="I7" s="79"/>
      <c r="J7" s="79"/>
      <c r="K7" s="79"/>
      <c r="L7" s="79"/>
      <c r="M7" s="79"/>
      <c r="N7" s="79"/>
      <c r="O7" s="97"/>
      <c r="P7" s="54"/>
    </row>
    <row r="8" spans="2:25" s="49" customFormat="1" ht="18" customHeight="1">
      <c r="B8" s="96"/>
      <c r="C8" s="79"/>
      <c r="D8" s="79"/>
      <c r="E8" s="79"/>
      <c r="F8" s="79"/>
      <c r="G8" s="79"/>
      <c r="H8" s="79"/>
      <c r="I8" s="79"/>
      <c r="J8" s="79"/>
      <c r="K8" s="79"/>
      <c r="L8" s="79"/>
      <c r="M8" s="79"/>
      <c r="N8" s="79"/>
      <c r="O8" s="97"/>
      <c r="P8" s="54"/>
    </row>
    <row r="9" spans="2:25" s="49" customFormat="1" ht="18" customHeight="1">
      <c r="B9" s="96"/>
      <c r="C9" s="79"/>
      <c r="D9" s="79"/>
      <c r="E9" s="79"/>
      <c r="F9" s="79"/>
      <c r="G9" s="79"/>
      <c r="H9" s="79"/>
      <c r="I9" s="79"/>
      <c r="J9" s="79"/>
      <c r="K9" s="79"/>
      <c r="L9" s="79"/>
      <c r="M9" s="79"/>
      <c r="N9" s="79"/>
      <c r="O9" s="97"/>
    </row>
    <row r="10" spans="2:25" s="49" customFormat="1" ht="18" customHeight="1">
      <c r="B10" s="96"/>
      <c r="C10" s="79"/>
      <c r="D10" s="79"/>
      <c r="E10" s="79"/>
      <c r="F10" s="79"/>
      <c r="G10" s="79"/>
      <c r="H10" s="79"/>
      <c r="I10" s="79"/>
      <c r="J10" s="79"/>
      <c r="K10" s="79"/>
      <c r="L10" s="79"/>
      <c r="M10" s="79"/>
      <c r="N10" s="79"/>
      <c r="O10" s="97"/>
    </row>
    <row r="11" spans="2:25" s="49" customFormat="1" ht="18" customHeight="1">
      <c r="B11" s="96"/>
      <c r="C11" s="79"/>
      <c r="D11" s="79"/>
      <c r="E11" s="79"/>
      <c r="F11" s="79"/>
      <c r="G11" s="79"/>
      <c r="H11" s="79"/>
      <c r="I11" s="79"/>
      <c r="J11" s="79"/>
      <c r="K11" s="79"/>
      <c r="L11" s="79"/>
      <c r="M11" s="79"/>
      <c r="N11" s="79"/>
      <c r="O11" s="98"/>
    </row>
    <row r="12" spans="2:25" s="54" customFormat="1" ht="18" customHeight="1">
      <c r="B12" s="96"/>
      <c r="C12" s="79"/>
      <c r="D12" s="79"/>
      <c r="E12" s="79"/>
      <c r="F12" s="79"/>
      <c r="G12" s="79"/>
      <c r="H12" s="79"/>
      <c r="I12" s="79"/>
      <c r="J12" s="79"/>
      <c r="K12" s="79"/>
      <c r="L12" s="79"/>
      <c r="M12" s="79"/>
      <c r="N12" s="79"/>
      <c r="O12" s="97"/>
    </row>
    <row r="13" spans="2:25" s="49" customFormat="1" ht="20.25" customHeight="1">
      <c r="B13" s="111" t="s">
        <v>169</v>
      </c>
      <c r="C13" s="112"/>
      <c r="D13" s="110"/>
      <c r="E13" s="110"/>
      <c r="F13" s="110"/>
      <c r="G13" s="110"/>
      <c r="H13" s="110"/>
      <c r="I13" s="110"/>
      <c r="J13" s="110"/>
      <c r="K13" s="110"/>
      <c r="L13" s="110"/>
      <c r="M13" s="110"/>
      <c r="N13" s="113"/>
      <c r="O13" s="114"/>
      <c r="P13" s="54"/>
    </row>
    <row r="14" spans="2:25" s="49" customFormat="1" ht="20.25" customHeight="1">
      <c r="B14" s="115"/>
      <c r="C14" s="110"/>
      <c r="D14" s="110"/>
      <c r="E14" s="110"/>
      <c r="F14" s="110"/>
      <c r="G14" s="110"/>
      <c r="H14" s="110"/>
      <c r="I14" s="110"/>
      <c r="J14" s="110"/>
      <c r="K14" s="110"/>
      <c r="L14" s="110"/>
      <c r="M14" s="110"/>
      <c r="N14" s="110"/>
      <c r="O14" s="114"/>
      <c r="P14" s="54"/>
    </row>
    <row r="15" spans="2:25" s="49" customFormat="1" ht="20.25" customHeight="1">
      <c r="B15" s="115"/>
      <c r="C15" s="110"/>
      <c r="D15" s="110"/>
      <c r="E15" s="110"/>
      <c r="F15" s="110"/>
      <c r="G15" s="110"/>
      <c r="H15" s="110"/>
      <c r="I15" s="110"/>
      <c r="J15" s="110"/>
      <c r="K15" s="110"/>
      <c r="L15" s="110"/>
      <c r="M15" s="116"/>
      <c r="N15" s="110"/>
      <c r="O15" s="114"/>
      <c r="P15" s="54"/>
    </row>
    <row r="16" spans="2:25" s="49" customFormat="1" ht="20.25" customHeight="1">
      <c r="B16" s="115"/>
      <c r="C16" s="110"/>
      <c r="D16" s="110"/>
      <c r="E16" s="110"/>
      <c r="F16" s="110"/>
      <c r="G16" s="110"/>
      <c r="H16" s="110"/>
      <c r="I16" s="110"/>
      <c r="J16" s="110"/>
      <c r="K16" s="110"/>
      <c r="L16" s="110"/>
      <c r="M16" s="116"/>
      <c r="N16" s="110"/>
      <c r="O16" s="114"/>
      <c r="P16" s="54"/>
    </row>
    <row r="17" spans="2:18" s="49" customFormat="1" ht="20.25" customHeight="1">
      <c r="B17" s="115"/>
      <c r="C17" s="110"/>
      <c r="D17" s="110"/>
      <c r="E17" s="110"/>
      <c r="F17" s="110"/>
      <c r="G17" s="110"/>
      <c r="H17" s="110"/>
      <c r="I17" s="110"/>
      <c r="J17" s="110"/>
      <c r="K17" s="110"/>
      <c r="L17" s="110"/>
      <c r="M17" s="116"/>
      <c r="N17" s="110"/>
      <c r="O17" s="114"/>
      <c r="P17" s="54"/>
    </row>
    <row r="18" spans="2:18" s="49" customFormat="1" ht="20.25" customHeight="1">
      <c r="B18" s="115"/>
      <c r="C18" s="110"/>
      <c r="D18" s="110"/>
      <c r="E18" s="110"/>
      <c r="F18" s="110"/>
      <c r="G18" s="110"/>
      <c r="H18" s="110"/>
      <c r="I18" s="110"/>
      <c r="J18" s="110"/>
      <c r="K18" s="110"/>
      <c r="L18" s="110"/>
      <c r="M18" s="117"/>
      <c r="N18" s="110"/>
      <c r="O18" s="114"/>
      <c r="P18" s="54"/>
    </row>
    <row r="19" spans="2:18" s="49" customFormat="1" ht="20.25" customHeight="1">
      <c r="B19" s="115"/>
      <c r="C19" s="110"/>
      <c r="D19" s="110"/>
      <c r="E19" s="110"/>
      <c r="F19" s="110"/>
      <c r="G19" s="110"/>
      <c r="H19" s="110"/>
      <c r="I19" s="110"/>
      <c r="J19" s="110"/>
      <c r="K19" s="110"/>
      <c r="L19" s="110"/>
      <c r="M19" s="110"/>
      <c r="N19" s="110"/>
      <c r="O19" s="114"/>
      <c r="P19" s="54"/>
    </row>
    <row r="20" spans="2:18" s="49" customFormat="1" ht="20.25" customHeight="1">
      <c r="B20" s="115"/>
      <c r="C20" s="110"/>
      <c r="D20" s="110"/>
      <c r="E20" s="110"/>
      <c r="F20" s="110"/>
      <c r="G20" s="110"/>
      <c r="H20" s="110"/>
      <c r="I20" s="110"/>
      <c r="J20" s="110"/>
      <c r="K20" s="110"/>
      <c r="L20" s="110"/>
      <c r="M20" s="110"/>
      <c r="N20" s="110"/>
      <c r="O20" s="114"/>
      <c r="P20" s="54"/>
    </row>
    <row r="21" spans="2:18" s="49" customFormat="1" ht="20.25" customHeight="1">
      <c r="B21" s="115"/>
      <c r="C21" s="110"/>
      <c r="D21" s="110"/>
      <c r="E21" s="110"/>
      <c r="F21" s="110"/>
      <c r="G21" s="110"/>
      <c r="H21" s="110"/>
      <c r="I21" s="110"/>
      <c r="J21" s="110"/>
      <c r="K21" s="110"/>
      <c r="L21" s="110"/>
      <c r="M21" s="110"/>
      <c r="N21" s="110"/>
      <c r="O21" s="114"/>
      <c r="P21" s="54"/>
    </row>
    <row r="22" spans="2:18" s="49" customFormat="1" ht="20.25" customHeight="1">
      <c r="B22" s="115"/>
      <c r="C22" s="110"/>
      <c r="D22" s="110"/>
      <c r="E22" s="110"/>
      <c r="F22" s="110"/>
      <c r="G22" s="110"/>
      <c r="H22" s="110"/>
      <c r="I22" s="110"/>
      <c r="J22" s="110"/>
      <c r="K22" s="110"/>
      <c r="L22" s="110"/>
      <c r="M22" s="110"/>
      <c r="N22" s="110"/>
      <c r="O22" s="114"/>
      <c r="P22" s="54"/>
      <c r="R22" s="92"/>
    </row>
    <row r="23" spans="2:18" s="49" customFormat="1" ht="20.25" customHeight="1">
      <c r="B23" s="115"/>
      <c r="C23" s="110"/>
      <c r="D23" s="110"/>
      <c r="E23" s="110"/>
      <c r="F23" s="110"/>
      <c r="G23" s="110"/>
      <c r="H23" s="110"/>
      <c r="I23" s="110"/>
      <c r="J23" s="110"/>
      <c r="K23" s="110"/>
      <c r="L23" s="110"/>
      <c r="M23" s="110"/>
      <c r="N23" s="110"/>
      <c r="O23" s="114"/>
      <c r="P23" s="54"/>
    </row>
    <row r="24" spans="2:18" ht="108" customHeight="1">
      <c r="B24" s="99" t="s">
        <v>49</v>
      </c>
      <c r="C24" s="360" t="s">
        <v>50</v>
      </c>
      <c r="D24" s="360"/>
      <c r="E24" s="360"/>
      <c r="F24" s="360"/>
      <c r="G24" s="360"/>
      <c r="H24" s="360"/>
      <c r="I24" s="360"/>
      <c r="J24" s="360"/>
      <c r="K24" s="360"/>
      <c r="L24" s="360"/>
      <c r="M24" s="360"/>
      <c r="N24" s="360"/>
      <c r="O24" s="361"/>
    </row>
    <row r="25" spans="2:18" ht="29.15" customHeight="1">
      <c r="B25" s="314" t="s">
        <v>174</v>
      </c>
      <c r="C25" s="315"/>
      <c r="D25" s="316"/>
      <c r="E25" s="310" t="s">
        <v>255</v>
      </c>
      <c r="F25" s="310"/>
      <c r="G25" s="310" t="s">
        <v>256</v>
      </c>
      <c r="H25" s="310"/>
      <c r="I25" s="314" t="s">
        <v>175</v>
      </c>
      <c r="J25" s="315"/>
      <c r="K25" s="316"/>
      <c r="L25" s="314" t="s">
        <v>271</v>
      </c>
      <c r="M25" s="316"/>
      <c r="N25" s="310" t="s">
        <v>259</v>
      </c>
      <c r="O25" s="312"/>
    </row>
    <row r="26" spans="2:18" ht="29.15" customHeight="1" thickBot="1">
      <c r="B26" s="362" t="s">
        <v>299</v>
      </c>
      <c r="C26" s="363"/>
      <c r="D26" s="364"/>
      <c r="E26" s="365" t="s">
        <v>288</v>
      </c>
      <c r="F26" s="366"/>
      <c r="G26" s="365" t="s">
        <v>285</v>
      </c>
      <c r="H26" s="366"/>
      <c r="I26" s="369" t="s">
        <v>373</v>
      </c>
      <c r="J26" s="370"/>
      <c r="K26" s="371"/>
      <c r="L26" s="372" t="s">
        <v>51</v>
      </c>
      <c r="M26" s="373"/>
      <c r="N26" s="367" t="s">
        <v>290</v>
      </c>
      <c r="O26" s="368"/>
    </row>
  </sheetData>
  <sheetProtection formatCells="0" formatRows="0" insertColumns="0" insertRows="0" insertHyperlinks="0" deleteColumns="0" deleteRows="0" sort="0" autoFilter="0" pivotTables="0"/>
  <protectedRanges>
    <protectedRange sqref="O1" name="区域1_1"/>
  </protectedRanges>
  <mergeCells count="26">
    <mergeCell ref="G5:H5"/>
    <mergeCell ref="B1:D1"/>
    <mergeCell ref="M1:O1"/>
    <mergeCell ref="K2:L2"/>
    <mergeCell ref="K3:L3"/>
    <mergeCell ref="B4:D4"/>
    <mergeCell ref="E4:J4"/>
    <mergeCell ref="K4:L4"/>
    <mergeCell ref="M4:O4"/>
    <mergeCell ref="B2:J3"/>
    <mergeCell ref="L5:M5"/>
    <mergeCell ref="C5:D5"/>
    <mergeCell ref="E5:F5"/>
    <mergeCell ref="C24:O24"/>
    <mergeCell ref="N25:O25"/>
    <mergeCell ref="B26:D26"/>
    <mergeCell ref="E26:F26"/>
    <mergeCell ref="G26:H26"/>
    <mergeCell ref="N26:O26"/>
    <mergeCell ref="B25:D25"/>
    <mergeCell ref="E25:F25"/>
    <mergeCell ref="G25:H25"/>
    <mergeCell ref="I25:K25"/>
    <mergeCell ref="I26:K26"/>
    <mergeCell ref="L25:M25"/>
    <mergeCell ref="L26:M26"/>
  </mergeCells>
  <phoneticPr fontId="41" type="noConversion"/>
  <printOptions horizontalCentered="1" verticalCentered="1"/>
  <pageMargins left="7.874015748031496E-2" right="7.874015748031496E-2" top="0.35433070866141736" bottom="0.39370078740157483" header="0.19685039370078741" footer="0.19685039370078741"/>
  <pageSetup paperSize="9" scale="81" fitToWidth="0" orientation="landscape" r:id="rId1"/>
  <headerFooter alignWithMargins="0">
    <oddHeader>&amp;LPM240707-015&amp;C负极涂布工序控制计划&amp;R版本号：B2</oddHeader>
    <oddFooter>&amp;C第 &amp;P 页，共 &amp;N 页</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I41"/>
  <sheetViews>
    <sheetView showGridLines="0" topLeftCell="A19" zoomScale="90" zoomScaleNormal="90" workbookViewId="0">
      <selection activeCell="B2" sqref="B2:L5"/>
    </sheetView>
  </sheetViews>
  <sheetFormatPr defaultColWidth="9" defaultRowHeight="20.25" customHeight="1"/>
  <cols>
    <col min="1" max="1" width="2" style="1" customWidth="1"/>
    <col min="2" max="2" width="7" style="1" customWidth="1"/>
    <col min="3" max="3" width="14.453125" style="1" customWidth="1"/>
    <col min="4" max="10" width="12.6328125" style="1" customWidth="1"/>
    <col min="11" max="11" width="21" style="1" customWidth="1"/>
    <col min="12" max="12" width="2.453125" style="1" customWidth="1"/>
    <col min="13" max="13" width="9" style="1"/>
    <col min="14" max="14" width="10.90625" style="1" customWidth="1"/>
    <col min="15" max="16" width="9" style="1"/>
    <col min="17" max="17" width="12.90625" style="1" customWidth="1"/>
    <col min="18" max="16384" width="9" style="1"/>
  </cols>
  <sheetData>
    <row r="2" spans="2:35" ht="20.25" customHeight="1">
      <c r="B2" s="389" t="s">
        <v>208</v>
      </c>
      <c r="C2" s="390"/>
      <c r="D2" s="390"/>
      <c r="E2" s="390"/>
      <c r="F2" s="390"/>
      <c r="G2" s="390"/>
      <c r="H2" s="390"/>
      <c r="I2" s="390"/>
      <c r="J2" s="390"/>
      <c r="K2" s="390"/>
      <c r="L2" s="391"/>
    </row>
    <row r="3" spans="2:35" ht="20.25" customHeight="1">
      <c r="B3" s="392"/>
      <c r="C3" s="393"/>
      <c r="D3" s="393"/>
      <c r="E3" s="393"/>
      <c r="F3" s="393"/>
      <c r="G3" s="393"/>
      <c r="H3" s="393"/>
      <c r="I3" s="393"/>
      <c r="J3" s="393"/>
      <c r="K3" s="393"/>
      <c r="L3" s="394"/>
      <c r="M3" s="24"/>
      <c r="N3" s="24"/>
      <c r="O3" s="24"/>
      <c r="P3" s="24"/>
      <c r="Q3" s="24"/>
      <c r="R3" s="24"/>
      <c r="S3" s="24"/>
    </row>
    <row r="4" spans="2:35" ht="20.25" customHeight="1">
      <c r="B4" s="392"/>
      <c r="C4" s="393"/>
      <c r="D4" s="393"/>
      <c r="E4" s="393"/>
      <c r="F4" s="393"/>
      <c r="G4" s="393"/>
      <c r="H4" s="393"/>
      <c r="I4" s="393"/>
      <c r="J4" s="393"/>
      <c r="K4" s="393"/>
      <c r="L4" s="394"/>
      <c r="M4" s="25"/>
      <c r="N4" s="26"/>
      <c r="O4" s="26"/>
      <c r="P4" s="26"/>
      <c r="Q4" s="26"/>
      <c r="R4" s="26"/>
      <c r="S4" s="26"/>
      <c r="T4" s="26"/>
      <c r="U4" s="26"/>
      <c r="V4" s="26"/>
      <c r="W4" s="43"/>
      <c r="X4" s="43"/>
      <c r="Y4" s="46"/>
      <c r="Z4" s="46"/>
      <c r="AA4" s="46"/>
      <c r="AB4" s="46"/>
      <c r="AC4" s="46"/>
      <c r="AD4" s="46"/>
      <c r="AE4" s="46"/>
      <c r="AF4" s="46"/>
      <c r="AG4" s="46"/>
      <c r="AH4" s="46"/>
      <c r="AI4" s="46"/>
    </row>
    <row r="5" spans="2:35" ht="20.25" customHeight="1">
      <c r="B5" s="395"/>
      <c r="C5" s="396"/>
      <c r="D5" s="396"/>
      <c r="E5" s="396"/>
      <c r="F5" s="396"/>
      <c r="G5" s="396"/>
      <c r="H5" s="396"/>
      <c r="I5" s="396"/>
      <c r="J5" s="396"/>
      <c r="K5" s="396"/>
      <c r="L5" s="397"/>
      <c r="M5" s="27"/>
      <c r="N5" s="27"/>
      <c r="O5" s="27"/>
      <c r="P5" s="27"/>
      <c r="Q5" s="27"/>
      <c r="R5" s="27"/>
      <c r="S5" s="27"/>
      <c r="T5" s="27"/>
      <c r="U5" s="27"/>
      <c r="V5" s="27"/>
      <c r="W5" s="44"/>
      <c r="X5" s="44"/>
      <c r="Y5" s="46"/>
      <c r="Z5" s="46"/>
      <c r="AA5" s="46"/>
      <c r="AB5" s="46"/>
      <c r="AC5" s="46"/>
      <c r="AD5" s="46"/>
      <c r="AE5" s="46"/>
      <c r="AF5" s="46"/>
      <c r="AG5" s="46"/>
      <c r="AH5" s="46"/>
      <c r="AI5" s="46"/>
    </row>
    <row r="6" spans="2:35" ht="20.25" customHeight="1">
      <c r="B6" s="2"/>
      <c r="C6" s="3"/>
      <c r="D6" s="4"/>
      <c r="E6" s="4"/>
      <c r="F6" s="4"/>
      <c r="G6" s="4"/>
      <c r="H6" s="4"/>
      <c r="I6" s="4"/>
      <c r="J6" s="4"/>
      <c r="K6" s="28"/>
      <c r="L6" s="29"/>
      <c r="M6" s="23"/>
      <c r="N6" s="30"/>
      <c r="O6" s="31"/>
      <c r="P6" s="31"/>
      <c r="Q6" s="31"/>
      <c r="R6" s="45"/>
      <c r="S6" s="45"/>
      <c r="T6" s="45"/>
      <c r="U6" s="23"/>
      <c r="V6" s="23"/>
    </row>
    <row r="7" spans="2:35" ht="20.25" customHeight="1">
      <c r="B7" s="5"/>
      <c r="C7" s="6" t="s">
        <v>52</v>
      </c>
      <c r="D7" s="7"/>
      <c r="E7" s="7"/>
      <c r="F7" s="7"/>
      <c r="G7" s="7"/>
      <c r="H7" s="7"/>
      <c r="I7" s="7"/>
      <c r="J7" s="7"/>
      <c r="K7" s="23"/>
      <c r="L7" s="32"/>
      <c r="M7" s="23"/>
      <c r="N7" s="30"/>
      <c r="O7" s="31"/>
      <c r="P7" s="31"/>
      <c r="Q7" s="31"/>
      <c r="R7" s="45"/>
      <c r="S7" s="45"/>
      <c r="T7" s="45"/>
      <c r="U7" s="23"/>
      <c r="V7" s="23"/>
    </row>
    <row r="8" spans="2:35" ht="20.25" customHeight="1">
      <c r="B8" s="5"/>
      <c r="C8" s="398"/>
      <c r="D8" s="399"/>
      <c r="E8" s="8" t="s">
        <v>53</v>
      </c>
      <c r="F8" s="8" t="s">
        <v>54</v>
      </c>
      <c r="G8" s="8" t="s">
        <v>55</v>
      </c>
      <c r="H8" s="8" t="s">
        <v>56</v>
      </c>
      <c r="I8" s="8" t="s">
        <v>57</v>
      </c>
      <c r="J8" s="33" t="s">
        <v>58</v>
      </c>
      <c r="K8" s="23"/>
      <c r="L8" s="32"/>
      <c r="M8" s="23"/>
      <c r="N8" s="30"/>
      <c r="O8" s="31"/>
      <c r="P8" s="31"/>
      <c r="Q8" s="31"/>
      <c r="R8" s="45"/>
      <c r="S8" s="45"/>
      <c r="T8" s="45"/>
      <c r="U8" s="23"/>
      <c r="V8" s="23"/>
    </row>
    <row r="9" spans="2:35" ht="20.25" customHeight="1">
      <c r="B9" s="5"/>
      <c r="C9" s="401" t="s">
        <v>59</v>
      </c>
      <c r="D9" s="9" t="s">
        <v>60</v>
      </c>
      <c r="E9" s="10">
        <v>60</v>
      </c>
      <c r="F9" s="10">
        <v>70</v>
      </c>
      <c r="G9" s="10">
        <v>70</v>
      </c>
      <c r="H9" s="10">
        <v>70</v>
      </c>
      <c r="I9" s="10">
        <v>70</v>
      </c>
      <c r="J9" s="34">
        <v>70</v>
      </c>
      <c r="K9" s="35"/>
      <c r="L9" s="32"/>
      <c r="M9" s="23"/>
      <c r="N9" s="30"/>
      <c r="O9" s="31"/>
      <c r="P9" s="31"/>
      <c r="Q9" s="31"/>
      <c r="R9" s="45"/>
      <c r="S9" s="45"/>
      <c r="T9" s="45"/>
      <c r="U9" s="23"/>
      <c r="V9" s="23"/>
    </row>
    <row r="10" spans="2:35" ht="20.25" customHeight="1">
      <c r="B10" s="5"/>
      <c r="C10" s="402"/>
      <c r="D10" s="9" t="s">
        <v>61</v>
      </c>
      <c r="E10" s="10">
        <v>120</v>
      </c>
      <c r="F10" s="10">
        <v>140</v>
      </c>
      <c r="G10" s="10">
        <v>140</v>
      </c>
      <c r="H10" s="10">
        <v>140</v>
      </c>
      <c r="I10" s="10">
        <v>140</v>
      </c>
      <c r="J10" s="10">
        <v>140</v>
      </c>
      <c r="K10" s="35"/>
      <c r="L10" s="32"/>
      <c r="M10" s="23"/>
      <c r="N10" s="30"/>
      <c r="O10" s="31"/>
      <c r="P10" s="31"/>
      <c r="Q10" s="31"/>
      <c r="R10" s="45"/>
      <c r="S10" s="45"/>
      <c r="T10" s="45"/>
      <c r="U10" s="23"/>
      <c r="V10" s="23"/>
    </row>
    <row r="11" spans="2:35" ht="20.25" customHeight="1">
      <c r="B11" s="5"/>
      <c r="C11" s="401" t="s">
        <v>62</v>
      </c>
      <c r="D11" s="9" t="s">
        <v>60</v>
      </c>
      <c r="E11" s="10">
        <v>200</v>
      </c>
      <c r="F11" s="10">
        <v>600</v>
      </c>
      <c r="G11" s="10">
        <v>600</v>
      </c>
      <c r="H11" s="10">
        <v>600</v>
      </c>
      <c r="I11" s="10">
        <v>600</v>
      </c>
      <c r="J11" s="10">
        <v>600</v>
      </c>
      <c r="K11" s="13"/>
      <c r="L11" s="32"/>
      <c r="M11" s="23"/>
      <c r="N11" s="30"/>
      <c r="O11" s="31"/>
      <c r="P11" s="31"/>
      <c r="Q11" s="31"/>
      <c r="R11" s="45"/>
      <c r="S11" s="45"/>
      <c r="T11" s="45"/>
      <c r="U11" s="23"/>
      <c r="V11" s="23"/>
    </row>
    <row r="12" spans="2:35" ht="20.25" customHeight="1" thickBot="1">
      <c r="B12" s="5"/>
      <c r="C12" s="403"/>
      <c r="D12" s="11" t="s">
        <v>61</v>
      </c>
      <c r="E12" s="12">
        <v>2200</v>
      </c>
      <c r="F12" s="12">
        <v>2600</v>
      </c>
      <c r="G12" s="12">
        <v>2600</v>
      </c>
      <c r="H12" s="12">
        <v>2600</v>
      </c>
      <c r="I12" s="12">
        <v>2600</v>
      </c>
      <c r="J12" s="12">
        <v>2600</v>
      </c>
      <c r="K12" s="13"/>
      <c r="L12" s="32"/>
      <c r="M12" s="23"/>
      <c r="N12" s="30"/>
      <c r="O12" s="31"/>
      <c r="P12" s="31"/>
      <c r="Q12" s="31"/>
      <c r="R12" s="45"/>
      <c r="S12" s="45"/>
      <c r="T12" s="45"/>
      <c r="U12" s="23"/>
      <c r="V12" s="23"/>
    </row>
    <row r="13" spans="2:35" ht="20.25" customHeight="1">
      <c r="B13" s="5"/>
      <c r="C13" s="13"/>
      <c r="D13" s="13"/>
      <c r="E13" s="13"/>
      <c r="F13" s="13"/>
      <c r="G13" s="13"/>
      <c r="H13" s="13"/>
      <c r="I13" s="13"/>
      <c r="J13" s="13"/>
      <c r="K13" s="13"/>
      <c r="L13" s="32"/>
      <c r="M13" s="23"/>
      <c r="N13" s="30"/>
      <c r="O13" s="31"/>
      <c r="P13" s="31"/>
      <c r="Q13" s="31"/>
      <c r="R13" s="45"/>
      <c r="S13" s="45"/>
      <c r="T13" s="45"/>
      <c r="U13" s="23"/>
      <c r="V13" s="23"/>
    </row>
    <row r="14" spans="2:35" ht="20.25" customHeight="1">
      <c r="B14" s="5"/>
      <c r="C14" s="6" t="s">
        <v>63</v>
      </c>
      <c r="D14" s="13"/>
      <c r="E14" s="13"/>
      <c r="F14" s="14"/>
      <c r="G14" s="13"/>
      <c r="H14" s="13"/>
      <c r="I14" s="36"/>
      <c r="J14" s="13"/>
      <c r="K14" s="13"/>
      <c r="L14" s="32"/>
      <c r="N14"/>
      <c r="O14"/>
      <c r="P14"/>
      <c r="Q14"/>
      <c r="R14"/>
      <c r="S14"/>
      <c r="T14"/>
      <c r="U14"/>
      <c r="V14"/>
      <c r="Y14"/>
      <c r="Z14"/>
      <c r="AA14"/>
      <c r="AB14"/>
      <c r="AC14"/>
      <c r="AD14"/>
      <c r="AE14"/>
      <c r="AF14"/>
      <c r="AG14"/>
      <c r="AH14"/>
    </row>
    <row r="15" spans="2:35" ht="30" customHeight="1">
      <c r="B15" s="5"/>
      <c r="C15" s="15" t="s">
        <v>64</v>
      </c>
      <c r="D15" s="16">
        <v>45.15</v>
      </c>
      <c r="E15" s="15"/>
      <c r="F15" s="15" t="s">
        <v>65</v>
      </c>
      <c r="G15" s="17">
        <v>6</v>
      </c>
      <c r="H15" s="15" t="s">
        <v>66</v>
      </c>
      <c r="I15" s="17">
        <v>54</v>
      </c>
      <c r="J15" s="15" t="s">
        <v>67</v>
      </c>
      <c r="K15" s="16">
        <v>25</v>
      </c>
      <c r="L15" s="32"/>
      <c r="N15"/>
      <c r="O15"/>
      <c r="P15"/>
      <c r="Q15"/>
      <c r="R15"/>
      <c r="S15"/>
      <c r="T15"/>
      <c r="U15"/>
      <c r="V15"/>
      <c r="Y15"/>
      <c r="Z15"/>
      <c r="AA15"/>
      <c r="AB15"/>
      <c r="AC15"/>
      <c r="AD15"/>
      <c r="AE15"/>
      <c r="AF15"/>
      <c r="AG15"/>
      <c r="AH15"/>
    </row>
    <row r="16" spans="2:35" ht="20.25" customHeight="1">
      <c r="B16" s="5"/>
      <c r="C16" s="400" t="s">
        <v>68</v>
      </c>
      <c r="D16" s="400" t="s">
        <v>69</v>
      </c>
      <c r="E16" s="400"/>
      <c r="F16" s="400"/>
      <c r="G16" s="400"/>
      <c r="H16" s="400" t="s">
        <v>70</v>
      </c>
      <c r="I16" s="400"/>
      <c r="J16" s="400"/>
      <c r="K16" s="400"/>
      <c r="L16" s="32"/>
      <c r="N16"/>
      <c r="O16"/>
      <c r="P16"/>
      <c r="Q16"/>
      <c r="R16"/>
      <c r="S16"/>
      <c r="T16"/>
      <c r="U16"/>
      <c r="V16"/>
      <c r="Y16"/>
      <c r="Z16"/>
      <c r="AA16"/>
      <c r="AB16"/>
      <c r="AC16"/>
      <c r="AD16"/>
      <c r="AE16"/>
      <c r="AF16"/>
      <c r="AG16"/>
      <c r="AH16"/>
    </row>
    <row r="17" spans="2:34" ht="20.25" customHeight="1">
      <c r="B17" s="5"/>
      <c r="C17" s="400"/>
      <c r="D17" s="18" t="s">
        <v>71</v>
      </c>
      <c r="E17" s="18" t="s">
        <v>72</v>
      </c>
      <c r="F17" s="18" t="s">
        <v>73</v>
      </c>
      <c r="G17" s="18" t="s">
        <v>74</v>
      </c>
      <c r="H17" s="18" t="s">
        <v>71</v>
      </c>
      <c r="I17" s="18" t="s">
        <v>72</v>
      </c>
      <c r="J17" s="18" t="s">
        <v>73</v>
      </c>
      <c r="K17" s="18" t="s">
        <v>74</v>
      </c>
      <c r="L17" s="32"/>
      <c r="N17" s="37"/>
      <c r="O17"/>
      <c r="P17"/>
      <c r="Q17"/>
      <c r="R17"/>
      <c r="S17"/>
      <c r="T17"/>
      <c r="U17"/>
      <c r="V17"/>
      <c r="Y17"/>
      <c r="Z17"/>
      <c r="AA17"/>
      <c r="AB17"/>
      <c r="AC17"/>
      <c r="AD17"/>
      <c r="AE17"/>
      <c r="AF17"/>
      <c r="AG17"/>
      <c r="AH17"/>
    </row>
    <row r="18" spans="2:34" ht="20.25" customHeight="1">
      <c r="B18" s="5"/>
      <c r="C18" s="19">
        <f t="shared" ref="C18:C21" si="0">+C19-0.0001</f>
        <v>2.6107188014663881E-2</v>
      </c>
      <c r="D18" s="20">
        <f>ROUNDUP($D$15*(1-0.02)*($K$15/2)*($K$15/2)*PI()*10^(-6)+C18,4)</f>
        <v>4.7900000000000005E-2</v>
      </c>
      <c r="E18" s="20">
        <f>ROUNDDOWN($D$15*(1+0.02)*($K$15/2)*($K$15/2)*PI()*10^(-6)+C18,4)</f>
        <v>4.87E-2</v>
      </c>
      <c r="F18" s="20">
        <f>ROUNDUP($D$15*(1-0.025)*($K$15/2)*($K$15/2)*PI()*10^(-6)+C18,4)</f>
        <v>4.7800000000000002E-2</v>
      </c>
      <c r="G18" s="20">
        <f>ROUNDDOWN($D$15*(1+0.025)*($K$15/2)*($K$15/2)*PI()*10^(-6)+C18,4)</f>
        <v>4.8800000000000003E-2</v>
      </c>
      <c r="H18" s="20">
        <f>ROUNDUP($D$15*(1-0.02)*($K$15/2)*($K$15/2)*PI()*10^(-6)*2+C18,4)</f>
        <v>6.9600000000000009E-2</v>
      </c>
      <c r="I18" s="20">
        <f>ROUNDDOWN($D$15*(1+0.02)*($K$15/2)*($K$15/2)*PI()*10^(-6)*2+C18,4)</f>
        <v>7.1300000000000002E-2</v>
      </c>
      <c r="J18" s="20">
        <f>ROUNDUP($D$15*(1-0.025)*($K$15/2)*($K$15/2)*PI()*10^(-6)*2+C18,4)</f>
        <v>6.9400000000000003E-2</v>
      </c>
      <c r="K18" s="20">
        <f>ROUNDDOWN($D$15*(1+0.025)*($K$15/2)*($K$15/2)*PI()*10^(-6)*2+C18,4)</f>
        <v>7.1499999999999994E-2</v>
      </c>
      <c r="L18" s="32"/>
      <c r="N18"/>
      <c r="O18"/>
      <c r="P18"/>
      <c r="Q18"/>
      <c r="R18"/>
      <c r="S18"/>
      <c r="T18"/>
      <c r="U18"/>
      <c r="V18"/>
      <c r="Y18"/>
      <c r="Z18"/>
      <c r="AA18"/>
      <c r="AB18"/>
      <c r="AC18"/>
      <c r="AD18"/>
      <c r="AE18"/>
      <c r="AF18"/>
      <c r="AG18"/>
      <c r="AH18"/>
    </row>
    <row r="19" spans="2:34" ht="20.25" customHeight="1">
      <c r="B19" s="5"/>
      <c r="C19" s="19">
        <f t="shared" si="0"/>
        <v>2.6207188014663881E-2</v>
      </c>
      <c r="D19" s="20">
        <f t="shared" ref="D19:D27" si="1">ROUNDUP($D$15*(1-0.02)*($K$15/2)*($K$15/2)*PI()*10^(-6)+C19,4)</f>
        <v>4.8000000000000001E-2</v>
      </c>
      <c r="E19" s="20">
        <f t="shared" ref="E19:E27" si="2">ROUNDDOWN($D$15*(1+0.02)*($K$15/2)*($K$15/2)*PI()*10^(-6)+C19,4)</f>
        <v>4.8800000000000003E-2</v>
      </c>
      <c r="F19" s="20">
        <f t="shared" ref="F19:F27" si="3">ROUNDUP($D$15*(1-0.025)*($K$15/2)*($K$15/2)*PI()*10^(-6)+C19,4)</f>
        <v>4.7900000000000005E-2</v>
      </c>
      <c r="G19" s="20">
        <f t="shared" ref="G19:G27" si="4">ROUNDDOWN($D$15*(1+0.025)*($K$15/2)*($K$15/2)*PI()*10^(-6)+C19,4)</f>
        <v>4.8899999999999999E-2</v>
      </c>
      <c r="H19" s="20">
        <f t="shared" ref="H19:H27" si="5">ROUNDUP($D$15*(1-0.02)*($K$15/2)*($K$15/2)*PI()*10^(-6)*2+C19,4)</f>
        <v>6.9699999999999998E-2</v>
      </c>
      <c r="I19" s="20">
        <f t="shared" ref="I19:I27" si="6">ROUNDDOWN($D$15*(1+0.02)*($K$15/2)*($K$15/2)*PI()*10^(-6)*2+C19,4)</f>
        <v>7.1400000000000005E-2</v>
      </c>
      <c r="J19" s="20">
        <f t="shared" ref="J19:J27" si="7">ROUNDUP($D$15*(1-0.025)*($K$15/2)*($K$15/2)*PI()*10^(-6)*2+C19,4)</f>
        <v>6.9500000000000006E-2</v>
      </c>
      <c r="K19" s="20">
        <f t="shared" ref="K19:K27" si="8">ROUNDDOWN($D$15*(1+0.025)*($K$15/2)*($K$15/2)*PI()*10^(-6)*2+C19,4)</f>
        <v>7.1599999999999997E-2</v>
      </c>
      <c r="L19" s="32"/>
      <c r="N19"/>
      <c r="O19"/>
      <c r="P19"/>
      <c r="Q19"/>
      <c r="R19"/>
      <c r="S19"/>
      <c r="T19"/>
      <c r="U19"/>
      <c r="V19"/>
      <c r="Y19"/>
      <c r="Z19"/>
      <c r="AA19"/>
      <c r="AB19"/>
      <c r="AC19"/>
      <c r="AD19"/>
      <c r="AE19"/>
      <c r="AF19"/>
      <c r="AG19"/>
      <c r="AH19"/>
    </row>
    <row r="20" spans="2:34" ht="20.25" customHeight="1">
      <c r="B20" s="5"/>
      <c r="C20" s="19">
        <f t="shared" si="0"/>
        <v>2.630718801466388E-2</v>
      </c>
      <c r="D20" s="20">
        <f t="shared" si="1"/>
        <v>4.8100000000000004E-2</v>
      </c>
      <c r="E20" s="20">
        <f t="shared" si="2"/>
        <v>4.8899999999999999E-2</v>
      </c>
      <c r="F20" s="20">
        <f t="shared" si="3"/>
        <v>4.8000000000000001E-2</v>
      </c>
      <c r="G20" s="20">
        <f t="shared" si="4"/>
        <v>4.9000000000000002E-2</v>
      </c>
      <c r="H20" s="20">
        <f t="shared" si="5"/>
        <v>6.9800000000000001E-2</v>
      </c>
      <c r="I20" s="20">
        <f t="shared" si="6"/>
        <v>7.1499999999999994E-2</v>
      </c>
      <c r="J20" s="20">
        <f t="shared" si="7"/>
        <v>6.9600000000000009E-2</v>
      </c>
      <c r="K20" s="20">
        <f t="shared" si="8"/>
        <v>7.17E-2</v>
      </c>
      <c r="L20" s="32"/>
      <c r="N20"/>
      <c r="O20"/>
      <c r="P20"/>
      <c r="Q20"/>
      <c r="R20"/>
      <c r="S20"/>
      <c r="T20"/>
      <c r="U20"/>
      <c r="V20"/>
      <c r="Y20"/>
      <c r="Z20"/>
      <c r="AA20"/>
      <c r="AB20"/>
      <c r="AC20"/>
      <c r="AD20"/>
      <c r="AE20"/>
      <c r="AF20"/>
      <c r="AG20"/>
      <c r="AH20"/>
    </row>
    <row r="21" spans="2:34" ht="20.25" customHeight="1">
      <c r="B21" s="5"/>
      <c r="C21" s="19">
        <f t="shared" si="0"/>
        <v>2.6407188014663879E-2</v>
      </c>
      <c r="D21" s="20">
        <f t="shared" si="1"/>
        <v>4.82E-2</v>
      </c>
      <c r="E21" s="20">
        <f t="shared" si="2"/>
        <v>4.9000000000000002E-2</v>
      </c>
      <c r="F21" s="20">
        <f t="shared" si="3"/>
        <v>4.8100000000000004E-2</v>
      </c>
      <c r="G21" s="20">
        <f t="shared" si="4"/>
        <v>4.9099999999999998E-2</v>
      </c>
      <c r="H21" s="20">
        <f t="shared" si="5"/>
        <v>6.9900000000000004E-2</v>
      </c>
      <c r="I21" s="20">
        <f t="shared" si="6"/>
        <v>7.1599999999999997E-2</v>
      </c>
      <c r="J21" s="20">
        <f t="shared" si="7"/>
        <v>6.9699999999999998E-2</v>
      </c>
      <c r="K21" s="20">
        <f t="shared" si="8"/>
        <v>7.1800000000000003E-2</v>
      </c>
      <c r="L21" s="32"/>
      <c r="N21"/>
      <c r="O21"/>
      <c r="P21"/>
      <c r="Q21"/>
      <c r="R21"/>
      <c r="S21"/>
      <c r="T21"/>
      <c r="U21"/>
      <c r="V21"/>
      <c r="Y21"/>
      <c r="Z21"/>
      <c r="AA21"/>
      <c r="AB21"/>
      <c r="AC21"/>
      <c r="AD21"/>
      <c r="AE21"/>
      <c r="AF21"/>
      <c r="AG21"/>
      <c r="AH21"/>
    </row>
    <row r="22" spans="2:34" ht="20.25" customHeight="1">
      <c r="B22" s="21"/>
      <c r="C22" s="22">
        <f>+$I$15*($K$15/2)*($K$15/2)*PI()/1000000</f>
        <v>2.6507188014663879E-2</v>
      </c>
      <c r="D22" s="20">
        <f t="shared" si="1"/>
        <v>4.8300000000000003E-2</v>
      </c>
      <c r="E22" s="20">
        <f t="shared" si="2"/>
        <v>4.9099999999999998E-2</v>
      </c>
      <c r="F22" s="20">
        <f t="shared" si="3"/>
        <v>4.82E-2</v>
      </c>
      <c r="G22" s="20">
        <f t="shared" si="4"/>
        <v>4.9200000000000001E-2</v>
      </c>
      <c r="H22" s="20">
        <f t="shared" si="5"/>
        <v>7.0000000000000007E-2</v>
      </c>
      <c r="I22" s="20">
        <f t="shared" si="6"/>
        <v>7.17E-2</v>
      </c>
      <c r="J22" s="20">
        <f t="shared" si="7"/>
        <v>6.9800000000000001E-2</v>
      </c>
      <c r="K22" s="20">
        <f t="shared" si="8"/>
        <v>7.1900000000000006E-2</v>
      </c>
      <c r="L22" s="32"/>
      <c r="N22" s="38"/>
      <c r="O22"/>
      <c r="P22"/>
      <c r="Q22"/>
      <c r="R22"/>
      <c r="S22"/>
      <c r="T22"/>
      <c r="U22"/>
      <c r="V22"/>
      <c r="Y22"/>
      <c r="Z22"/>
      <c r="AA22"/>
      <c r="AB22"/>
      <c r="AC22"/>
      <c r="AD22"/>
      <c r="AE22"/>
      <c r="AF22"/>
      <c r="AG22"/>
      <c r="AH22"/>
    </row>
    <row r="23" spans="2:34" ht="20.25" customHeight="1">
      <c r="B23" s="21"/>
      <c r="C23" s="19">
        <f>+C22+0.0001</f>
        <v>2.6607188014663878E-2</v>
      </c>
      <c r="D23" s="20">
        <f t="shared" si="1"/>
        <v>4.8400000000000006E-2</v>
      </c>
      <c r="E23" s="20">
        <f t="shared" si="2"/>
        <v>4.9200000000000001E-2</v>
      </c>
      <c r="F23" s="20">
        <f t="shared" si="3"/>
        <v>4.8300000000000003E-2</v>
      </c>
      <c r="G23" s="20">
        <f t="shared" si="4"/>
        <v>4.9299999999999997E-2</v>
      </c>
      <c r="H23" s="20">
        <f t="shared" si="5"/>
        <v>7.010000000000001E-2</v>
      </c>
      <c r="I23" s="20">
        <f t="shared" si="6"/>
        <v>7.1800000000000003E-2</v>
      </c>
      <c r="J23" s="20">
        <f t="shared" si="7"/>
        <v>6.9900000000000004E-2</v>
      </c>
      <c r="K23" s="20">
        <f t="shared" si="8"/>
        <v>7.1999999999999995E-2</v>
      </c>
      <c r="L23" s="32"/>
      <c r="N23"/>
      <c r="O23"/>
      <c r="P23"/>
      <c r="Q23"/>
      <c r="R23"/>
      <c r="S23"/>
      <c r="T23"/>
      <c r="U23"/>
      <c r="V23"/>
      <c r="Y23"/>
      <c r="Z23"/>
      <c r="AA23"/>
      <c r="AB23"/>
      <c r="AC23"/>
      <c r="AD23"/>
      <c r="AE23"/>
      <c r="AF23"/>
      <c r="AG23"/>
      <c r="AH23"/>
    </row>
    <row r="24" spans="2:34" ht="20.25" customHeight="1">
      <c r="B24" s="21"/>
      <c r="C24" s="19">
        <f t="shared" ref="C24:C27" si="9">+C23+0.0001</f>
        <v>2.6707188014663878E-2</v>
      </c>
      <c r="D24" s="20">
        <f t="shared" si="1"/>
        <v>4.8500000000000001E-2</v>
      </c>
      <c r="E24" s="20">
        <f t="shared" si="2"/>
        <v>4.9299999999999997E-2</v>
      </c>
      <c r="F24" s="20">
        <f t="shared" si="3"/>
        <v>4.8400000000000006E-2</v>
      </c>
      <c r="G24" s="20">
        <f t="shared" si="4"/>
        <v>4.9399999999999999E-2</v>
      </c>
      <c r="H24" s="20">
        <f t="shared" si="5"/>
        <v>7.0199999999999999E-2</v>
      </c>
      <c r="I24" s="20">
        <f t="shared" si="6"/>
        <v>7.1900000000000006E-2</v>
      </c>
      <c r="J24" s="20">
        <f t="shared" si="7"/>
        <v>7.0000000000000007E-2</v>
      </c>
      <c r="K24" s="20">
        <f t="shared" si="8"/>
        <v>7.2099999999999997E-2</v>
      </c>
      <c r="L24" s="32"/>
      <c r="M24"/>
      <c r="N24"/>
      <c r="O24"/>
      <c r="P24"/>
      <c r="Q24"/>
      <c r="R24"/>
      <c r="S24"/>
      <c r="T24"/>
      <c r="U24"/>
      <c r="V24"/>
      <c r="W24"/>
      <c r="Y24"/>
      <c r="Z24"/>
      <c r="AA24"/>
      <c r="AB24"/>
      <c r="AC24"/>
      <c r="AD24"/>
      <c r="AE24"/>
      <c r="AF24"/>
      <c r="AG24"/>
      <c r="AH24"/>
    </row>
    <row r="25" spans="2:34" ht="20.25" customHeight="1">
      <c r="B25" s="21"/>
      <c r="C25" s="19">
        <f t="shared" si="9"/>
        <v>2.6807188014663877E-2</v>
      </c>
      <c r="D25" s="20">
        <f t="shared" si="1"/>
        <v>4.8600000000000004E-2</v>
      </c>
      <c r="E25" s="20">
        <f t="shared" si="2"/>
        <v>4.9399999999999999E-2</v>
      </c>
      <c r="F25" s="20">
        <f t="shared" si="3"/>
        <v>4.8500000000000001E-2</v>
      </c>
      <c r="G25" s="20">
        <f t="shared" si="4"/>
        <v>4.9500000000000002E-2</v>
      </c>
      <c r="H25" s="20">
        <f t="shared" si="5"/>
        <v>7.0300000000000001E-2</v>
      </c>
      <c r="I25" s="20">
        <f t="shared" si="6"/>
        <v>7.1999999999999995E-2</v>
      </c>
      <c r="J25" s="20">
        <f t="shared" si="7"/>
        <v>7.010000000000001E-2</v>
      </c>
      <c r="K25" s="20">
        <f t="shared" si="8"/>
        <v>7.22E-2</v>
      </c>
      <c r="L25" s="39"/>
      <c r="M25"/>
      <c r="N25"/>
      <c r="O25"/>
      <c r="P25"/>
      <c r="Q25"/>
      <c r="R25"/>
      <c r="S25"/>
      <c r="T25"/>
      <c r="U25"/>
      <c r="V25"/>
      <c r="W25"/>
      <c r="Y25"/>
      <c r="Z25"/>
      <c r="AA25"/>
      <c r="AB25"/>
      <c r="AC25"/>
      <c r="AD25"/>
      <c r="AE25"/>
      <c r="AF25"/>
      <c r="AG25"/>
      <c r="AH25"/>
    </row>
    <row r="26" spans="2:34" ht="20.25" customHeight="1">
      <c r="B26" s="21"/>
      <c r="C26" s="19">
        <f t="shared" si="9"/>
        <v>2.6907188014663876E-2</v>
      </c>
      <c r="D26" s="20">
        <f t="shared" si="1"/>
        <v>4.87E-2</v>
      </c>
      <c r="E26" s="20">
        <f t="shared" si="2"/>
        <v>4.9500000000000002E-2</v>
      </c>
      <c r="F26" s="20">
        <f t="shared" si="3"/>
        <v>4.8600000000000004E-2</v>
      </c>
      <c r="G26" s="20">
        <f t="shared" si="4"/>
        <v>4.9599999999999998E-2</v>
      </c>
      <c r="H26" s="20">
        <f t="shared" si="5"/>
        <v>7.0400000000000004E-2</v>
      </c>
      <c r="I26" s="20">
        <f t="shared" si="6"/>
        <v>7.2099999999999997E-2</v>
      </c>
      <c r="J26" s="20">
        <f t="shared" si="7"/>
        <v>7.0199999999999999E-2</v>
      </c>
      <c r="K26" s="20">
        <f t="shared" si="8"/>
        <v>7.2300000000000003E-2</v>
      </c>
      <c r="L26" s="32"/>
      <c r="M26"/>
      <c r="N26"/>
      <c r="O26"/>
      <c r="P26"/>
      <c r="Q26"/>
      <c r="R26"/>
      <c r="S26"/>
      <c r="T26"/>
      <c r="U26"/>
      <c r="V26"/>
      <c r="W26"/>
      <c r="Y26"/>
      <c r="Z26"/>
      <c r="AA26"/>
      <c r="AB26"/>
      <c r="AC26"/>
      <c r="AD26"/>
      <c r="AE26"/>
      <c r="AF26"/>
      <c r="AG26"/>
      <c r="AH26"/>
    </row>
    <row r="27" spans="2:34" ht="20.25" customHeight="1">
      <c r="B27" s="21"/>
      <c r="C27" s="19">
        <f t="shared" si="9"/>
        <v>2.7007188014663876E-2</v>
      </c>
      <c r="D27" s="20">
        <f t="shared" si="1"/>
        <v>4.8800000000000003E-2</v>
      </c>
      <c r="E27" s="20">
        <f t="shared" si="2"/>
        <v>4.9599999999999998E-2</v>
      </c>
      <c r="F27" s="20">
        <f t="shared" si="3"/>
        <v>4.87E-2</v>
      </c>
      <c r="G27" s="20">
        <f t="shared" si="4"/>
        <v>4.9700000000000001E-2</v>
      </c>
      <c r="H27" s="20">
        <f t="shared" si="5"/>
        <v>7.0500000000000007E-2</v>
      </c>
      <c r="I27" s="20">
        <f t="shared" si="6"/>
        <v>7.22E-2</v>
      </c>
      <c r="J27" s="20">
        <f t="shared" si="7"/>
        <v>7.0300000000000001E-2</v>
      </c>
      <c r="K27" s="20">
        <f t="shared" si="8"/>
        <v>7.2400000000000006E-2</v>
      </c>
      <c r="L27" s="32"/>
      <c r="M27"/>
      <c r="N27"/>
      <c r="O27"/>
      <c r="P27"/>
      <c r="Q27"/>
      <c r="R27"/>
      <c r="S27"/>
      <c r="T27"/>
      <c r="U27"/>
      <c r="V27"/>
      <c r="W27"/>
      <c r="Y27"/>
      <c r="Z27"/>
      <c r="AA27"/>
      <c r="AB27"/>
      <c r="AC27"/>
      <c r="AD27"/>
      <c r="AE27"/>
      <c r="AF27"/>
      <c r="AG27"/>
      <c r="AH27"/>
    </row>
    <row r="28" spans="2:34" ht="20.25" customHeight="1">
      <c r="B28" s="23"/>
      <c r="C28" s="23"/>
      <c r="D28" s="23"/>
      <c r="E28" s="23"/>
      <c r="F28" s="23"/>
      <c r="G28" s="23"/>
      <c r="H28" s="23"/>
      <c r="I28" s="23"/>
      <c r="J28" s="23"/>
      <c r="K28" s="23"/>
      <c r="L28" s="23"/>
      <c r="M28"/>
      <c r="N28"/>
      <c r="O28"/>
      <c r="P28"/>
      <c r="Q28"/>
      <c r="R28"/>
      <c r="S28"/>
      <c r="T28"/>
      <c r="U28"/>
      <c r="V28"/>
      <c r="W28"/>
      <c r="X28"/>
      <c r="Y28"/>
      <c r="Z28"/>
      <c r="AA28"/>
      <c r="AB28"/>
      <c r="AC28"/>
      <c r="AD28"/>
      <c r="AE28"/>
      <c r="AF28"/>
      <c r="AG28"/>
      <c r="AH28"/>
    </row>
    <row r="29" spans="2:34" ht="20.25" customHeight="1">
      <c r="B29" s="23"/>
      <c r="C29" s="6"/>
      <c r="D29" s="23"/>
      <c r="E29" s="23"/>
      <c r="F29" s="23"/>
      <c r="G29" s="23"/>
      <c r="H29" s="23"/>
      <c r="I29" s="23"/>
      <c r="J29" s="23"/>
      <c r="K29" s="23"/>
      <c r="L29" s="23"/>
      <c r="M29"/>
      <c r="N29"/>
      <c r="O29"/>
      <c r="P29"/>
      <c r="Q29"/>
      <c r="R29"/>
      <c r="S29"/>
      <c r="T29"/>
      <c r="U29"/>
      <c r="V29"/>
      <c r="W29"/>
      <c r="X29"/>
      <c r="Y29"/>
    </row>
    <row r="30" spans="2:34" ht="20.25" customHeight="1">
      <c r="B30" s="23"/>
      <c r="C30" s="23"/>
      <c r="D30" s="23"/>
      <c r="E30" s="23"/>
      <c r="F30" s="23"/>
      <c r="G30" s="23"/>
      <c r="H30" s="23"/>
      <c r="I30" s="23"/>
      <c r="J30" s="23"/>
      <c r="K30" s="23"/>
      <c r="L30" s="23"/>
      <c r="M30"/>
      <c r="N30"/>
      <c r="O30"/>
      <c r="P30"/>
      <c r="Q30"/>
      <c r="R30"/>
      <c r="S30"/>
      <c r="T30"/>
      <c r="U30"/>
      <c r="V30"/>
      <c r="W30"/>
      <c r="X30"/>
      <c r="Y30"/>
    </row>
    <row r="31" spans="2:34" ht="20.25" customHeight="1">
      <c r="B31" s="23"/>
      <c r="C31" s="23"/>
      <c r="D31" s="23"/>
      <c r="E31" s="23"/>
      <c r="F31" s="23"/>
      <c r="G31" s="23"/>
      <c r="H31" s="23"/>
      <c r="I31" s="23"/>
      <c r="J31" s="40"/>
      <c r="K31" s="23"/>
      <c r="L31" s="23"/>
      <c r="M31"/>
      <c r="N31" s="37"/>
      <c r="O31" s="37"/>
      <c r="P31" s="37"/>
      <c r="Q31"/>
      <c r="R31"/>
      <c r="S31"/>
      <c r="T31"/>
      <c r="U31"/>
      <c r="V31"/>
      <c r="W31"/>
      <c r="X31"/>
      <c r="Y31"/>
    </row>
    <row r="32" spans="2:34" ht="20.25" customHeight="1">
      <c r="B32" s="23"/>
      <c r="C32" s="23"/>
      <c r="D32" s="23"/>
      <c r="E32" s="23"/>
      <c r="F32" s="23"/>
      <c r="G32" s="23"/>
      <c r="H32" s="23"/>
      <c r="I32" s="23"/>
      <c r="J32" s="23"/>
      <c r="K32" s="23"/>
      <c r="L32" s="23"/>
      <c r="M32"/>
      <c r="N32" s="37"/>
      <c r="O32" s="37"/>
      <c r="P32" s="37"/>
      <c r="Q32"/>
      <c r="R32"/>
      <c r="S32"/>
      <c r="T32"/>
      <c r="U32"/>
      <c r="V32"/>
      <c r="W32"/>
      <c r="X32"/>
      <c r="Y32"/>
    </row>
    <row r="33" spans="2:25" ht="20.25" customHeight="1">
      <c r="B33" s="23"/>
      <c r="C33" s="23"/>
      <c r="D33" s="23"/>
      <c r="E33" s="23"/>
      <c r="F33" s="23"/>
      <c r="G33" s="23"/>
      <c r="H33" s="23"/>
      <c r="I33" s="23"/>
      <c r="J33" s="41"/>
      <c r="K33" s="23"/>
      <c r="L33" s="23"/>
      <c r="M33"/>
      <c r="N33" s="37"/>
      <c r="O33" s="37"/>
      <c r="P33" s="37"/>
      <c r="Q33"/>
      <c r="R33"/>
      <c r="S33"/>
      <c r="T33"/>
      <c r="U33"/>
      <c r="V33"/>
      <c r="W33"/>
      <c r="X33"/>
      <c r="Y33"/>
    </row>
    <row r="34" spans="2:25" ht="20.25" customHeight="1">
      <c r="B34" s="23"/>
      <c r="C34" s="23"/>
      <c r="D34" s="23"/>
      <c r="E34" s="23"/>
      <c r="F34" s="23"/>
      <c r="G34" s="23"/>
      <c r="H34" s="23"/>
      <c r="I34" s="23"/>
      <c r="J34" s="41"/>
      <c r="K34" s="23"/>
      <c r="L34" s="23"/>
      <c r="M34"/>
      <c r="N34" s="37"/>
      <c r="O34" s="37"/>
      <c r="P34" s="37"/>
      <c r="Q34"/>
      <c r="R34"/>
      <c r="S34"/>
      <c r="T34"/>
      <c r="U34"/>
      <c r="V34"/>
      <c r="W34"/>
      <c r="X34"/>
      <c r="Y34"/>
    </row>
    <row r="35" spans="2:25" ht="20.25" customHeight="1">
      <c r="B35" s="23"/>
      <c r="C35" s="23"/>
      <c r="D35" s="23"/>
      <c r="E35" s="23"/>
      <c r="F35" s="23"/>
      <c r="G35" s="23"/>
      <c r="H35" s="23"/>
      <c r="I35" s="23"/>
      <c r="J35" s="23"/>
      <c r="K35" s="23"/>
      <c r="L35" s="23"/>
      <c r="M35"/>
      <c r="N35" s="37"/>
      <c r="O35" s="37"/>
      <c r="P35" s="37"/>
      <c r="Q35"/>
      <c r="R35"/>
      <c r="S35"/>
      <c r="T35"/>
      <c r="U35"/>
      <c r="V35"/>
      <c r="W35"/>
      <c r="X35"/>
      <c r="Y35"/>
    </row>
    <row r="36" spans="2:25" ht="20.25" customHeight="1">
      <c r="B36" s="23"/>
      <c r="C36" s="23"/>
      <c r="D36" s="23"/>
      <c r="E36" s="23"/>
      <c r="F36" s="23"/>
      <c r="G36" s="23"/>
      <c r="H36" s="23"/>
      <c r="I36" s="23"/>
      <c r="J36" s="23"/>
      <c r="K36" s="42"/>
      <c r="L36" s="23"/>
      <c r="M36"/>
      <c r="N36" s="37"/>
      <c r="O36" s="37"/>
      <c r="P36" s="37"/>
      <c r="Q36"/>
      <c r="R36"/>
      <c r="S36"/>
      <c r="T36"/>
      <c r="U36"/>
      <c r="V36"/>
      <c r="W36"/>
      <c r="X36"/>
      <c r="Y36"/>
    </row>
    <row r="37" spans="2:25" ht="20.25" customHeight="1">
      <c r="B37" s="23"/>
      <c r="C37" s="23"/>
      <c r="D37" s="23"/>
      <c r="E37" s="23"/>
      <c r="F37" s="23"/>
      <c r="G37" s="23"/>
      <c r="H37" s="23"/>
      <c r="I37" s="23"/>
      <c r="J37" s="23"/>
      <c r="K37" s="23"/>
      <c r="L37" s="23"/>
      <c r="M37"/>
      <c r="N37" s="37"/>
      <c r="O37" s="37"/>
      <c r="P37" s="37"/>
      <c r="Q37"/>
      <c r="R37"/>
      <c r="S37"/>
      <c r="T37"/>
      <c r="U37"/>
      <c r="V37"/>
      <c r="W37"/>
      <c r="X37"/>
      <c r="Y37"/>
    </row>
    <row r="38" spans="2:25" ht="20.25" customHeight="1">
      <c r="B38" s="23"/>
      <c r="C38" s="23"/>
      <c r="D38" s="23"/>
      <c r="E38" s="23"/>
      <c r="F38" s="23"/>
      <c r="G38" s="23"/>
      <c r="H38" s="23"/>
      <c r="I38" s="23"/>
      <c r="J38" s="23"/>
      <c r="K38" s="23"/>
      <c r="L38" s="23"/>
      <c r="M38"/>
      <c r="N38" s="37"/>
      <c r="O38" s="37"/>
      <c r="P38" s="37"/>
      <c r="Q38"/>
      <c r="R38"/>
      <c r="S38"/>
      <c r="T38"/>
      <c r="U38"/>
      <c r="V38"/>
      <c r="W38"/>
      <c r="X38"/>
      <c r="Y38"/>
    </row>
    <row r="39" spans="2:25" ht="20.25" customHeight="1">
      <c r="B39" s="23"/>
      <c r="C39" s="23"/>
      <c r="D39" s="23"/>
      <c r="E39" s="23"/>
      <c r="F39" s="23"/>
      <c r="G39" s="23"/>
      <c r="H39" s="23"/>
      <c r="I39" s="23"/>
      <c r="J39" s="23"/>
      <c r="K39" s="23"/>
      <c r="L39" s="23"/>
      <c r="M39"/>
      <c r="N39" s="37"/>
      <c r="O39" s="37"/>
      <c r="P39" s="37"/>
      <c r="Q39"/>
      <c r="R39"/>
      <c r="S39"/>
      <c r="T39"/>
      <c r="U39"/>
      <c r="V39"/>
      <c r="W39"/>
      <c r="X39"/>
      <c r="Y39"/>
    </row>
    <row r="40" spans="2:25" ht="20.25" customHeight="1">
      <c r="B40" s="23"/>
      <c r="C40" s="23"/>
      <c r="D40" s="23"/>
      <c r="E40" s="23"/>
      <c r="F40" s="23"/>
      <c r="G40" s="23"/>
      <c r="H40" s="23"/>
      <c r="I40" s="23"/>
      <c r="J40" s="23"/>
      <c r="K40" s="23"/>
      <c r="L40" s="23"/>
      <c r="M40"/>
      <c r="N40" s="37"/>
      <c r="O40" s="37"/>
      <c r="P40" s="37"/>
      <c r="Q40"/>
      <c r="R40"/>
      <c r="S40"/>
      <c r="T40"/>
      <c r="U40"/>
      <c r="V40"/>
      <c r="W40"/>
      <c r="X40"/>
      <c r="Y40"/>
    </row>
    <row r="41" spans="2:25" ht="20.25" customHeight="1">
      <c r="M41"/>
      <c r="N41"/>
      <c r="O41"/>
      <c r="P41"/>
      <c r="Q41"/>
      <c r="R41"/>
      <c r="S41"/>
      <c r="T41"/>
      <c r="U41"/>
      <c r="V41"/>
      <c r="W41"/>
      <c r="X41"/>
      <c r="Y41"/>
    </row>
  </sheetData>
  <protectedRanges>
    <protectedRange sqref="D3 G4:G5 D4:E5 F3:F5 G3:H3 I3:J5 K2:K3" name="区域1_1_1"/>
  </protectedRanges>
  <mergeCells count="7">
    <mergeCell ref="B2:L5"/>
    <mergeCell ref="C8:D8"/>
    <mergeCell ref="D16:G16"/>
    <mergeCell ref="H16:K16"/>
    <mergeCell ref="C16:C17"/>
    <mergeCell ref="C9:C10"/>
    <mergeCell ref="C11:C12"/>
  </mergeCells>
  <phoneticPr fontId="41" type="noConversion"/>
  <pageMargins left="0.70866141732283505" right="0.70866141732283505" top="0.74803149606299202" bottom="0.74803149606299202" header="0.31496062992126" footer="0.31496062992126"/>
  <pageSetup paperSize="9" scale="56" fitToWidth="0" orientation="landscape" r:id="rId1"/>
  <headerFooter>
    <oddHeader>&amp;L文件编号:ZGQ-（Z2-C2)-CP-L221F72A&amp;C      L221F72A负极涂布工序控制计划&amp;R版本号:A0</oddHeader>
    <oddFooter>&amp;C第&amp;P页 共&amp;N页</oddFooter>
  </headerFooter>
  <colBreaks count="2" manualBreakCount="2">
    <brk id="12" max="1048575" man="1"/>
    <brk id="34"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5</vt:i4>
      </vt:variant>
    </vt:vector>
  </HeadingPairs>
  <TitlesOfParts>
    <vt:vector size="10" baseType="lpstr">
      <vt:lpstr> 修订履历</vt:lpstr>
      <vt:lpstr>负极涂布工序控制计划</vt:lpstr>
      <vt:lpstr>防错件清单</vt:lpstr>
      <vt:lpstr>负极涂布附表</vt:lpstr>
      <vt:lpstr>隐藏可编辑</vt:lpstr>
      <vt:lpstr>' 修订履历'!Print_Area</vt:lpstr>
      <vt:lpstr>防错件清单!Print_Area</vt:lpstr>
      <vt:lpstr>负极涂布附表!Print_Area</vt:lpstr>
      <vt:lpstr>负极涂布工序控制计划!Print_Area</vt:lpstr>
      <vt:lpstr>负极涂布工序控制计划!Print_Titles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ShiYanFei石艳飞</dc:creator>
  <cp:lastModifiedBy>QianJianYe钱建业(电芯工艺开发部</cp:lastModifiedBy>
  <cp:lastPrinted>2024-08-23T07:33:21Z</cp:lastPrinted>
  <dcterms:created xsi:type="dcterms:W3CDTF">2006-09-16T00:00:00Z</dcterms:created>
  <dcterms:modified xsi:type="dcterms:W3CDTF">2025-06-18T07:17:35Z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2052-11.1.0.9929</vt:lpwstr>
  </property>
</Properties>
</file>