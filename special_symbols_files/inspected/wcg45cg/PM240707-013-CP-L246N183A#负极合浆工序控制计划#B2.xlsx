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jianye.qian1\Desktop\183B2负极\"/>
    </mc:Choice>
  </mc:AlternateContent>
  <bookViews>
    <workbookView xWindow="-110" yWindow="-110" windowWidth="25790" windowHeight="14000" tabRatio="890" activeTab="1"/>
  </bookViews>
  <sheets>
    <sheet name=" 修订履历 " sheetId="29" r:id="rId1"/>
    <sheet name="负极合浆工序控制计划" sheetId="31" r:id="rId2"/>
    <sheet name="防错件清单" sheetId="48" r:id="rId3"/>
    <sheet name="负极合浆附表-300L " sheetId="49" r:id="rId4"/>
    <sheet name="隐藏部分" sheetId="47" state="hidden" r:id="rId5"/>
    <sheet name="负极合浆附表-100L" sheetId="44" state="hidden" r:id="rId6"/>
    <sheet name="负极合浆附表-100L " sheetId="46" state="hidden" r:id="rId7"/>
  </sheets>
  <externalReferences>
    <externalReference r:id="rId8"/>
    <externalReference r:id="rId9"/>
    <externalReference r:id="rId10"/>
  </externalReferences>
  <definedNames>
    <definedName name="__B5" localSheetId="0" hidden="1">{#N/A,#N/A,FALSE,"Bare Battery F.G."}</definedName>
    <definedName name="__B5" localSheetId="6" hidden="1">{#N/A,#N/A,FALSE,"Bare Battery F.G."}</definedName>
    <definedName name="__B5" localSheetId="3" hidden="1">{#N/A,#N/A,FALSE,"Bare Battery F.G."}</definedName>
    <definedName name="__B5" localSheetId="1" hidden="1">{#N/A,#N/A,FALSE,"Bare Battery F.G."}</definedName>
    <definedName name="__B5" hidden="1">{#N/A,#N/A,FALSE,"Bare Battery F.G."}</definedName>
    <definedName name="__FAP383562" localSheetId="0">#REF!</definedName>
    <definedName name="__FAP383562" localSheetId="6">#REF!</definedName>
    <definedName name="__FAP383562" localSheetId="3">#REF!</definedName>
    <definedName name="__FAP383562" localSheetId="1">#REF!</definedName>
    <definedName name="__FAP383562">#REF!</definedName>
    <definedName name="__FCP383562" localSheetId="0">#REF!</definedName>
    <definedName name="__FCP383562" localSheetId="6">#REF!</definedName>
    <definedName name="__FCP383562" localSheetId="3">#REF!</definedName>
    <definedName name="__FCP383562" localSheetId="1">#REF!</definedName>
    <definedName name="__FCP383562">#REF!</definedName>
    <definedName name="__SK1">#N/A</definedName>
    <definedName name="__wrn1" localSheetId="0" hidden="1">{#N/A,#N/A,FALSE,"Bare Battery F.G."}</definedName>
    <definedName name="__wrn1" localSheetId="6" hidden="1">{#N/A,#N/A,FALSE,"Bare Battery F.G."}</definedName>
    <definedName name="__wrn1" localSheetId="3" hidden="1">{#N/A,#N/A,FALSE,"Bare Battery F.G."}</definedName>
    <definedName name="__wrn1" localSheetId="1" hidden="1">{#N/A,#N/A,FALSE,"Bare Battery F.G."}</definedName>
    <definedName name="__wrn1" hidden="1">{#N/A,#N/A,FALSE,"Bare Battery F.G."}</definedName>
    <definedName name="__wrn2" localSheetId="3" hidden="1">{#N/A,#N/A,FALSE,"Bare Battery F.G."}</definedName>
    <definedName name="__wrn2" hidden="1">{#N/A,#N/A,FALSE,"Bare Battery F.G."}</definedName>
    <definedName name="_2ES1_" localSheetId="3" hidden="1">{#N/A,#N/A,FALSE,"Bare Battery F.G."}</definedName>
    <definedName name="_2ES1_" hidden="1">{#N/A,#N/A,FALSE,"Bare Battery F.G."}</definedName>
    <definedName name="_B5" localSheetId="0" hidden="1">{#N/A,#N/A,FALSE,"Bare Battery F.G."}</definedName>
    <definedName name="_B5" localSheetId="6" hidden="1">{#N/A,#N/A,FALSE,"Bare Battery F.G."}</definedName>
    <definedName name="_B5" localSheetId="3" hidden="1">{#N/A,#N/A,FALSE,"Bare Battery F.G."}</definedName>
    <definedName name="_B5" localSheetId="1" hidden="1">{#N/A,#N/A,FALSE,"Bare Battery F.G."}</definedName>
    <definedName name="_B5" hidden="1">{#N/A,#N/A,FALSE,"Bare Battery F.G."}</definedName>
    <definedName name="_ES1" localSheetId="3" hidden="1">{#N/A,#N/A,FALSE,"Bare Battery F.G."}</definedName>
    <definedName name="_ES1" hidden="1">{#N/A,#N/A,FALSE,"Bare Battery F.G."}</definedName>
    <definedName name="_FAP383562" localSheetId="0">#REF!</definedName>
    <definedName name="_FAP383562" localSheetId="6">#REF!</definedName>
    <definedName name="_FAP383562" localSheetId="3">#REF!</definedName>
    <definedName name="_FAP383562" localSheetId="1">#REF!</definedName>
    <definedName name="_FAP383562">#REF!</definedName>
    <definedName name="_FCP383562" localSheetId="0">#REF!</definedName>
    <definedName name="_FCP383562" localSheetId="6">#REF!</definedName>
    <definedName name="_FCP383562" localSheetId="3">#REF!</definedName>
    <definedName name="_FCP383562" localSheetId="1">#REF!</definedName>
    <definedName name="_FCP383562">#REF!</definedName>
    <definedName name="_xlnm._FilterDatabase" localSheetId="6" hidden="1">#REF!</definedName>
    <definedName name="_xlnm._FilterDatabase" localSheetId="3" hidden="1">#REF!</definedName>
    <definedName name="_xlnm._FilterDatabase" localSheetId="1" hidden="1">负极合浆工序控制计划!$A$9:$AA$34</definedName>
    <definedName name="_xlnm._FilterDatabase" hidden="1">#REF!</definedName>
    <definedName name="_SK1">#N/A</definedName>
    <definedName name="_wrn1" localSheetId="0" hidden="1">{#N/A,#N/A,FALSE,"Bare Battery F.G."}</definedName>
    <definedName name="_wrn1" localSheetId="6" hidden="1">{#N/A,#N/A,FALSE,"Bare Battery F.G."}</definedName>
    <definedName name="_wrn1" localSheetId="3" hidden="1">{#N/A,#N/A,FALSE,"Bare Battery F.G."}</definedName>
    <definedName name="_wrn1" localSheetId="1" hidden="1">{#N/A,#N/A,FALSE,"Bare Battery F.G."}</definedName>
    <definedName name="_wrn1" hidden="1">{#N/A,#N/A,FALSE,"Bare Battery F.G."}</definedName>
    <definedName name="_wrn2" localSheetId="3" hidden="1">{#N/A,#N/A,FALSE,"Bare Battery F.G."}</definedName>
    <definedName name="_wrn2" hidden="1">{#N/A,#N/A,FALSE,"Bare Battery F.G."}</definedName>
    <definedName name="A" localSheetId="6">#REF!</definedName>
    <definedName name="A" localSheetId="3">#REF!</definedName>
    <definedName name="A">#REF!</definedName>
    <definedName name="aaa" localSheetId="3" hidden="1">{#N/A,#N/A,FALSE,"Bare Battery F.G."}</definedName>
    <definedName name="aaa" hidden="1">{#N/A,#N/A,FALSE,"Bare Battery F.G."}</definedName>
    <definedName name="AAAA" localSheetId="3" hidden="1">{#N/A,#N/A,FALSE,"Bare Battery F.G."}</definedName>
    <definedName name="AAAA" hidden="1">{#N/A,#N/A,FALSE,"Bare Battery F.G."}</definedName>
    <definedName name="abc">'[1]Equipment Req Plan'!$O:$O</definedName>
    <definedName name="abcdec" localSheetId="0" hidden="1">{#N/A,#N/A,FALSE,"Bare Battery F.G."}</definedName>
    <definedName name="abcdec" localSheetId="6" hidden="1">{#N/A,#N/A,FALSE,"Bare Battery F.G."}</definedName>
    <definedName name="abcdec" localSheetId="3" hidden="1">{#N/A,#N/A,FALSE,"Bare Battery F.G."}</definedName>
    <definedName name="abcdec" localSheetId="1" hidden="1">{#N/A,#N/A,FALSE,"Bare Battery F.G."}</definedName>
    <definedName name="abcdec" hidden="1">{#N/A,#N/A,FALSE,"Bare Battery F.G."}</definedName>
    <definedName name="ActualMonthIE" localSheetId="0">#REF!</definedName>
    <definedName name="ActualMonthIE" localSheetId="6">#REF!</definedName>
    <definedName name="ActualMonthIE" localSheetId="3">#REF!</definedName>
    <definedName name="ActualMonthIE" localSheetId="1">#REF!</definedName>
    <definedName name="ActualMonthIE">#REF!</definedName>
    <definedName name="ActualMonthME" localSheetId="0">#REF!</definedName>
    <definedName name="ActualMonthME" localSheetId="6">#REF!</definedName>
    <definedName name="ActualMonthME" localSheetId="3">#REF!</definedName>
    <definedName name="ActualMonthME" localSheetId="1">#REF!</definedName>
    <definedName name="ActualMonthME">#REF!</definedName>
    <definedName name="ActualMonthPE">'[2]Equipment Req Plan'!$O:$O</definedName>
    <definedName name="ActualtimeIE" localSheetId="0">#REF!</definedName>
    <definedName name="ActualtimeIE" localSheetId="6">#REF!</definedName>
    <definedName name="ActualtimeIE" localSheetId="3">#REF!</definedName>
    <definedName name="ActualtimeIE" localSheetId="1">#REF!</definedName>
    <definedName name="ActualtimeIE">#REF!</definedName>
    <definedName name="ActualTimeME" localSheetId="0">#REF!</definedName>
    <definedName name="ActualTimeME" localSheetId="6">#REF!</definedName>
    <definedName name="ActualTimeME" localSheetId="3">#REF!</definedName>
    <definedName name="ActualTimeME" localSheetId="1">#REF!</definedName>
    <definedName name="ActualTimeME">#REF!</definedName>
    <definedName name="ActualTimePE">'[2]Equipment Req Plan'!$L:$L</definedName>
    <definedName name="AL" localSheetId="0" hidden="1">{#N/A,#N/A,FALSE,"Bare Battery F.G."}</definedName>
    <definedName name="AL" localSheetId="6" hidden="1">{#N/A,#N/A,FALSE,"Bare Battery F.G."}</definedName>
    <definedName name="AL" localSheetId="3" hidden="1">{#N/A,#N/A,FALSE,"Bare Battery F.G."}</definedName>
    <definedName name="AL" localSheetId="1" hidden="1">{#N/A,#N/A,FALSE,"Bare Battery F.G."}</definedName>
    <definedName name="AL" hidden="1">{#N/A,#N/A,FALSE,"Bare Battery F.G."}</definedName>
    <definedName name="Al_Tab断" localSheetId="6">#REF!</definedName>
    <definedName name="Al_Tab断" localSheetId="3">#REF!</definedName>
    <definedName name="Al_Tab断">#REF!</definedName>
    <definedName name="all">[3]Sheet2!$C$2:$F$529</definedName>
    <definedName name="auto" localSheetId="0" hidden="1">{#N/A,#N/A,FALSE,"Bare Battery F.G."}</definedName>
    <definedName name="auto" localSheetId="6" hidden="1">{#N/A,#N/A,FALSE,"Bare Battery F.G."}</definedName>
    <definedName name="auto" localSheetId="3" hidden="1">{#N/A,#N/A,FALSE,"Bare Battery F.G."}</definedName>
    <definedName name="auto" localSheetId="1" hidden="1">{#N/A,#N/A,FALSE,"Bare Battery F.G."}</definedName>
    <definedName name="auto" hidden="1">{#N/A,#N/A,FALSE,"Bare Battery F.G."}</definedName>
    <definedName name="ax" localSheetId="6">#REF!</definedName>
    <definedName name="ax" localSheetId="3">#REF!</definedName>
    <definedName name="ax">#REF!</definedName>
    <definedName name="B5GF" localSheetId="0" hidden="1">{#N/A,#N/A,FALSE,"Bare Battery F.G."}</definedName>
    <definedName name="B5GF" localSheetId="6" hidden="1">{#N/A,#N/A,FALSE,"Bare Battery F.G."}</definedName>
    <definedName name="B5GF" localSheetId="3" hidden="1">{#N/A,#N/A,FALSE,"Bare Battery F.G."}</definedName>
    <definedName name="B5GF" localSheetId="1" hidden="1">{#N/A,#N/A,FALSE,"Bare Battery F.G."}</definedName>
    <definedName name="B5GF" hidden="1">{#N/A,#N/A,FALSE,"Bare Battery F.G."}</definedName>
    <definedName name="capacity383562" localSheetId="0">#REF!</definedName>
    <definedName name="capacity383562" localSheetId="6">#REF!</definedName>
    <definedName name="capacity383562" localSheetId="3">#REF!</definedName>
    <definedName name="capacity383562" localSheetId="1">#REF!</definedName>
    <definedName name="capacity383562">#REF!</definedName>
    <definedName name="ContentsIE" localSheetId="0">#REF!</definedName>
    <definedName name="ContentsIE" localSheetId="6">#REF!</definedName>
    <definedName name="ContentsIE" localSheetId="3">#REF!</definedName>
    <definedName name="ContentsIE" localSheetId="1">#REF!</definedName>
    <definedName name="ContentsIE">#REF!</definedName>
    <definedName name="ContentsME" localSheetId="0">#REF!</definedName>
    <definedName name="ContentsME" localSheetId="6">#REF!</definedName>
    <definedName name="ContentsME" localSheetId="3">#REF!</definedName>
    <definedName name="ContentsME" localSheetId="1">#REF!</definedName>
    <definedName name="ContentsME">#REF!</definedName>
    <definedName name="ContentsPE">'[2]Equipment Req Plan'!$G:$G</definedName>
    <definedName name="cost383562" localSheetId="0">#REF!</definedName>
    <definedName name="cost383562" localSheetId="6">#REF!</definedName>
    <definedName name="cost383562" localSheetId="3">#REF!</definedName>
    <definedName name="cost383562" localSheetId="1">#REF!</definedName>
    <definedName name="cost383562">#REF!</definedName>
    <definedName name="_xlnm.Criteria" localSheetId="6">#REF!</definedName>
    <definedName name="_xlnm.Criteria" localSheetId="3">#REF!</definedName>
    <definedName name="_xlnm.Criteria">#REF!</definedName>
    <definedName name="D" localSheetId="3" hidden="1">{#N/A,#N/A,FALSE,"Bare Battery F.G."}</definedName>
    <definedName name="D" hidden="1">{#N/A,#N/A,FALSE,"Bare Battery F.G."}</definedName>
    <definedName name="dataH" localSheetId="6">#REF!</definedName>
    <definedName name="dataH" localSheetId="3">#REF!</definedName>
    <definedName name="dataH">#REF!</definedName>
    <definedName name="fjdsk" localSheetId="0" hidden="1">{#N/A,#N/A,FALSE,"Bare Battery F.G."}</definedName>
    <definedName name="fjdsk" localSheetId="6" hidden="1">{#N/A,#N/A,FALSE,"Bare Battery F.G."}</definedName>
    <definedName name="fjdsk" localSheetId="3" hidden="1">{#N/A,#N/A,FALSE,"Bare Battery F.G."}</definedName>
    <definedName name="fjdsk" localSheetId="1" hidden="1">{#N/A,#N/A,FALSE,"Bare Battery F.G."}</definedName>
    <definedName name="fjdsk" hidden="1">{#N/A,#N/A,FALSE,"Bare Battery F.G."}</definedName>
    <definedName name="FNC" localSheetId="3" hidden="1">{#N/A,#N/A,FALSE,"Bare Battery F.G."}</definedName>
    <definedName name="FNC" hidden="1">{#N/A,#N/A,FALSE,"Bare Battery F.G."}</definedName>
    <definedName name="FUSE焊接" localSheetId="0" hidden="1">{#N/A,#N/A,FALSE,"Bare Battery F.G."}</definedName>
    <definedName name="FUSE焊接" localSheetId="6" hidden="1">{#N/A,#N/A,FALSE,"Bare Battery F.G."}</definedName>
    <definedName name="FUSE焊接" localSheetId="3" hidden="1">{#N/A,#N/A,FALSE,"Bare Battery F.G."}</definedName>
    <definedName name="FUSE焊接" localSheetId="1" hidden="1">{#N/A,#N/A,FALSE,"Bare Battery F.G."}</definedName>
    <definedName name="FUSE焊接" hidden="1">{#N/A,#N/A,FALSE,"Bare Battery F.G."}</definedName>
    <definedName name="LAYOUT" localSheetId="0" hidden="1">{#N/A,#N/A,FALSE,"Bare Battery F.G."}</definedName>
    <definedName name="LAYOUT" localSheetId="6" hidden="1">{#N/A,#N/A,FALSE,"Bare Battery F.G."}</definedName>
    <definedName name="LAYOUT" localSheetId="3" hidden="1">{#N/A,#N/A,FALSE,"Bare Battery F.G."}</definedName>
    <definedName name="LAYOUT" localSheetId="1" hidden="1">{#N/A,#N/A,FALSE,"Bare Battery F.G."}</definedName>
    <definedName name="LAYOUT" hidden="1">{#N/A,#N/A,FALSE,"Bare Battery F.G."}</definedName>
    <definedName name="me" localSheetId="3" hidden="1">{#N/A,#N/A,FALSE,"Bare Battery F.G."}</definedName>
    <definedName name="me" hidden="1">{#N/A,#N/A,FALSE,"Bare Battery F.G."}</definedName>
    <definedName name="MonthLineIE" localSheetId="0">#REF!</definedName>
    <definedName name="MonthLineIE" localSheetId="6">#REF!</definedName>
    <definedName name="MonthLineIE" localSheetId="3">#REF!</definedName>
    <definedName name="MonthLineIE" localSheetId="1">#REF!</definedName>
    <definedName name="MonthLineIE">#REF!</definedName>
    <definedName name="MonthLineME" localSheetId="0">#REF!</definedName>
    <definedName name="MonthLineME" localSheetId="6">#REF!</definedName>
    <definedName name="MonthLineME" localSheetId="3">#REF!</definedName>
    <definedName name="MonthLineME" localSheetId="1">#REF!</definedName>
    <definedName name="MonthLineME">#REF!</definedName>
    <definedName name="MonthLinePE">'[2]Equipment Req Plan'!$N:$N</definedName>
    <definedName name="mp" localSheetId="3">{#N/A,#N/A,FALSE,"Bare Battery F.G."}</definedName>
    <definedName name="mp">{#N/A,#N/A,FALSE,"Bare Battery F.G."}</definedName>
    <definedName name="N" localSheetId="0" hidden="1">{#N/A,#N/A,FALSE,"Bare Battery F.G."}</definedName>
    <definedName name="N" localSheetId="6" hidden="1">{#N/A,#N/A,FALSE,"Bare Battery F.G."}</definedName>
    <definedName name="N" localSheetId="3" hidden="1">{#N/A,#N/A,FALSE,"Bare Battery F.G."}</definedName>
    <definedName name="N" localSheetId="1" hidden="1">{#N/A,#N/A,FALSE,"Bare Battery F.G."}</definedName>
    <definedName name="N" hidden="1">{#N/A,#N/A,FALSE,"Bare Battery F.G."}</definedName>
    <definedName name="NI" localSheetId="0" hidden="1">{#N/A,#N/A,FALSE,"Bare Battery F.G."}</definedName>
    <definedName name="NI" localSheetId="6" hidden="1">{#N/A,#N/A,FALSE,"Bare Battery F.G."}</definedName>
    <definedName name="NI" localSheetId="3" hidden="1">{#N/A,#N/A,FALSE,"Bare Battery F.G."}</definedName>
    <definedName name="NI" localSheetId="1" hidden="1">{#N/A,#N/A,FALSE,"Bare Battery F.G."}</definedName>
    <definedName name="NI" hidden="1">{#N/A,#N/A,FALSE,"Bare Battery F.G."}</definedName>
    <definedName name="opt">[3]Sheet2!$C$2:$C$529</definedName>
    <definedName name="OwnerIE" localSheetId="0">#REF!</definedName>
    <definedName name="OwnerIE" localSheetId="6">#REF!</definedName>
    <definedName name="OwnerIE" localSheetId="3">#REF!</definedName>
    <definedName name="OwnerIE" localSheetId="1">#REF!</definedName>
    <definedName name="OwnerIE">#REF!</definedName>
    <definedName name="OwnerME" localSheetId="0">#REF!</definedName>
    <definedName name="OwnerME" localSheetId="6">#REF!</definedName>
    <definedName name="OwnerME" localSheetId="3">#REF!</definedName>
    <definedName name="OwnerME" localSheetId="1">#REF!</definedName>
    <definedName name="OwnerME">#REF!</definedName>
    <definedName name="OwnerPE">'[2]Equipment Req Plan'!$J:$J</definedName>
    <definedName name="_xlnm.Print_Area" localSheetId="0">' 修订履历 '!$B$1:$K$21</definedName>
    <definedName name="_xlnm.Print_Area" localSheetId="5">'负极合浆附表-100L'!$A$1:$O$24</definedName>
    <definedName name="_xlnm.Print_Area" localSheetId="6">'负极合浆附表-100L '!$A$1:$O$25</definedName>
    <definedName name="_xlnm.Print_Area" localSheetId="3">'负极合浆附表-300L '!$B$1:$O$19</definedName>
    <definedName name="_xlnm.Print_Area" localSheetId="1">负极合浆工序控制计划!$B$2:$Q$34</definedName>
    <definedName name="_xlnm.Print_Titles" localSheetId="1">负极合浆工序控制计划!$6:$9</definedName>
    <definedName name="prod" localSheetId="3">{#N/A,#N/A,FALSE,"Bare Battery F.G."}</definedName>
    <definedName name="prod">{#N/A,#N/A,FALSE,"Bare Battery F.G."}</definedName>
    <definedName name="PROJECTCODE" localSheetId="0">#REF!</definedName>
    <definedName name="PROJECTCODE" localSheetId="6">#REF!</definedName>
    <definedName name="PROJECTCODE" localSheetId="3">#REF!</definedName>
    <definedName name="PROJECTCODE" localSheetId="1">#REF!</definedName>
    <definedName name="PROJECTCODE">#REF!</definedName>
    <definedName name="ProjectType" localSheetId="0">#REF!</definedName>
    <definedName name="ProjectType" localSheetId="6">#REF!</definedName>
    <definedName name="ProjectType" localSheetId="3">#REF!</definedName>
    <definedName name="ProjectType" localSheetId="1">#REF!</definedName>
    <definedName name="ProjectType">#REF!</definedName>
    <definedName name="R999999999" localSheetId="6">#REF!</definedName>
    <definedName name="R999999999" localSheetId="3">#REF!</definedName>
    <definedName name="R999999999">#REF!</definedName>
    <definedName name="sdd" localSheetId="0" hidden="1">{#N/A,#N/A,FALSE,"Bare Battery F.G."}</definedName>
    <definedName name="sdd" localSheetId="6" hidden="1">{#N/A,#N/A,FALSE,"Bare Battery F.G."}</definedName>
    <definedName name="sdd" localSheetId="3" hidden="1">{#N/A,#N/A,FALSE,"Bare Battery F.G."}</definedName>
    <definedName name="sdd" localSheetId="1" hidden="1">{#N/A,#N/A,FALSE,"Bare Battery F.G."}</definedName>
    <definedName name="sdd" hidden="1">{#N/A,#N/A,FALSE,"Bare Battery F.G."}</definedName>
    <definedName name="SHO" localSheetId="0" hidden="1">{#N/A,#N/A,FALSE,"Bare Battery F.G."}</definedName>
    <definedName name="SHO" localSheetId="6" hidden="1">{#N/A,#N/A,FALSE,"Bare Battery F.G."}</definedName>
    <definedName name="SHO" localSheetId="3" hidden="1">{#N/A,#N/A,FALSE,"Bare Battery F.G."}</definedName>
    <definedName name="SHO" localSheetId="1" hidden="1">{#N/A,#N/A,FALSE,"Bare Battery F.G."}</definedName>
    <definedName name="SHO" hidden="1">{#N/A,#N/A,FALSE,"Bare Battery F.G."}</definedName>
    <definedName name="SHORT" localSheetId="0" hidden="1">{#N/A,#N/A,FALSE,"Bare Battery F.G."}</definedName>
    <definedName name="SHORT" localSheetId="6" hidden="1">{#N/A,#N/A,FALSE,"Bare Battery F.G."}</definedName>
    <definedName name="SHORT" localSheetId="3" hidden="1">{#N/A,#N/A,FALSE,"Bare Battery F.G."}</definedName>
    <definedName name="SHORT" localSheetId="1" hidden="1">{#N/A,#N/A,FALSE,"Bare Battery F.G."}</definedName>
    <definedName name="SHORT" hidden="1">{#N/A,#N/A,FALSE,"Bare Battery F.G."}</definedName>
    <definedName name="SK">#N/A</definedName>
    <definedName name="sse" localSheetId="3" hidden="1">{#N/A,#N/A,FALSE,"Bare Battery F.G."}</definedName>
    <definedName name="sse" hidden="1">{#N/A,#N/A,FALSE,"Bare Battery F.G."}</definedName>
    <definedName name="SSLO" localSheetId="3" hidden="1">{#N/A,#N/A,FALSE,"Bare Battery F.G."}</definedName>
    <definedName name="SSLO" hidden="1">{#N/A,#N/A,FALSE,"Bare Battery F.G."}</definedName>
    <definedName name="StatusIE" localSheetId="0">#REF!</definedName>
    <definedName name="StatusIE" localSheetId="6">#REF!</definedName>
    <definedName name="StatusIE" localSheetId="3">#REF!</definedName>
    <definedName name="StatusIE" localSheetId="1">#REF!</definedName>
    <definedName name="StatusIE">#REF!</definedName>
    <definedName name="StatusME" localSheetId="0">#REF!</definedName>
    <definedName name="StatusME" localSheetId="6">#REF!</definedName>
    <definedName name="StatusME" localSheetId="3">#REF!</definedName>
    <definedName name="StatusME" localSheetId="1">#REF!</definedName>
    <definedName name="StatusME">#REF!</definedName>
    <definedName name="StatusPE">'[2]Equipment Req Plan'!$M:$M</definedName>
    <definedName name="Supplier_Code" localSheetId="6">#REF!</definedName>
    <definedName name="Supplier_Code" localSheetId="3">#REF!</definedName>
    <definedName name="Supplier_Code">#REF!</definedName>
    <definedName name="temp1" localSheetId="6">#REF!</definedName>
    <definedName name="temp1" localSheetId="3">#REF!</definedName>
    <definedName name="temp1">#REF!</definedName>
    <definedName name="tempRange" localSheetId="6">#REF!</definedName>
    <definedName name="tempRange" localSheetId="3">#REF!</definedName>
    <definedName name="tempRange">#REF!</definedName>
    <definedName name="TimeLineIE" localSheetId="0">#REF!</definedName>
    <definedName name="TimeLineIE" localSheetId="6">#REF!</definedName>
    <definedName name="TimeLineIE" localSheetId="3">#REF!</definedName>
    <definedName name="TimeLineIE" localSheetId="1">#REF!</definedName>
    <definedName name="TimeLineIE">#REF!</definedName>
    <definedName name="TimeLineME" localSheetId="0">#REF!</definedName>
    <definedName name="TimeLineME" localSheetId="6">#REF!</definedName>
    <definedName name="TimeLineME" localSheetId="3">#REF!</definedName>
    <definedName name="TimeLineME" localSheetId="1">#REF!</definedName>
    <definedName name="TimeLineME">#REF!</definedName>
    <definedName name="TimeLinePE">'[2]Equipment Req Plan'!$K:$K</definedName>
    <definedName name="Trial" localSheetId="6">#REF!</definedName>
    <definedName name="Trial" localSheetId="3">#REF!</definedName>
    <definedName name="Trial">#REF!</definedName>
    <definedName name="welding" localSheetId="0" hidden="1">{#N/A,#N/A,FALSE,"Bare Battery F.G."}</definedName>
    <definedName name="welding" localSheetId="6" hidden="1">{#N/A,#N/A,FALSE,"Bare Battery F.G."}</definedName>
    <definedName name="welding" localSheetId="3" hidden="1">{#N/A,#N/A,FALSE,"Bare Battery F.G."}</definedName>
    <definedName name="welding" localSheetId="1" hidden="1">{#N/A,#N/A,FALSE,"Bare Battery F.G."}</definedName>
    <definedName name="welding" hidden="1">{#N/A,#N/A,FALSE,"Bare Battery F.G."}</definedName>
    <definedName name="wrm" localSheetId="3" hidden="1">{#N/A,#N/A,FALSE,"Bare Battery F.G."}</definedName>
    <definedName name="wrm" hidden="1">{#N/A,#N/A,FALSE,"Bare Battery F.G."}</definedName>
    <definedName name="wrn.report." localSheetId="0" hidden="1">{#N/A,#N/A,FALSE,"Bare Battery F.G."}</definedName>
    <definedName name="wrn.report." localSheetId="6" hidden="1">{#N/A,#N/A,FALSE,"Bare Battery F.G."}</definedName>
    <definedName name="wrn.report." localSheetId="3" hidden="1">{#N/A,#N/A,FALSE,"Bare Battery F.G."}</definedName>
    <definedName name="wrn.report." localSheetId="1" hidden="1">{#N/A,#N/A,FALSE,"Bare Battery F.G."}</definedName>
    <definedName name="wrn.report." hidden="1">{#N/A,#N/A,FALSE,"Bare Battery F.G."}</definedName>
    <definedName name="xdf" localSheetId="3" hidden="1">{#N/A,#N/A,FALSE,"Bare Battery F.G."}</definedName>
    <definedName name="xdf" hidden="1">{#N/A,#N/A,FALSE,"Bare Battery F.G."}</definedName>
    <definedName name="xiaht" localSheetId="6">OFFSET(start,,4,)</definedName>
    <definedName name="xiaht" localSheetId="3">OFFSET(start,,4,)</definedName>
    <definedName name="xiaht">OFFSET(start,,4,)</definedName>
    <definedName name="按时的" localSheetId="3">{#N/A,#N/A,FALSE,"Bare Battery F.G."}</definedName>
    <definedName name="按时的">{#N/A,#N/A,FALSE,"Bare Battery F.G."}</definedName>
    <definedName name="按时的完全" localSheetId="3" hidden="1">{#N/A,#N/A,FALSE,"Bare Battery F.G."}</definedName>
    <definedName name="按时的完全" hidden="1">{#N/A,#N/A,FALSE,"Bare Battery F.G."}</definedName>
    <definedName name="超声波焊接" localSheetId="0" hidden="1">{#N/A,#N/A,FALSE,"Bare Battery F.G."}</definedName>
    <definedName name="超声波焊接" localSheetId="6" hidden="1">{#N/A,#N/A,FALSE,"Bare Battery F.G."}</definedName>
    <definedName name="超声波焊接" localSheetId="3" hidden="1">{#N/A,#N/A,FALSE,"Bare Battery F.G."}</definedName>
    <definedName name="超声波焊接" localSheetId="1" hidden="1">{#N/A,#N/A,FALSE,"Bare Battery F.G."}</definedName>
    <definedName name="超声波焊接" hidden="1">{#N/A,#N/A,FALSE,"Bare Battery F.G."}</definedName>
    <definedName name="焊接" localSheetId="0" hidden="1">{#N/A,#N/A,FALSE,"Bare Battery F.G."}</definedName>
    <definedName name="焊接" localSheetId="6" hidden="1">{#N/A,#N/A,FALSE,"Bare Battery F.G."}</definedName>
    <definedName name="焊接" localSheetId="3" hidden="1">{#N/A,#N/A,FALSE,"Bare Battery F.G."}</definedName>
    <definedName name="焊接" localSheetId="1" hidden="1">{#N/A,#N/A,FALSE,"Bare Battery F.G."}</definedName>
    <definedName name="焊接" hidden="1">{#N/A,#N/A,FALSE,"Bare Battery F.G."}</definedName>
    <definedName name="核算项目" localSheetId="0">#REF!</definedName>
    <definedName name="核算项目" localSheetId="6">#REF!</definedName>
    <definedName name="核算项目" localSheetId="3">#REF!</definedName>
    <definedName name="核算项目" localSheetId="1">#REF!</definedName>
    <definedName name="核算项目">#REF!</definedName>
    <definedName name="汇率" localSheetId="0">#REF!</definedName>
    <definedName name="汇率" localSheetId="6">#REF!</definedName>
    <definedName name="汇率" localSheetId="3">#REF!</definedName>
    <definedName name="汇率" localSheetId="1">#REF!</definedName>
    <definedName name="汇率">#REF!</definedName>
    <definedName name="结存" localSheetId="6">#REF!</definedName>
    <definedName name="结存" localSheetId="3">#REF!</definedName>
    <definedName name="结存">#REF!</definedName>
    <definedName name="绝缘电阻测试3" localSheetId="6">#REF!</definedName>
    <definedName name="绝缘电阻测试3" localSheetId="3">#REF!</definedName>
    <definedName name="绝缘电阻测试3">#REF!</definedName>
    <definedName name="科目" localSheetId="0">#REF!</definedName>
    <definedName name="科目" localSheetId="6">#REF!</definedName>
    <definedName name="科目" localSheetId="3">#REF!</definedName>
    <definedName name="科目" localSheetId="1">#REF!</definedName>
    <definedName name="科目">#REF!</definedName>
    <definedName name="入壳坏品" localSheetId="6">#REF!</definedName>
    <definedName name="入壳坏品" localSheetId="3">#REF!</definedName>
    <definedName name="入壳坏品">#REF!</definedName>
    <definedName name="生产列1" localSheetId="0">#REF!</definedName>
    <definedName name="生产列1" localSheetId="6">#REF!</definedName>
    <definedName name="生产列1" localSheetId="3">#REF!</definedName>
    <definedName name="生产列1" localSheetId="1">#REF!</definedName>
    <definedName name="生产列1">#REF!</definedName>
    <definedName name="生产列11" localSheetId="0">#REF!</definedName>
    <definedName name="生产列11" localSheetId="6">#REF!</definedName>
    <definedName name="生产列11" localSheetId="3">#REF!</definedName>
    <definedName name="生产列11" localSheetId="1">#REF!</definedName>
    <definedName name="生产列11">#REF!</definedName>
    <definedName name="生产列15" localSheetId="0">#REF!</definedName>
    <definedName name="生产列15" localSheetId="6">#REF!</definedName>
    <definedName name="生产列15" localSheetId="3">#REF!</definedName>
    <definedName name="生产列15" localSheetId="1">#REF!</definedName>
    <definedName name="生产列15">#REF!</definedName>
    <definedName name="生产列16" localSheetId="0">#REF!</definedName>
    <definedName name="生产列16" localSheetId="6">#REF!</definedName>
    <definedName name="生产列16" localSheetId="3">#REF!</definedName>
    <definedName name="生产列16" localSheetId="1">#REF!</definedName>
    <definedName name="生产列16">#REF!</definedName>
    <definedName name="生产列17" localSheetId="0">#REF!</definedName>
    <definedName name="生产列17" localSheetId="6">#REF!</definedName>
    <definedName name="生产列17" localSheetId="3">#REF!</definedName>
    <definedName name="生产列17" localSheetId="1">#REF!</definedName>
    <definedName name="生产列17">#REF!</definedName>
    <definedName name="生产列19" localSheetId="0">#REF!</definedName>
    <definedName name="生产列19" localSheetId="6">#REF!</definedName>
    <definedName name="生产列19" localSheetId="3">#REF!</definedName>
    <definedName name="生产列19" localSheetId="1">#REF!</definedName>
    <definedName name="生产列19">#REF!</definedName>
    <definedName name="生产列2" localSheetId="0">#REF!</definedName>
    <definedName name="生产列2" localSheetId="6">#REF!</definedName>
    <definedName name="生产列2" localSheetId="3">#REF!</definedName>
    <definedName name="生产列2" localSheetId="1">#REF!</definedName>
    <definedName name="生产列2">#REF!</definedName>
    <definedName name="生产列20" localSheetId="0">#REF!</definedName>
    <definedName name="生产列20" localSheetId="6">#REF!</definedName>
    <definedName name="生产列20" localSheetId="3">#REF!</definedName>
    <definedName name="生产列20" localSheetId="1">#REF!</definedName>
    <definedName name="生产列20">#REF!</definedName>
    <definedName name="生产列3" localSheetId="0">#REF!</definedName>
    <definedName name="生产列3" localSheetId="6">#REF!</definedName>
    <definedName name="生产列3" localSheetId="3">#REF!</definedName>
    <definedName name="生产列3" localSheetId="1">#REF!</definedName>
    <definedName name="生产列3">#REF!</definedName>
    <definedName name="生产列4" localSheetId="0">#REF!</definedName>
    <definedName name="生产列4" localSheetId="6">#REF!</definedName>
    <definedName name="生产列4" localSheetId="3">#REF!</definedName>
    <definedName name="生产列4" localSheetId="1">#REF!</definedName>
    <definedName name="生产列4">#REF!</definedName>
    <definedName name="生产列5" localSheetId="0">#REF!</definedName>
    <definedName name="生产列5" localSheetId="6">#REF!</definedName>
    <definedName name="生产列5" localSheetId="3">#REF!</definedName>
    <definedName name="生产列5" localSheetId="1">#REF!</definedName>
    <definedName name="生产列5">#REF!</definedName>
    <definedName name="生产列6" localSheetId="0">#REF!</definedName>
    <definedName name="生产列6" localSheetId="6">#REF!</definedName>
    <definedName name="生产列6" localSheetId="3">#REF!</definedName>
    <definedName name="生产列6" localSheetId="1">#REF!</definedName>
    <definedName name="生产列6">#REF!</definedName>
    <definedName name="生产列7" localSheetId="0">#REF!</definedName>
    <definedName name="生产列7" localSheetId="6">#REF!</definedName>
    <definedName name="生产列7" localSheetId="3">#REF!</definedName>
    <definedName name="生产列7" localSheetId="1">#REF!</definedName>
    <definedName name="生产列7">#REF!</definedName>
    <definedName name="生产列8" localSheetId="0">#REF!</definedName>
    <definedName name="生产列8" localSheetId="6">#REF!</definedName>
    <definedName name="生产列8" localSheetId="3">#REF!</definedName>
    <definedName name="生产列8" localSheetId="1">#REF!</definedName>
    <definedName name="生产列8">#REF!</definedName>
    <definedName name="生产列9" localSheetId="0">#REF!</definedName>
    <definedName name="生产列9" localSheetId="6">#REF!</definedName>
    <definedName name="生产列9" localSheetId="3">#REF!</definedName>
    <definedName name="生产列9" localSheetId="1">#REF!</definedName>
    <definedName name="生产列9">#REF!</definedName>
    <definedName name="生产期" localSheetId="0">#REF!</definedName>
    <definedName name="生产期" localSheetId="6">#REF!</definedName>
    <definedName name="生产期" localSheetId="3">#REF!</definedName>
    <definedName name="生产期" localSheetId="1">#REF!</definedName>
    <definedName name="生产期">#REF!</definedName>
    <definedName name="生产期1" localSheetId="0">#REF!</definedName>
    <definedName name="生产期1" localSheetId="6">#REF!</definedName>
    <definedName name="生产期1" localSheetId="3">#REF!</definedName>
    <definedName name="生产期1" localSheetId="1">#REF!</definedName>
    <definedName name="生产期1">#REF!</definedName>
    <definedName name="生产期10" localSheetId="6">#REF!</definedName>
    <definedName name="生产期10" localSheetId="3">#REF!</definedName>
    <definedName name="生产期10">#REF!</definedName>
    <definedName name="生产期11" localSheetId="0">#REF!</definedName>
    <definedName name="生产期11" localSheetId="6">#REF!</definedName>
    <definedName name="生产期11" localSheetId="3">#REF!</definedName>
    <definedName name="生产期11" localSheetId="1">#REF!</definedName>
    <definedName name="生产期11">#REF!</definedName>
    <definedName name="生产期15" localSheetId="0">#REF!</definedName>
    <definedName name="生产期15" localSheetId="6">#REF!</definedName>
    <definedName name="生产期15" localSheetId="3">#REF!</definedName>
    <definedName name="生产期15" localSheetId="1">#REF!</definedName>
    <definedName name="生产期15">#REF!</definedName>
    <definedName name="生产期16" localSheetId="0">#REF!</definedName>
    <definedName name="生产期16" localSheetId="6">#REF!</definedName>
    <definedName name="生产期16" localSheetId="3">#REF!</definedName>
    <definedName name="生产期16" localSheetId="1">#REF!</definedName>
    <definedName name="生产期16">#REF!</definedName>
    <definedName name="生产期17" localSheetId="0">#REF!</definedName>
    <definedName name="生产期17" localSheetId="6">#REF!</definedName>
    <definedName name="生产期17" localSheetId="3">#REF!</definedName>
    <definedName name="生产期17" localSheetId="1">#REF!</definedName>
    <definedName name="生产期17">#REF!</definedName>
    <definedName name="生产期19" localSheetId="0">#REF!</definedName>
    <definedName name="生产期19" localSheetId="6">#REF!</definedName>
    <definedName name="生产期19" localSheetId="3">#REF!</definedName>
    <definedName name="生产期19" localSheetId="1">#REF!</definedName>
    <definedName name="生产期19">#REF!</definedName>
    <definedName name="生产期2" localSheetId="0">#REF!</definedName>
    <definedName name="生产期2" localSheetId="6">#REF!</definedName>
    <definedName name="生产期2" localSheetId="3">#REF!</definedName>
    <definedName name="生产期2" localSheetId="1">#REF!</definedName>
    <definedName name="生产期2">#REF!</definedName>
    <definedName name="生产期20" localSheetId="0">#REF!</definedName>
    <definedName name="生产期20" localSheetId="6">#REF!</definedName>
    <definedName name="生产期20" localSheetId="3">#REF!</definedName>
    <definedName name="生产期20" localSheetId="1">#REF!</definedName>
    <definedName name="生产期20">#REF!</definedName>
    <definedName name="生产期3" localSheetId="0">#REF!</definedName>
    <definedName name="生产期3" localSheetId="6">#REF!</definedName>
    <definedName name="生产期3" localSheetId="3">#REF!</definedName>
    <definedName name="生产期3" localSheetId="1">#REF!</definedName>
    <definedName name="生产期3">#REF!</definedName>
    <definedName name="生产期4" localSheetId="0">#REF!</definedName>
    <definedName name="生产期4" localSheetId="6">#REF!</definedName>
    <definedName name="生产期4" localSheetId="3">#REF!</definedName>
    <definedName name="生产期4" localSheetId="1">#REF!</definedName>
    <definedName name="生产期4">#REF!</definedName>
    <definedName name="生产期5" localSheetId="0">#REF!</definedName>
    <definedName name="生产期5" localSheetId="6">#REF!</definedName>
    <definedName name="生产期5" localSheetId="3">#REF!</definedName>
    <definedName name="生产期5" localSheetId="1">#REF!</definedName>
    <definedName name="生产期5">#REF!</definedName>
    <definedName name="生产期6" localSheetId="0">#REF!</definedName>
    <definedName name="生产期6" localSheetId="6">#REF!</definedName>
    <definedName name="生产期6" localSheetId="3">#REF!</definedName>
    <definedName name="生产期6" localSheetId="1">#REF!</definedName>
    <definedName name="生产期6">#REF!</definedName>
    <definedName name="生产期7" localSheetId="0">#REF!</definedName>
    <definedName name="生产期7" localSheetId="6">#REF!</definedName>
    <definedName name="生产期7" localSheetId="3">#REF!</definedName>
    <definedName name="生产期7" localSheetId="1">#REF!</definedName>
    <definedName name="生产期7">#REF!</definedName>
    <definedName name="生产期8" localSheetId="0">#REF!</definedName>
    <definedName name="生产期8" localSheetId="6">#REF!</definedName>
    <definedName name="生产期8" localSheetId="3">#REF!</definedName>
    <definedName name="生产期8" localSheetId="1">#REF!</definedName>
    <definedName name="生产期8">#REF!</definedName>
    <definedName name="生产期9" localSheetId="0">#REF!</definedName>
    <definedName name="生产期9" localSheetId="6">#REF!</definedName>
    <definedName name="生产期9" localSheetId="3">#REF!</definedName>
    <definedName name="生产期9" localSheetId="1">#REF!</definedName>
    <definedName name="生产期9">#REF!</definedName>
    <definedName name="许多" localSheetId="3" hidden="1">{#N/A,#N/A,FALSE,"Bare Battery F.G."}</definedName>
    <definedName name="许多" hidden="1">{#N/A,#N/A,FALSE,"Bare Battery F.G."}</definedName>
    <definedName name="阳极冷压坏品" localSheetId="6">#REF!</definedName>
    <definedName name="阳极冷压坏品" localSheetId="3">#REF!</definedName>
    <definedName name="阳极冷压坏品">#REF!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5" i="47" l="1"/>
  <c r="D12" i="47" s="1"/>
  <c r="E12" i="47" s="1"/>
  <c r="D25" i="47"/>
  <c r="C25" i="47"/>
  <c r="G24" i="47"/>
  <c r="G25" i="47" s="1"/>
  <c r="D6" i="47" s="1"/>
  <c r="F24" i="47"/>
  <c r="F25" i="47" s="1"/>
  <c r="D5" i="47" s="1"/>
  <c r="E5" i="47" s="1"/>
  <c r="D24" i="47"/>
  <c r="E24" i="47" s="1"/>
  <c r="H22" i="47"/>
  <c r="D15" i="47"/>
  <c r="E15" i="47" s="1"/>
  <c r="E14" i="47"/>
  <c r="E11" i="47"/>
  <c r="E8" i="47"/>
  <c r="C7" i="47"/>
  <c r="E25" i="47" l="1"/>
  <c r="D7" i="47" s="1"/>
  <c r="E7" i="47" s="1"/>
  <c r="H24" i="47"/>
  <c r="L7" i="47"/>
  <c r="E6" i="47"/>
  <c r="H25" i="47"/>
  <c r="D4" i="47"/>
  <c r="L8" i="47" l="1"/>
  <c r="L14" i="47"/>
  <c r="L12" i="47"/>
  <c r="E4" i="47"/>
  <c r="L15" i="47"/>
  <c r="L11" i="47"/>
  <c r="L6" i="47"/>
</calcChain>
</file>

<file path=xl/sharedStrings.xml><?xml version="1.0" encoding="utf-8"?>
<sst xmlns="http://schemas.openxmlformats.org/spreadsheetml/2006/main" count="704" uniqueCount="377">
  <si>
    <t>负极合浆工序控制计划</t>
  </si>
  <si>
    <t>生效日期</t>
  </si>
  <si>
    <t>有效日期</t>
  </si>
  <si>
    <t>至下次变更之前</t>
  </si>
  <si>
    <r>
      <rPr>
        <b/>
        <sz val="16"/>
        <color theme="1"/>
        <rFont val="Times New Roman"/>
        <family val="1"/>
      </rPr>
      <t xml:space="preserve"> </t>
    </r>
    <r>
      <rPr>
        <b/>
        <sz val="16"/>
        <color theme="1"/>
        <rFont val="宋体"/>
        <family val="3"/>
        <charset val="134"/>
      </rPr>
      <t>修订履历</t>
    </r>
  </si>
  <si>
    <r>
      <rPr>
        <sz val="12"/>
        <color theme="1"/>
        <rFont val="宋体"/>
        <family val="3"/>
        <charset val="134"/>
      </rPr>
      <t>序号</t>
    </r>
  </si>
  <si>
    <r>
      <rPr>
        <sz val="12"/>
        <color theme="1"/>
        <rFont val="宋体"/>
        <family val="3"/>
        <charset val="134"/>
      </rPr>
      <t>版本</t>
    </r>
  </si>
  <si>
    <r>
      <rPr>
        <sz val="12"/>
        <color theme="1"/>
        <rFont val="宋体"/>
        <family val="3"/>
        <charset val="134"/>
      </rPr>
      <t>变更内容</t>
    </r>
  </si>
  <si>
    <r>
      <rPr>
        <sz val="12"/>
        <color theme="1"/>
        <rFont val="宋体"/>
        <family val="3"/>
        <charset val="134"/>
      </rPr>
      <t>修订人</t>
    </r>
  </si>
  <si>
    <r>
      <rPr>
        <sz val="12"/>
        <color theme="1"/>
        <rFont val="宋体"/>
        <family val="3"/>
        <charset val="134"/>
      </rPr>
      <t>修订日期</t>
    </r>
  </si>
  <si>
    <t>A0</t>
  </si>
  <si>
    <t>文件发放</t>
  </si>
  <si>
    <t>序号</t>
  </si>
  <si>
    <t>发放部门</t>
  </si>
  <si>
    <r>
      <rPr>
        <sz val="12"/>
        <rFont val="宋体"/>
        <family val="3"/>
        <charset val="134"/>
      </rPr>
      <t>发放产线</t>
    </r>
    <r>
      <rPr>
        <sz val="12"/>
        <rFont val="Times New Roman"/>
        <family val="1"/>
      </rPr>
      <t>/</t>
    </r>
    <r>
      <rPr>
        <sz val="12"/>
        <rFont val="宋体"/>
        <family val="3"/>
        <charset val="134"/>
      </rPr>
      <t>室</t>
    </r>
  </si>
  <si>
    <t>发放工位</t>
  </si>
  <si>
    <t>负极合浆工序控制计划
Control Plan of  Cathode Mixing</t>
  </si>
  <si>
    <r>
      <rPr>
        <b/>
        <sz val="10"/>
        <rFont val="宋体"/>
        <family val="3"/>
        <charset val="134"/>
      </rPr>
      <t xml:space="preserve">型号
</t>
    </r>
    <r>
      <rPr>
        <b/>
        <sz val="10"/>
        <rFont val="Times New Roman"/>
        <family val="1"/>
      </rPr>
      <t>Model</t>
    </r>
  </si>
  <si>
    <r>
      <rPr>
        <b/>
        <sz val="10"/>
        <rFont val="宋体"/>
        <family val="3"/>
        <charset val="134"/>
      </rPr>
      <t xml:space="preserve">文件代号
</t>
    </r>
    <r>
      <rPr>
        <b/>
        <sz val="10"/>
        <rFont val="Times New Roman"/>
        <family val="1"/>
      </rPr>
      <t>File NO.</t>
    </r>
  </si>
  <si>
    <r>
      <rPr>
        <b/>
        <sz val="10"/>
        <rFont val="宋体"/>
        <family val="3"/>
        <charset val="134"/>
      </rPr>
      <t xml:space="preserve">工序名称
</t>
    </r>
    <r>
      <rPr>
        <b/>
        <sz val="10"/>
        <rFont val="Times New Roman"/>
        <family val="1"/>
      </rPr>
      <t>Process Name</t>
    </r>
  </si>
  <si>
    <t>负极合浆</t>
  </si>
  <si>
    <r>
      <rPr>
        <b/>
        <sz val="10"/>
        <rFont val="宋体"/>
        <family val="3"/>
        <charset val="134"/>
      </rPr>
      <t xml:space="preserve">发行版次
</t>
    </r>
    <r>
      <rPr>
        <b/>
        <sz val="10"/>
        <rFont val="Times New Roman"/>
        <family val="1"/>
      </rPr>
      <t>REV.</t>
    </r>
  </si>
  <si>
    <t>/</t>
  </si>
  <si>
    <r>
      <rPr>
        <b/>
        <sz val="10"/>
        <rFont val="宋体"/>
        <family val="3"/>
        <charset val="134"/>
      </rPr>
      <t xml:space="preserve">过程编号
</t>
    </r>
    <r>
      <rPr>
        <b/>
        <sz val="10"/>
        <rFont val="Times New Roman"/>
        <family val="1"/>
      </rPr>
      <t>Process No.</t>
    </r>
  </si>
  <si>
    <r>
      <rPr>
        <b/>
        <sz val="10"/>
        <rFont val="宋体"/>
        <family val="3"/>
        <charset val="134"/>
      </rPr>
      <t xml:space="preserve">过程名称
</t>
    </r>
    <r>
      <rPr>
        <b/>
        <sz val="10"/>
        <rFont val="Times New Roman"/>
        <family val="1"/>
      </rPr>
      <t>Process</t>
    </r>
  </si>
  <si>
    <r>
      <rPr>
        <b/>
        <sz val="10"/>
        <rFont val="宋体"/>
        <family val="3"/>
        <charset val="134"/>
      </rPr>
      <t>生产设备</t>
    </r>
    <r>
      <rPr>
        <b/>
        <sz val="10"/>
        <rFont val="Times New Roman"/>
        <family val="1"/>
      </rPr>
      <t xml:space="preserve">
</t>
    </r>
    <r>
      <rPr>
        <b/>
        <sz val="10"/>
        <rFont val="宋体"/>
        <family val="3"/>
        <charset val="134"/>
      </rPr>
      <t xml:space="preserve">工装模具
</t>
    </r>
    <r>
      <rPr>
        <b/>
        <sz val="10"/>
        <rFont val="Times New Roman"/>
        <family val="1"/>
      </rPr>
      <t>Machine/Tooling/Jig</t>
    </r>
  </si>
  <si>
    <r>
      <rPr>
        <b/>
        <sz val="10"/>
        <rFont val="宋体"/>
        <family val="3"/>
        <charset val="134"/>
      </rPr>
      <t xml:space="preserve">特性
</t>
    </r>
    <r>
      <rPr>
        <b/>
        <sz val="10"/>
        <rFont val="Times New Roman"/>
        <family val="1"/>
      </rPr>
      <t>characteristics</t>
    </r>
  </si>
  <si>
    <r>
      <rPr>
        <b/>
        <sz val="10"/>
        <rFont val="宋体"/>
        <family val="3"/>
        <charset val="134"/>
      </rPr>
      <t xml:space="preserve">方法
</t>
    </r>
    <r>
      <rPr>
        <b/>
        <sz val="10"/>
        <rFont val="Times New Roman"/>
        <family val="1"/>
      </rPr>
      <t>Method</t>
    </r>
  </si>
  <si>
    <r>
      <rPr>
        <b/>
        <sz val="10"/>
        <rFont val="宋体"/>
        <family val="3"/>
        <charset val="134"/>
      </rPr>
      <t xml:space="preserve">反应计划
</t>
    </r>
    <r>
      <rPr>
        <b/>
        <sz val="10"/>
        <rFont val="Times New Roman"/>
        <family val="1"/>
      </rPr>
      <t xml:space="preserve">Reaction plan </t>
    </r>
  </si>
  <si>
    <r>
      <rPr>
        <b/>
        <sz val="10"/>
        <rFont val="宋体"/>
        <family val="3"/>
        <charset val="134"/>
      </rPr>
      <t xml:space="preserve">编号
</t>
    </r>
    <r>
      <rPr>
        <b/>
        <sz val="10"/>
        <rFont val="Times New Roman"/>
        <family val="1"/>
      </rPr>
      <t>No.</t>
    </r>
  </si>
  <si>
    <r>
      <rPr>
        <b/>
        <sz val="10"/>
        <rFont val="宋体"/>
        <family val="3"/>
        <charset val="134"/>
      </rPr>
      <t xml:space="preserve">产品
</t>
    </r>
    <r>
      <rPr>
        <b/>
        <sz val="10"/>
        <rFont val="Times New Roman"/>
        <family val="1"/>
      </rPr>
      <t>Products</t>
    </r>
  </si>
  <si>
    <r>
      <rPr>
        <b/>
        <sz val="10"/>
        <rFont val="宋体"/>
        <family val="3"/>
        <charset val="134"/>
      </rPr>
      <t xml:space="preserve">过程
</t>
    </r>
    <r>
      <rPr>
        <b/>
        <sz val="10"/>
        <rFont val="Times New Roman"/>
        <family val="1"/>
      </rPr>
      <t>Process</t>
    </r>
  </si>
  <si>
    <r>
      <rPr>
        <b/>
        <sz val="10"/>
        <rFont val="宋体"/>
        <family val="3"/>
        <charset val="134"/>
      </rPr>
      <t xml:space="preserve">特殊特性分类
</t>
    </r>
    <r>
      <rPr>
        <b/>
        <sz val="10"/>
        <rFont val="Times New Roman"/>
        <family val="1"/>
      </rPr>
      <t>Classification</t>
    </r>
  </si>
  <si>
    <r>
      <rPr>
        <b/>
        <sz val="10"/>
        <rFont val="宋体"/>
        <family val="3"/>
        <charset val="134"/>
      </rPr>
      <t>产品</t>
    </r>
    <r>
      <rPr>
        <b/>
        <sz val="10"/>
        <rFont val="Times New Roman"/>
        <family val="1"/>
      </rPr>
      <t>/</t>
    </r>
    <r>
      <rPr>
        <b/>
        <sz val="10"/>
        <rFont val="宋体"/>
        <family val="3"/>
        <charset val="134"/>
      </rPr>
      <t>过程产品</t>
    </r>
    <r>
      <rPr>
        <b/>
        <sz val="10"/>
        <rFont val="Times New Roman"/>
        <family val="1"/>
      </rPr>
      <t>/</t>
    </r>
    <r>
      <rPr>
        <b/>
        <sz val="10"/>
        <rFont val="宋体"/>
        <family val="3"/>
        <charset val="134"/>
      </rPr>
      <t>过程规范</t>
    </r>
    <r>
      <rPr>
        <b/>
        <sz val="10"/>
        <rFont val="Times New Roman"/>
        <family val="1"/>
      </rPr>
      <t>/</t>
    </r>
    <r>
      <rPr>
        <b/>
        <sz val="10"/>
        <rFont val="宋体"/>
        <family val="3"/>
        <charset val="134"/>
      </rPr>
      <t xml:space="preserve">公差
</t>
    </r>
    <r>
      <rPr>
        <b/>
        <sz val="10"/>
        <rFont val="Times New Roman"/>
        <family val="1"/>
      </rPr>
      <t>Specification/Tolerance</t>
    </r>
  </si>
  <si>
    <r>
      <rPr>
        <b/>
        <sz val="10"/>
        <rFont val="宋体"/>
        <family val="3"/>
        <charset val="134"/>
      </rPr>
      <t>评价</t>
    </r>
    <r>
      <rPr>
        <b/>
        <sz val="10"/>
        <rFont val="Times New Roman"/>
        <family val="1"/>
      </rPr>
      <t>/</t>
    </r>
    <r>
      <rPr>
        <b/>
        <sz val="10"/>
        <rFont val="宋体"/>
        <family val="3"/>
        <charset val="134"/>
      </rPr>
      <t xml:space="preserve">测量技术
</t>
    </r>
    <r>
      <rPr>
        <b/>
        <sz val="10"/>
        <rFont val="Times New Roman"/>
        <family val="1"/>
      </rPr>
      <t>Evaluation/Measurement</t>
    </r>
  </si>
  <si>
    <r>
      <rPr>
        <b/>
        <sz val="10"/>
        <rFont val="宋体"/>
        <family val="3"/>
        <charset val="134"/>
      </rPr>
      <t xml:space="preserve">样本
</t>
    </r>
    <r>
      <rPr>
        <b/>
        <sz val="10"/>
        <rFont val="Times New Roman"/>
        <family val="1"/>
      </rPr>
      <t>Sample</t>
    </r>
  </si>
  <si>
    <r>
      <rPr>
        <b/>
        <sz val="10"/>
        <rFont val="宋体"/>
        <family val="3"/>
        <charset val="134"/>
      </rPr>
      <t xml:space="preserve">控制方法
</t>
    </r>
    <r>
      <rPr>
        <b/>
        <sz val="10"/>
        <rFont val="Times New Roman"/>
        <family val="1"/>
      </rPr>
      <t>Control Method</t>
    </r>
  </si>
  <si>
    <r>
      <rPr>
        <b/>
        <sz val="10"/>
        <rFont val="宋体"/>
        <family val="3"/>
        <charset val="134"/>
      </rPr>
      <t xml:space="preserve">容量
</t>
    </r>
    <r>
      <rPr>
        <b/>
        <sz val="10"/>
        <rFont val="Times New Roman"/>
        <family val="1"/>
      </rPr>
      <t>Size</t>
    </r>
  </si>
  <si>
    <r>
      <rPr>
        <b/>
        <sz val="10"/>
        <rFont val="宋体"/>
        <family val="3"/>
        <charset val="134"/>
      </rPr>
      <t xml:space="preserve">频率
</t>
    </r>
    <r>
      <rPr>
        <b/>
        <sz val="10"/>
        <rFont val="Times New Roman"/>
        <family val="1"/>
      </rPr>
      <t>Frequency</t>
    </r>
  </si>
  <si>
    <t>纯水确认</t>
  </si>
  <si>
    <t>物料确认</t>
  </si>
  <si>
    <t>种类</t>
  </si>
  <si>
    <t>见附表1加料名称</t>
  </si>
  <si>
    <t>外包装</t>
  </si>
  <si>
    <t>无破损、泄露</t>
  </si>
  <si>
    <t>每包/桶</t>
  </si>
  <si>
    <t>合浆工序环境控制</t>
  </si>
  <si>
    <t>温湿度计</t>
  </si>
  <si>
    <t>1次</t>
  </si>
  <si>
    <t>1、暂停生产；
2、通知动力运行调整空调系统，待环境恢复后启用；
3、对异常品进行追溯隔离，通知工程师</t>
  </si>
  <si>
    <t>湿度</t>
  </si>
  <si>
    <t>每班</t>
  </si>
  <si>
    <t>投料顺序</t>
  </si>
  <si>
    <t>见附表1</t>
  </si>
  <si>
    <t>过程记录</t>
  </si>
  <si>
    <t>每工步</t>
  </si>
  <si>
    <t>合浆过程温度</t>
  </si>
  <si>
    <t>温度传感器</t>
  </si>
  <si>
    <t>搅拌速度</t>
  </si>
  <si>
    <t>（10～25）rpm</t>
  </si>
  <si>
    <t>储存时间</t>
  </si>
  <si>
    <t>≤48h</t>
  </si>
  <si>
    <t>每釜</t>
  </si>
  <si>
    <t>浆料粘度</t>
  </si>
  <si>
    <t>1、合浆工步完成后、出料前由质检员检测
2、定期校准粘度计</t>
  </si>
  <si>
    <t>浆料细度</t>
  </si>
  <si>
    <t>刮板细度计</t>
  </si>
  <si>
    <t>浆料固含量</t>
  </si>
  <si>
    <t>固含仪</t>
  </si>
  <si>
    <t>1、合浆工步完成后由质检员检测
2、定期校准固含仪</t>
  </si>
  <si>
    <t>出料</t>
  </si>
  <si>
    <t>筛网目数</t>
  </si>
  <si>
    <t>目视标签</t>
  </si>
  <si>
    <t>更换前确认</t>
  </si>
  <si>
    <t>磁感应强度</t>
  </si>
  <si>
    <r>
      <rPr>
        <b/>
        <sz val="10"/>
        <rFont val="宋体"/>
        <family val="3"/>
        <charset val="134"/>
      </rPr>
      <t>备注</t>
    </r>
  </si>
  <si>
    <r>
      <rPr>
        <sz val="10"/>
        <rFont val="Times New Roman"/>
        <family val="1"/>
      </rPr>
      <t>1</t>
    </r>
    <r>
      <rPr>
        <sz val="10"/>
        <rFont val="宋体"/>
        <family val="3"/>
        <charset val="134"/>
      </rPr>
      <t>、过程编号、过程名称、作业步骤、产品特性、过程特性的描述，在过程流程图、</t>
    </r>
    <r>
      <rPr>
        <sz val="10"/>
        <rFont val="Times New Roman"/>
        <family val="1"/>
      </rPr>
      <t>PFMEA</t>
    </r>
    <r>
      <rPr>
        <sz val="10"/>
        <rFont val="宋体"/>
        <family val="3"/>
        <charset val="134"/>
      </rPr>
      <t xml:space="preserve">、控制计划中应保持统一。
</t>
    </r>
    <r>
      <rPr>
        <sz val="10"/>
        <rFont val="Times New Roman"/>
        <family val="1"/>
      </rPr>
      <t>1</t>
    </r>
    <r>
      <rPr>
        <sz val="10"/>
        <rFont val="宋体"/>
        <family val="3"/>
        <charset val="134"/>
      </rPr>
      <t>、</t>
    </r>
    <r>
      <rPr>
        <sz val="10"/>
        <rFont val="Times New Roman"/>
        <family val="1"/>
      </rPr>
      <t>Process description should be same with process flow chart, PFMEA and control plan.
2</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表示产品与安全有关的特殊特性符号，关键产品参数</t>
    </r>
    <r>
      <rPr>
        <sz val="10"/>
        <rFont val="Times New Roman"/>
        <family val="1"/>
      </rPr>
      <t>/</t>
    </r>
    <r>
      <rPr>
        <sz val="10"/>
        <rFont val="宋体"/>
        <family val="3"/>
        <charset val="134"/>
      </rPr>
      <t>关键过程参数</t>
    </r>
    <r>
      <rPr>
        <sz val="10"/>
        <rFont val="Times New Roman"/>
        <family val="1"/>
      </rPr>
      <t>/</t>
    </r>
    <r>
      <rPr>
        <sz val="10"/>
        <rFont val="宋体"/>
        <family val="3"/>
        <charset val="134"/>
      </rPr>
      <t>关键工序；</t>
    </r>
    <r>
      <rPr>
        <sz val="10"/>
        <rFont val="Times New Roman"/>
        <family val="1"/>
      </rPr>
      <t>“</t>
    </r>
    <r>
      <rPr>
        <sz val="10"/>
        <rFont val="宋体"/>
        <family val="3"/>
        <charset val="134"/>
      </rPr>
      <t>☆</t>
    </r>
    <r>
      <rPr>
        <sz val="10"/>
        <rFont val="Times New Roman"/>
        <family val="1"/>
      </rPr>
      <t>”</t>
    </r>
    <r>
      <rPr>
        <sz val="10"/>
        <rFont val="宋体"/>
        <family val="3"/>
        <charset val="134"/>
      </rPr>
      <t>表示产品与安全无关的特殊特性符号，重要产品参数</t>
    </r>
    <r>
      <rPr>
        <sz val="10"/>
        <rFont val="Times New Roman"/>
        <family val="1"/>
      </rPr>
      <t>/</t>
    </r>
    <r>
      <rPr>
        <sz val="10"/>
        <rFont val="宋体"/>
        <family val="3"/>
        <charset val="134"/>
      </rPr>
      <t>重要过程参数</t>
    </r>
    <r>
      <rPr>
        <sz val="10"/>
        <rFont val="Times New Roman"/>
        <family val="1"/>
      </rPr>
      <t>/</t>
    </r>
    <r>
      <rPr>
        <sz val="10"/>
        <rFont val="宋体"/>
        <family val="3"/>
        <charset val="134"/>
      </rPr>
      <t>重要工序。</t>
    </r>
    <r>
      <rPr>
        <sz val="10"/>
        <rFont val="Times New Roman"/>
        <family val="1"/>
      </rPr>
      <t xml:space="preserve"> 
2</t>
    </r>
    <r>
      <rPr>
        <sz val="10"/>
        <rFont val="宋体"/>
        <family val="3"/>
        <charset val="134"/>
      </rPr>
      <t>、</t>
    </r>
    <r>
      <rPr>
        <sz val="10"/>
        <rFont val="Times New Roman"/>
        <family val="1"/>
      </rPr>
      <t>“</t>
    </r>
    <r>
      <rPr>
        <sz val="10"/>
        <rFont val="宋体"/>
        <family val="3"/>
        <charset val="134"/>
      </rPr>
      <t>★</t>
    </r>
    <r>
      <rPr>
        <sz val="10"/>
        <rFont val="Times New Roman"/>
        <family val="1"/>
      </rPr>
      <t>”: characteristics related with product safety and critical product parameter/process  parameter/ process;“</t>
    </r>
    <r>
      <rPr>
        <sz val="10"/>
        <rFont val="宋体"/>
        <family val="3"/>
        <charset val="134"/>
      </rPr>
      <t>☆</t>
    </r>
    <r>
      <rPr>
        <sz val="10"/>
        <rFont val="Times New Roman"/>
        <family val="1"/>
      </rPr>
      <t>”: characteristics related with significant product parameter/process  parameter/ process, but not related with product safety.
3</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表示该处生产设备</t>
    </r>
    <r>
      <rPr>
        <sz val="10"/>
        <rFont val="Times New Roman"/>
        <family val="1"/>
      </rPr>
      <t>/</t>
    </r>
    <r>
      <rPr>
        <sz val="10"/>
        <rFont val="宋体"/>
        <family val="3"/>
        <charset val="134"/>
      </rPr>
      <t xml:space="preserve">工装模具具有防错功能。
</t>
    </r>
    <r>
      <rPr>
        <sz val="10"/>
        <rFont val="Times New Roman"/>
        <family val="1"/>
      </rPr>
      <t>3</t>
    </r>
    <r>
      <rPr>
        <sz val="10"/>
        <rFont val="宋体"/>
        <family val="3"/>
        <charset val="134"/>
      </rPr>
      <t>、</t>
    </r>
    <r>
      <rPr>
        <sz val="10"/>
        <rFont val="Times New Roman"/>
        <family val="1"/>
      </rPr>
      <t>“</t>
    </r>
    <r>
      <rPr>
        <sz val="10"/>
        <rFont val="宋体"/>
        <family val="3"/>
        <charset val="134"/>
      </rPr>
      <t>△</t>
    </r>
    <r>
      <rPr>
        <sz val="10"/>
        <rFont val="Times New Roman"/>
        <family val="1"/>
      </rPr>
      <t>”: Machine/Tooling/Jig have error proofing function</t>
    </r>
    <r>
      <rPr>
        <sz val="10"/>
        <rFont val="宋体"/>
        <family val="3"/>
        <charset val="134"/>
      </rPr>
      <t>。</t>
    </r>
  </si>
  <si>
    <r>
      <rPr>
        <b/>
        <sz val="10"/>
        <rFont val="宋体"/>
        <family val="3"/>
        <charset val="134"/>
      </rPr>
      <t xml:space="preserve">编制
</t>
    </r>
    <r>
      <rPr>
        <b/>
        <sz val="10"/>
        <rFont val="Times New Roman"/>
        <family val="1"/>
      </rPr>
      <t>Editor</t>
    </r>
  </si>
  <si>
    <t>校对
Corrector</t>
  </si>
  <si>
    <r>
      <rPr>
        <b/>
        <sz val="10"/>
        <rFont val="宋体"/>
        <family val="3"/>
        <charset val="134"/>
      </rPr>
      <t xml:space="preserve">审核
</t>
    </r>
    <r>
      <rPr>
        <b/>
        <sz val="10"/>
        <rFont val="Times New Roman"/>
        <family val="1"/>
      </rPr>
      <t>Audit</t>
    </r>
  </si>
  <si>
    <t>邢慢</t>
  </si>
  <si>
    <t>李晓坡</t>
  </si>
  <si>
    <t>编制
Editor</t>
  </si>
  <si>
    <t>标审
Standard</t>
  </si>
  <si>
    <t>审核
Audit</t>
  </si>
  <si>
    <t>会签
Countersign</t>
  </si>
  <si>
    <t>批准
Approval</t>
  </si>
  <si>
    <t>工步</t>
  </si>
  <si>
    <t>工步名称</t>
  </si>
  <si>
    <t>加料名称</t>
  </si>
  <si>
    <t>重量/kg</t>
  </si>
  <si>
    <t>公转/rpm</t>
  </si>
  <si>
    <t>分散/rpm</t>
  </si>
  <si>
    <t>时间/min</t>
  </si>
  <si>
    <t>温度/°C</t>
  </si>
  <si>
    <t>固含量</t>
  </si>
  <si>
    <t>真空度</t>
  </si>
  <si>
    <t>投料</t>
  </si>
  <si>
    <t>投料+搅拌</t>
  </si>
  <si>
    <t>DI-Water</t>
  </si>
  <si>
    <t>调粘</t>
  </si>
  <si>
    <t>（23.0±5.0）℃</t>
  </si>
  <si>
    <t>电导率</t>
  </si>
  <si>
    <t>电导率仪</t>
  </si>
  <si>
    <t>投料前确认1次</t>
  </si>
  <si>
    <t xml:space="preserve">温度 </t>
  </si>
  <si>
    <t>洁净度</t>
  </si>
  <si>
    <t>投料量</t>
  </si>
  <si>
    <t>转速</t>
  </si>
  <si>
    <t>转速传感器</t>
  </si>
  <si>
    <t>时间</t>
  </si>
  <si>
    <t>PLC控制程序</t>
  </si>
  <si>
    <t>压力变送器</t>
  </si>
  <si>
    <t>磁棒清洗</t>
  </si>
  <si>
    <t>物料包装确认</t>
    <phoneticPr fontId="28" type="noConversion"/>
  </si>
  <si>
    <t>目视外观</t>
    <phoneticPr fontId="28" type="noConversion"/>
  </si>
  <si>
    <t>1、操作员工点检物料，并记录
2、质检确认记录结果</t>
    <phoneticPr fontId="28" type="noConversion"/>
  </si>
  <si>
    <t>1、隔离物料
2、人工确认包装破损则通知质检按照不合格品处理流程处理</t>
    <phoneticPr fontId="28" type="noConversion"/>
  </si>
  <si>
    <t>目视标签</t>
    <phoneticPr fontId="28" type="noConversion"/>
  </si>
  <si>
    <t>1、隔离物料
2、人工确认物料错误则通知配送更换物料</t>
    <phoneticPr fontId="28" type="noConversion"/>
  </si>
  <si>
    <t>1、生产点检并记录
2、定期校准温湿度计</t>
    <phoneticPr fontId="28" type="noConversion"/>
  </si>
  <si>
    <t>1、操作员工执行、记录
2、质检监督记录
3、班长检查并确认签字</t>
    <phoneticPr fontId="28" type="noConversion"/>
  </si>
  <si>
    <t>1、暂停生产
2、人工确认物料错误则通知质检按照不合格品处理流程处理
3、进行作业准备验证后开机</t>
    <phoneticPr fontId="28" type="noConversion"/>
  </si>
  <si>
    <t>1、操作员工执行、记录
2、质检监督记录
3、班长检查并确认签字
4、定期校验电子秤</t>
    <phoneticPr fontId="28" type="noConversion"/>
  </si>
  <si>
    <t>1、暂停生产
2、人工确认投料量错误则通知质检按照不合格品处理流程处理
3、进行作业准备验证后开机</t>
    <phoneticPr fontId="28" type="noConversion"/>
  </si>
  <si>
    <t>1、操作员工执行、记录
2、质检监督记录
3、设备自动控制
4、设备定期校验</t>
    <phoneticPr fontId="28" type="noConversion"/>
  </si>
  <si>
    <t>1、暂停生产
2、人工确认转速错误则通知质检按照不合格品处理流程处理
3、进行作业准备验证后开机</t>
    <phoneticPr fontId="28" type="noConversion"/>
  </si>
  <si>
    <t>1、暂停生产
2、人工确认时间错误则通知质检按照不合格品处理流程处理
3、进行作业准备验证后开机</t>
    <phoneticPr fontId="28" type="noConversion"/>
  </si>
  <si>
    <t>1、通知工程师现场确认处理
2、再开机时进行作业准备验证</t>
    <phoneticPr fontId="28" type="noConversion"/>
  </si>
  <si>
    <t>（10.0～55.0）℃</t>
    <phoneticPr fontId="28" type="noConversion"/>
  </si>
  <si>
    <t>1、暂停生产
2、人工确认温度超限则通知质检按照不合格品处理流程处理</t>
    <phoneticPr fontId="28" type="noConversion"/>
  </si>
  <si>
    <t>1、暂停生产
2、人工确认转速错误则通知质检按照不合格品处理流程处理</t>
    <phoneticPr fontId="28" type="noConversion"/>
  </si>
  <si>
    <t>1、操作员工记录
2、质检监督记录
3、班长检查</t>
    <phoneticPr fontId="28" type="noConversion"/>
  </si>
  <si>
    <t xml:space="preserve">1、对浆料隔离
2、通知质检按照不合格品处理流程处理
</t>
    <phoneticPr fontId="28" type="noConversion"/>
  </si>
  <si>
    <t>1、暂停生产，对浆料隔离
2、通知质检按照不合格品处理流程处理</t>
    <phoneticPr fontId="28" type="noConversion"/>
  </si>
  <si>
    <t xml:space="preserve">1、暂停生产，对浆料隔离
2、通知质检按照不合格品处理流程处理
</t>
    <phoneticPr fontId="28" type="noConversion"/>
  </si>
  <si>
    <t>过滤器(除磁车自带)</t>
    <phoneticPr fontId="28" type="noConversion"/>
  </si>
  <si>
    <t>1、目数不符通知班组长进行确认更换
2、超期未更换/清洗时，暂停生产</t>
    <phoneticPr fontId="28" type="noConversion"/>
  </si>
  <si>
    <t>浆料磁棒
（除磁车自带）</t>
    <phoneticPr fontId="28" type="noConversion"/>
  </si>
  <si>
    <t>磁棒表面无浆料和异物</t>
    <phoneticPr fontId="28" type="noConversion"/>
  </si>
  <si>
    <t>1、设备点检过滤器
2、更换并记录</t>
    <phoneticPr fontId="28" type="noConversion"/>
  </si>
  <si>
    <r>
      <rPr>
        <sz val="10"/>
        <rFont val="宋体"/>
        <family val="3"/>
        <charset val="134"/>
      </rPr>
      <t>清洗要求</t>
    </r>
  </si>
  <si>
    <r>
      <rPr>
        <sz val="10"/>
        <rFont val="宋体"/>
        <family val="3"/>
        <charset val="134"/>
      </rPr>
      <t>表面无大面积结块浆料
筛网无破损</t>
    </r>
  </si>
  <si>
    <r>
      <rPr>
        <sz val="10"/>
        <rFont val="宋体"/>
        <family val="3"/>
        <charset val="134"/>
      </rPr>
      <t>目视</t>
    </r>
  </si>
  <si>
    <t>班组进行过滤器清洗并记录</t>
    <phoneticPr fontId="28" type="noConversion"/>
  </si>
  <si>
    <t>1、继续清洗至无结块浆料残留
2、对破损筛网报废处理</t>
    <phoneticPr fontId="28" type="noConversion"/>
  </si>
  <si>
    <r>
      <rPr>
        <sz val="10"/>
        <rFont val="宋体"/>
        <family val="3"/>
        <charset val="134"/>
      </rPr>
      <t>筛网寿命</t>
    </r>
  </si>
  <si>
    <t>点检并记录</t>
    <phoneticPr fontId="28" type="noConversion"/>
  </si>
  <si>
    <t>1、更换筛网
2、通知质检按照不合格品处理流程处理</t>
    <phoneticPr fontId="28" type="noConversion"/>
  </si>
  <si>
    <t>目视白色无纺布无异物</t>
    <phoneticPr fontId="28" type="noConversion"/>
  </si>
  <si>
    <t>1、设备点检
2、班组进行清洗并记录</t>
    <phoneticPr fontId="28" type="noConversion"/>
  </si>
  <si>
    <t>班组对磁棒进行重新清洗直至符合要求</t>
    <phoneticPr fontId="28" type="noConversion"/>
  </si>
  <si>
    <t>附表2：搅拌机真空度挑战参数检测表</t>
    <phoneticPr fontId="28" type="noConversion"/>
  </si>
  <si>
    <t>附表3：合浆机温度挑战参数检测表</t>
    <phoneticPr fontId="28" type="noConversion"/>
  </si>
  <si>
    <r>
      <rPr>
        <b/>
        <sz val="10"/>
        <rFont val="宋体"/>
        <family val="3"/>
        <charset val="134"/>
      </rPr>
      <t>序号</t>
    </r>
  </si>
  <si>
    <r>
      <rPr>
        <b/>
        <sz val="10"/>
        <rFont val="宋体"/>
        <family val="3"/>
        <charset val="134"/>
      </rPr>
      <t>挑战参数名称</t>
    </r>
  </si>
  <si>
    <r>
      <rPr>
        <b/>
        <sz val="10"/>
        <rFont val="宋体"/>
        <family val="3"/>
        <charset val="134"/>
      </rPr>
      <t>检出结果</t>
    </r>
  </si>
  <si>
    <t>真空度＜-0.085±0.005Mpa</t>
    <phoneticPr fontId="28" type="noConversion"/>
  </si>
  <si>
    <t>不报警</t>
  </si>
  <si>
    <r>
      <rPr>
        <sz val="10"/>
        <rFont val="宋体"/>
        <family val="3"/>
        <charset val="134"/>
      </rPr>
      <t>实际温度</t>
    </r>
    <r>
      <rPr>
        <sz val="10"/>
        <rFont val="Times New Roman"/>
        <family val="1"/>
      </rPr>
      <t>+2</t>
    </r>
    <r>
      <rPr>
        <sz val="10"/>
        <rFont val="宋体"/>
        <family val="3"/>
        <charset val="134"/>
      </rPr>
      <t>℃</t>
    </r>
  </si>
  <si>
    <t>真空度＞-0.085±0.005Mpa</t>
    <phoneticPr fontId="28" type="noConversion"/>
  </si>
  <si>
    <t>报警</t>
  </si>
  <si>
    <r>
      <rPr>
        <sz val="10"/>
        <rFont val="宋体"/>
        <family val="3"/>
        <charset val="134"/>
      </rPr>
      <t>实际温度</t>
    </r>
    <r>
      <rPr>
        <sz val="10"/>
        <rFont val="Times New Roman"/>
        <family val="1"/>
      </rPr>
      <t>-2</t>
    </r>
    <r>
      <rPr>
        <sz val="10"/>
        <rFont val="宋体"/>
        <family val="3"/>
        <charset val="134"/>
      </rPr>
      <t>℃</t>
    </r>
  </si>
  <si>
    <t>负极浆料缓存</t>
    <phoneticPr fontId="28" type="noConversion"/>
  </si>
  <si>
    <t>OP335</t>
    <phoneticPr fontId="28" type="noConversion"/>
  </si>
  <si>
    <t>OP340</t>
    <phoneticPr fontId="28" type="noConversion"/>
  </si>
  <si>
    <t>OP345</t>
    <phoneticPr fontId="28" type="noConversion"/>
  </si>
  <si>
    <t>/</t>
    <phoneticPr fontId="28" type="noConversion"/>
  </si>
  <si>
    <t>OP330</t>
    <phoneticPr fontId="28" type="noConversion"/>
  </si>
  <si>
    <t>OP350</t>
    <phoneticPr fontId="28" type="noConversion"/>
  </si>
  <si>
    <r>
      <rPr>
        <b/>
        <sz val="10"/>
        <rFont val="宋体"/>
        <family val="3"/>
        <charset val="134"/>
      </rPr>
      <t xml:space="preserve">阶段
</t>
    </r>
    <r>
      <rPr>
        <b/>
        <sz val="10"/>
        <rFont val="Times New Roman"/>
        <family val="1"/>
      </rPr>
      <t>Stage</t>
    </r>
    <phoneticPr fontId="28" type="noConversion"/>
  </si>
  <si>
    <r>
      <t xml:space="preserve">  </t>
    </r>
    <r>
      <rPr>
        <b/>
        <sz val="10"/>
        <rFont val="宋体"/>
        <family val="3"/>
        <charset val="134"/>
      </rPr>
      <t>■</t>
    </r>
    <r>
      <rPr>
        <b/>
        <sz val="10"/>
        <rFont val="Times New Roman"/>
        <family val="1"/>
      </rPr>
      <t xml:space="preserve">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A-Sample         B-Sample         C-Sample      Pre-production      Production</t>
    </r>
    <phoneticPr fontId="28" type="noConversion"/>
  </si>
  <si>
    <r>
      <t>适用厂区</t>
    </r>
    <r>
      <rPr>
        <b/>
        <sz val="10"/>
        <rFont val="Times New Roman"/>
        <family val="1"/>
      </rPr>
      <t>/</t>
    </r>
    <r>
      <rPr>
        <b/>
        <sz val="10"/>
        <rFont val="宋体"/>
        <family val="3"/>
        <charset val="134"/>
      </rPr>
      <t xml:space="preserve">产线
</t>
    </r>
    <r>
      <rPr>
        <b/>
        <sz val="10"/>
        <rFont val="Times New Roman"/>
        <family val="1"/>
      </rPr>
      <t>Applicable Factory/Line</t>
    </r>
  </si>
  <si>
    <t>Z2-C2</t>
    <phoneticPr fontId="28" type="noConversion"/>
  </si>
  <si>
    <r>
      <rPr>
        <b/>
        <sz val="10"/>
        <rFont val="宋体"/>
        <family val="3"/>
        <charset val="134"/>
      </rPr>
      <t xml:space="preserve">项目名称
</t>
    </r>
    <r>
      <rPr>
        <b/>
        <sz val="10"/>
        <rFont val="Times New Roman"/>
        <family val="1"/>
      </rPr>
      <t xml:space="preserve">Project </t>
    </r>
    <phoneticPr fontId="28" type="noConversion"/>
  </si>
  <si>
    <r>
      <rPr>
        <b/>
        <sz val="10"/>
        <rFont val="宋体"/>
        <family val="3"/>
        <charset val="134"/>
      </rPr>
      <t xml:space="preserve">项目编号
</t>
    </r>
    <r>
      <rPr>
        <b/>
        <sz val="10"/>
        <rFont val="Times New Roman"/>
        <family val="1"/>
      </rPr>
      <t>Project NO.</t>
    </r>
    <phoneticPr fontId="28" type="noConversion"/>
  </si>
  <si>
    <r>
      <rPr>
        <b/>
        <sz val="10"/>
        <rFont val="宋体"/>
        <family val="3"/>
        <charset val="134"/>
      </rPr>
      <t xml:space="preserve">研发经理
</t>
    </r>
    <r>
      <rPr>
        <b/>
        <sz val="10"/>
        <rFont val="Times New Roman"/>
        <family val="1"/>
      </rPr>
      <t>R&amp;D Manager</t>
    </r>
    <phoneticPr fontId="28" type="noConversion"/>
  </si>
  <si>
    <t xml:space="preserve">客户名称
Customer </t>
    <phoneticPr fontId="28" type="noConversion"/>
  </si>
  <si>
    <r>
      <rPr>
        <b/>
        <sz val="10"/>
        <rFont val="宋体"/>
        <family val="3"/>
        <charset val="134"/>
      </rPr>
      <t>顾客批准</t>
    </r>
    <r>
      <rPr>
        <b/>
        <sz val="10"/>
        <rFont val="Times New Roman"/>
        <family val="1"/>
      </rPr>
      <t>/</t>
    </r>
    <r>
      <rPr>
        <b/>
        <sz val="10"/>
        <rFont val="宋体"/>
        <family val="3"/>
        <charset val="134"/>
      </rPr>
      <t xml:space="preserve">日期
</t>
    </r>
    <r>
      <rPr>
        <b/>
        <sz val="10"/>
        <rFont val="Times New Roman"/>
        <family val="1"/>
      </rPr>
      <t>Customer Approval/Date</t>
    </r>
    <phoneticPr fontId="28" type="noConversion"/>
  </si>
  <si>
    <t>搅拌机
(△)</t>
    <phoneticPr fontId="28" type="noConversion"/>
  </si>
  <si>
    <t>OP355</t>
  </si>
  <si>
    <t>OP355</t>
    <phoneticPr fontId="28" type="noConversion"/>
  </si>
  <si>
    <t>负极浆料缓存</t>
    <phoneticPr fontId="28" type="noConversion"/>
  </si>
  <si>
    <t>浆料储存罐</t>
    <phoneticPr fontId="28" type="noConversion"/>
  </si>
  <si>
    <t>浆料储存罐</t>
    <phoneticPr fontId="28" type="noConversion"/>
  </si>
  <si>
    <t>OP360</t>
    <phoneticPr fontId="28" type="noConversion"/>
  </si>
  <si>
    <t>≤45µm</t>
    <phoneticPr fontId="28" type="noConversion"/>
  </si>
  <si>
    <t>☆</t>
    <phoneticPr fontId="28" type="noConversion"/>
  </si>
  <si>
    <t>杨林</t>
    <phoneticPr fontId="28" type="noConversion"/>
  </si>
  <si>
    <r>
      <t>FHJ-</t>
    </r>
    <r>
      <rPr>
        <b/>
        <sz val="10"/>
        <color theme="1"/>
        <rFont val="宋体"/>
        <family val="3"/>
        <charset val="134"/>
      </rPr>
      <t>（</t>
    </r>
    <r>
      <rPr>
        <b/>
        <sz val="10"/>
        <color theme="1"/>
        <rFont val="Times New Roman"/>
        <family val="1"/>
      </rPr>
      <t>Z2-C2)-CP-L300N137B</t>
    </r>
    <phoneticPr fontId="28" type="noConversion"/>
  </si>
  <si>
    <r>
      <t>L300N137B</t>
    </r>
    <r>
      <rPr>
        <b/>
        <sz val="10"/>
        <rFont val="宋体"/>
        <family val="3"/>
        <charset val="134"/>
      </rPr>
      <t>电池开发项目</t>
    </r>
    <phoneticPr fontId="28" type="noConversion"/>
  </si>
  <si>
    <t>L300N137B</t>
    <phoneticPr fontId="28" type="noConversion"/>
  </si>
  <si>
    <t>郭少华</t>
    <phoneticPr fontId="28" type="noConversion"/>
  </si>
  <si>
    <t>PM210912</t>
    <phoneticPr fontId="28" type="noConversion"/>
  </si>
  <si>
    <t>李叶军</t>
    <phoneticPr fontId="28" type="noConversion"/>
  </si>
  <si>
    <t>皮志强</t>
    <phoneticPr fontId="28" type="noConversion"/>
  </si>
  <si>
    <t>郑喜军、肖良禄、丁正亚、郭少华</t>
    <phoneticPr fontId="28" type="noConversion"/>
  </si>
  <si>
    <t>≥12000GS</t>
    <phoneticPr fontId="28" type="noConversion"/>
  </si>
  <si>
    <t>石艳飞</t>
    <phoneticPr fontId="28" type="noConversion"/>
  </si>
  <si>
    <t>L194F128A</t>
    <phoneticPr fontId="28" type="noConversion"/>
  </si>
  <si>
    <r>
      <t>FHJ-</t>
    </r>
    <r>
      <rPr>
        <b/>
        <sz val="10"/>
        <color theme="1"/>
        <rFont val="宋体"/>
        <family val="3"/>
        <charset val="134"/>
      </rPr>
      <t>（</t>
    </r>
    <r>
      <rPr>
        <b/>
        <sz val="10"/>
        <color theme="1"/>
        <rFont val="Times New Roman"/>
        <family val="1"/>
      </rPr>
      <t>Z2-C2)-CP-L194F128A</t>
    </r>
    <phoneticPr fontId="28" type="noConversion"/>
  </si>
  <si>
    <t>A0</t>
    <phoneticPr fontId="28" type="noConversion"/>
  </si>
  <si>
    <r>
      <t>L194F128A</t>
    </r>
    <r>
      <rPr>
        <b/>
        <sz val="10"/>
        <rFont val="宋体"/>
        <family val="3"/>
        <charset val="134"/>
      </rPr>
      <t>电池开发项目</t>
    </r>
    <phoneticPr fontId="28" type="noConversion"/>
  </si>
  <si>
    <t>邰芸翠</t>
    <phoneticPr fontId="28" type="noConversion"/>
  </si>
  <si>
    <t>郑喜军、肖良禄、丁正亚、邰芸翠</t>
    <phoneticPr fontId="28" type="noConversion"/>
  </si>
  <si>
    <t>搅拌</t>
    <phoneticPr fontId="28" type="noConversion"/>
  </si>
  <si>
    <t>PM210815</t>
    <phoneticPr fontId="28" type="noConversion"/>
  </si>
  <si>
    <t>李科锋</t>
    <phoneticPr fontId="28" type="noConversion"/>
  </si>
  <si>
    <t>SP</t>
    <phoneticPr fontId="28" type="noConversion"/>
  </si>
  <si>
    <t>1、通知设备工程师进行排故
2、对纯水进行报废处理</t>
    <phoneticPr fontId="28" type="noConversion"/>
  </si>
  <si>
    <t>高斯计</t>
  </si>
  <si>
    <t>负极合浆工序控制计划
Control Plan of  Anode Mixing</t>
    <phoneticPr fontId="28" type="noConversion"/>
  </si>
  <si>
    <t>合浆工序</t>
    <phoneticPr fontId="28" type="noConversion"/>
  </si>
  <si>
    <t>＜1μS/cm</t>
    <phoneticPr fontId="28" type="noConversion"/>
  </si>
  <si>
    <t>粘度计</t>
    <phoneticPr fontId="28" type="noConversion"/>
  </si>
  <si>
    <t>Z3-C1</t>
    <phoneticPr fontId="28" type="noConversion"/>
  </si>
  <si>
    <t>Z3-C1</t>
    <phoneticPr fontId="28" type="noConversion"/>
  </si>
  <si>
    <t>Z3-C1</t>
    <phoneticPr fontId="28" type="noConversion"/>
  </si>
  <si>
    <t>公差/kg</t>
    <phoneticPr fontId="28" type="noConversion"/>
  </si>
  <si>
    <t>备注</t>
    <phoneticPr fontId="28" type="noConversion"/>
  </si>
  <si>
    <t>ZA11D</t>
    <phoneticPr fontId="28" type="noConversion"/>
  </si>
  <si>
    <t>温度＞35℃，打开冷却水 温度&gt;45℃报警</t>
  </si>
  <si>
    <t>①投75kg主粉
②投SP、CMC2300
③投75kg主粉</t>
    <phoneticPr fontId="28" type="noConversion"/>
  </si>
  <si>
    <t>/</t>
    <phoneticPr fontId="28" type="noConversion"/>
  </si>
  <si>
    <t>CMC2300</t>
    <phoneticPr fontId="28" type="noConversion"/>
  </si>
  <si>
    <t>DI-Water</t>
    <phoneticPr fontId="28" type="noConversion"/>
  </si>
  <si>
    <t>/</t>
    <phoneticPr fontId="28" type="noConversion"/>
  </si>
  <si>
    <t>搅拌</t>
    <phoneticPr fontId="28" type="noConversion"/>
  </si>
  <si>
    <t>≤-85KPa</t>
  </si>
  <si>
    <t>结束后刮桨</t>
    <phoneticPr fontId="28" type="noConversion"/>
  </si>
  <si>
    <t>投料</t>
    <phoneticPr fontId="28" type="noConversion"/>
  </si>
  <si>
    <t>NMP</t>
    <phoneticPr fontId="28" type="noConversion"/>
  </si>
  <si>
    <t>≤-85KPa</t>
    <phoneticPr fontId="28" type="noConversion"/>
  </si>
  <si>
    <t>搅拌</t>
    <phoneticPr fontId="28" type="noConversion"/>
  </si>
  <si>
    <t>≤-85KPa</t>
    <phoneticPr fontId="28" type="noConversion"/>
  </si>
  <si>
    <t>B1601</t>
    <phoneticPr fontId="28" type="noConversion"/>
  </si>
  <si>
    <t>出料粘度3000-6000mPa·s(27#30RPM)</t>
    <phoneticPr fontId="28" type="noConversion"/>
  </si>
  <si>
    <t>储存消泡</t>
    <phoneticPr fontId="28" type="noConversion"/>
  </si>
  <si>
    <t>出料过150目滤网</t>
    <phoneticPr fontId="28" type="noConversion"/>
  </si>
  <si>
    <t>ZA11D</t>
    <phoneticPr fontId="28" type="noConversion"/>
  </si>
  <si>
    <t>LA134D</t>
    <phoneticPr fontId="28" type="noConversion"/>
  </si>
  <si>
    <t>SP</t>
    <phoneticPr fontId="28" type="noConversion"/>
  </si>
  <si>
    <t>CMC2300</t>
    <phoneticPr fontId="28" type="noConversion"/>
  </si>
  <si>
    <t>总和</t>
  </si>
  <si>
    <t>配比</t>
  </si>
  <si>
    <t>固含</t>
  </si>
  <si>
    <t>干重</t>
  </si>
  <si>
    <t>湿重</t>
  </si>
  <si>
    <t>附表1:L221F131A负极合浆工序控制计划附表(300L Y16 PD)</t>
    <phoneticPr fontId="28" type="noConversion"/>
  </si>
  <si>
    <t>1、操作员工执行、记录
2、质检监督记录
3、设备自动控制</t>
    <phoneticPr fontId="28" type="noConversion"/>
  </si>
  <si>
    <r>
      <rPr>
        <b/>
        <sz val="10"/>
        <rFont val="宋体"/>
        <family val="3"/>
        <charset val="134"/>
      </rPr>
      <t xml:space="preserve">生产
</t>
    </r>
    <r>
      <rPr>
        <b/>
        <sz val="10"/>
        <rFont val="Times New Roman"/>
        <family val="1"/>
      </rPr>
      <t>production</t>
    </r>
    <phoneticPr fontId="28" type="noConversion"/>
  </si>
  <si>
    <r>
      <rPr>
        <b/>
        <sz val="10"/>
        <rFont val="宋体"/>
        <family val="3"/>
        <charset val="134"/>
      </rPr>
      <t xml:space="preserve">检验
</t>
    </r>
    <r>
      <rPr>
        <b/>
        <sz val="10"/>
        <rFont val="Times New Roman"/>
        <family val="1"/>
      </rPr>
      <t>Inspection</t>
    </r>
    <phoneticPr fontId="28" type="noConversion"/>
  </si>
  <si>
    <r>
      <rPr>
        <b/>
        <sz val="10"/>
        <rFont val="宋体"/>
        <family val="3"/>
        <charset val="134"/>
      </rPr>
      <t xml:space="preserve">样本
</t>
    </r>
    <r>
      <rPr>
        <b/>
        <sz val="10"/>
        <rFont val="Times New Roman"/>
        <family val="1"/>
      </rPr>
      <t>Sample</t>
    </r>
    <phoneticPr fontId="28" type="noConversion"/>
  </si>
  <si>
    <r>
      <rPr>
        <b/>
        <sz val="10"/>
        <rFont val="宋体"/>
        <family val="3"/>
        <charset val="134"/>
      </rPr>
      <t xml:space="preserve">容量
</t>
    </r>
    <r>
      <rPr>
        <b/>
        <sz val="10"/>
        <rFont val="Times New Roman"/>
        <family val="1"/>
      </rPr>
      <t>Size</t>
    </r>
    <phoneticPr fontId="28" type="noConversion"/>
  </si>
  <si>
    <r>
      <rPr>
        <b/>
        <sz val="10"/>
        <rFont val="宋体"/>
        <family val="3"/>
        <charset val="134"/>
      </rPr>
      <t xml:space="preserve">频率
</t>
    </r>
    <r>
      <rPr>
        <b/>
        <sz val="10"/>
        <rFont val="Times New Roman"/>
        <family val="1"/>
      </rPr>
      <t>Frequency</t>
    </r>
    <phoneticPr fontId="28" type="noConversion"/>
  </si>
  <si>
    <t>工序</t>
  </si>
  <si>
    <t>评价/测量设备</t>
  </si>
  <si>
    <t>防错装置</t>
  </si>
  <si>
    <t>防错级别</t>
  </si>
  <si>
    <t>防错检出结果</t>
  </si>
  <si>
    <t>防错装置功能描述</t>
  </si>
  <si>
    <t>防错验证类型</t>
  </si>
  <si>
    <t>验证方法</t>
  </si>
  <si>
    <t>防错验证频次</t>
  </si>
  <si>
    <t>防错样件名称</t>
  </si>
  <si>
    <t>防错样件编号</t>
  </si>
  <si>
    <t>防错样件类型（缺陷/计量）</t>
    <phoneticPr fontId="28" type="noConversion"/>
  </si>
  <si>
    <t>防错样件规格</t>
  </si>
  <si>
    <t>防错样件精度</t>
  </si>
  <si>
    <t>防错样件校准/确认频次</t>
  </si>
  <si>
    <t>反应计划</t>
  </si>
  <si>
    <t>合浆</t>
  </si>
  <si>
    <t>警告</t>
  </si>
  <si>
    <t>NG</t>
  </si>
  <si>
    <t>1、暂停生产；
2、对不合格品进行标识隔离，通知质检员或质量工程师按照不合格品处理流程进行处理；
3、通知技术员或设备工程师分析处理；
4、进行作业准备验证后开机。</t>
  </si>
  <si>
    <t>其中防错级别（能够根据判定做出反应的装置）有三种：</t>
  </si>
  <si>
    <t>防错验证方式有三种：</t>
    <phoneticPr fontId="28" type="noConversion"/>
  </si>
  <si>
    <t>防错样件类型有两种：</t>
    <phoneticPr fontId="28" type="noConversion"/>
  </si>
  <si>
    <t>（1）防止：不制造缺陷，具有闭环控制功能的防错装置。如，涂布面密度β射线闭环控制。
（2）警告：当错误发生时可以自动发出信号（报警、提示界面等）的防错装置。如，充氦气机构无氦气时可报警。
（3）发现：不传递缺陷，当出现不合格品时系统会自动挑出的防错装置，比如装配线上电芯称重不合格后会挑选出来。</t>
  </si>
  <si>
    <t>（1）挑战参数：设置设备参数不符合工艺要求，看设备是否发出警告；
（2）挑战件：具有已知规范、经校准并且可追溯到标准的产品或工装，其预期结果（通过或不通过）用于确认防错装置或检具（如通止规）的功能性；
（3）OK/NG样件：当挑战件无法获取时，可使用合格/不合格的产品或工装作为防错样件，验证防错装置的功能性；</t>
    <phoneticPr fontId="28" type="noConversion"/>
  </si>
  <si>
    <t xml:space="preserve">（1）计量样件：防错样件的规格是可定量的。
（2）缺陷样件：防错样件的规格是不可定量的，是指通过防错装置时能证明不符合操作或者能被探测出的外观缺陷的产品/工装。
</t>
    <phoneticPr fontId="28" type="noConversion"/>
  </si>
  <si>
    <t>负极合浆设备</t>
  </si>
  <si>
    <t>设备自动报警</t>
  </si>
  <si>
    <t>温度超出设置会报警</t>
  </si>
  <si>
    <t>挑战参数</t>
  </si>
  <si>
    <t>实际温度高出设定2℃报警</t>
  </si>
  <si>
    <t>1次/每月</t>
    <phoneticPr fontId="28" type="noConversion"/>
  </si>
  <si>
    <t>流程归档后自动生效</t>
    <phoneticPr fontId="28" type="noConversion"/>
  </si>
  <si>
    <t>文审
DCC</t>
    <phoneticPr fontId="28" type="noConversion"/>
  </si>
  <si>
    <t>审核
Audit</t>
    <phoneticPr fontId="28" type="noConversion"/>
  </si>
  <si>
    <t>会签
Countersign</t>
    <phoneticPr fontId="28" type="noConversion"/>
  </si>
  <si>
    <t>物料转运确认1次，投料前确认1次</t>
  </si>
  <si>
    <t>每4小时</t>
  </si>
  <si>
    <t>每次</t>
  </si>
  <si>
    <t>更换前确认
/1次</t>
  </si>
  <si>
    <t>安装前确认</t>
  </si>
  <si>
    <t>批准
Approval</t>
    <phoneticPr fontId="28" type="noConversion"/>
  </si>
  <si>
    <t>李晓坡</t>
    <phoneticPr fontId="28" type="noConversion"/>
  </si>
  <si>
    <t>/</t>
    <phoneticPr fontId="28" type="noConversion"/>
  </si>
  <si>
    <r>
      <rPr>
        <b/>
        <sz val="10"/>
        <rFont val="宋体"/>
        <family val="3"/>
        <charset val="134"/>
      </rPr>
      <t>顾客批准</t>
    </r>
    <r>
      <rPr>
        <b/>
        <sz val="10"/>
        <rFont val="Times New Roman"/>
        <family val="1"/>
      </rPr>
      <t>/</t>
    </r>
    <r>
      <rPr>
        <b/>
        <sz val="10"/>
        <rFont val="宋体"/>
        <family val="3"/>
        <charset val="134"/>
      </rPr>
      <t xml:space="preserve">日期
</t>
    </r>
    <r>
      <rPr>
        <b/>
        <sz val="10"/>
        <rFont val="Times New Roman"/>
        <family val="1"/>
      </rPr>
      <t>Customer Approval/Date</t>
    </r>
    <phoneticPr fontId="28" type="noConversion"/>
  </si>
  <si>
    <t xml:space="preserve">客户名称
Customer </t>
    <phoneticPr fontId="28" type="noConversion"/>
  </si>
  <si>
    <t>Z3-C1</t>
    <phoneticPr fontId="28" type="noConversion"/>
  </si>
  <si>
    <t>负极合浆工序控制计划
Control Plan of  Anode Mixing</t>
    <phoneticPr fontId="28" type="noConversion"/>
  </si>
  <si>
    <t>会签
Countersign</t>
    <phoneticPr fontId="42" type="noConversion"/>
  </si>
  <si>
    <t>批准
Approval</t>
    <phoneticPr fontId="42" type="noConversion"/>
  </si>
  <si>
    <t>李晓坡</t>
    <phoneticPr fontId="42" type="noConversion"/>
  </si>
  <si>
    <t>文控
DCC</t>
    <phoneticPr fontId="28" type="noConversion"/>
  </si>
  <si>
    <r>
      <rPr>
        <b/>
        <sz val="10"/>
        <rFont val="宋体"/>
        <family val="3"/>
        <charset val="134"/>
      </rPr>
      <t xml:space="preserve">文控
</t>
    </r>
    <r>
      <rPr>
        <b/>
        <sz val="10"/>
        <rFont val="Times New Roman"/>
        <family val="1"/>
      </rPr>
      <t>DCC</t>
    </r>
    <phoneticPr fontId="42" type="noConversion"/>
  </si>
  <si>
    <t xml:space="preserve">  合浆工步</t>
    <phoneticPr fontId="28" type="noConversion"/>
  </si>
  <si>
    <t>一次/3天</t>
    <phoneticPr fontId="28" type="noConversion"/>
  </si>
  <si>
    <t>江苏基地/JS中试工厂/Y16试制车间</t>
    <phoneticPr fontId="28" type="noConversion"/>
  </si>
  <si>
    <t>江苏基地/JS中试工厂/Y16试制车间(检验)</t>
    <phoneticPr fontId="28" type="noConversion"/>
  </si>
  <si>
    <t>发放份数</t>
    <phoneticPr fontId="28" type="noConversion"/>
  </si>
  <si>
    <t>陈颖</t>
    <phoneticPr fontId="42" type="noConversion"/>
  </si>
  <si>
    <t>王春光</t>
    <phoneticPr fontId="42" type="noConversion"/>
  </si>
  <si>
    <t>陈颖</t>
    <phoneticPr fontId="28" type="noConversion"/>
  </si>
  <si>
    <t>王春光</t>
    <phoneticPr fontId="28" type="noConversion"/>
  </si>
  <si>
    <t>洁净度仪</t>
    <phoneticPr fontId="28" type="noConversion"/>
  </si>
  <si>
    <t>1、质检点检并记录
2、定期校准洁净度仪</t>
    <phoneticPr fontId="28" type="noConversion"/>
  </si>
  <si>
    <t>电子秤</t>
    <phoneticPr fontId="28" type="noConversion"/>
  </si>
  <si>
    <t>1、操作员工执行、记录
2、质检监督记录
3、设备自动控制
4、计量定期校验温度传感器（见附表3）</t>
    <phoneticPr fontId="28" type="noConversion"/>
  </si>
  <si>
    <t>1、操作员工执行、记录
2、质检监督记录
3、设备自动控制
4、计量定期校验</t>
    <phoneticPr fontId="28" type="noConversion"/>
  </si>
  <si>
    <r>
      <rPr>
        <b/>
        <sz val="10"/>
        <rFont val="宋体"/>
        <family val="3"/>
        <charset val="134"/>
      </rPr>
      <t xml:space="preserve">项目名称
</t>
    </r>
    <r>
      <rPr>
        <b/>
        <sz val="10"/>
        <rFont val="Times New Roman"/>
        <family val="1"/>
      </rPr>
      <t xml:space="preserve">Project </t>
    </r>
    <phoneticPr fontId="28" type="noConversion"/>
  </si>
  <si>
    <r>
      <rPr>
        <b/>
        <sz val="10"/>
        <rFont val="宋体"/>
        <family val="3"/>
        <charset val="134"/>
      </rPr>
      <t xml:space="preserve">项目编号
</t>
    </r>
    <r>
      <rPr>
        <b/>
        <sz val="10"/>
        <rFont val="Times New Roman"/>
        <family val="1"/>
      </rPr>
      <t>Project NO.</t>
    </r>
    <phoneticPr fontId="28" type="noConversion"/>
  </si>
  <si>
    <r>
      <rPr>
        <b/>
        <sz val="10"/>
        <rFont val="宋体"/>
        <family val="3"/>
        <charset val="134"/>
      </rPr>
      <t xml:space="preserve">研发经理
</t>
    </r>
    <r>
      <rPr>
        <b/>
        <sz val="10"/>
        <rFont val="Times New Roman"/>
        <family val="1"/>
      </rPr>
      <t>R&amp;D Manager</t>
    </r>
    <phoneticPr fontId="28" type="noConversion"/>
  </si>
  <si>
    <t>钱建业</t>
    <phoneticPr fontId="28" type="noConversion"/>
  </si>
  <si>
    <t>钱建业</t>
    <phoneticPr fontId="28" type="noConversion"/>
  </si>
  <si>
    <t>L246N183A</t>
    <phoneticPr fontId="28" type="noConversion"/>
  </si>
  <si>
    <t>/</t>
    <phoneticPr fontId="28" type="noConversion"/>
  </si>
  <si>
    <t>PM240707</t>
    <phoneticPr fontId="28" type="noConversion"/>
  </si>
  <si>
    <t>郭少华</t>
    <phoneticPr fontId="28" type="noConversion"/>
  </si>
  <si>
    <r>
      <t>L246N183A</t>
    </r>
    <r>
      <rPr>
        <b/>
        <sz val="10"/>
        <rFont val="宋体"/>
        <family val="3"/>
        <charset val="134"/>
      </rPr>
      <t>电池开发项目</t>
    </r>
    <phoneticPr fontId="28" type="noConversion"/>
  </si>
  <si>
    <r>
      <t xml:space="preserve">           JS-Z3-C1-</t>
    </r>
    <r>
      <rPr>
        <b/>
        <i/>
        <sz val="12"/>
        <color theme="1"/>
        <rFont val="等线"/>
        <family val="3"/>
        <charset val="134"/>
      </rPr>
      <t>L246N183A</t>
    </r>
    <r>
      <rPr>
        <b/>
        <sz val="12"/>
        <color theme="1"/>
        <rFont val="等线"/>
        <family val="3"/>
        <charset val="134"/>
      </rPr>
      <t>型号</t>
    </r>
    <r>
      <rPr>
        <b/>
        <i/>
        <sz val="12"/>
        <color theme="1"/>
        <rFont val="等线"/>
        <family val="3"/>
        <charset val="134"/>
      </rPr>
      <t>合浆</t>
    </r>
    <r>
      <rPr>
        <b/>
        <sz val="12"/>
        <color theme="1"/>
        <rFont val="等线"/>
        <family val="3"/>
        <charset val="134"/>
      </rPr>
      <t>工序防错清单</t>
    </r>
    <phoneticPr fontId="28" type="noConversion"/>
  </si>
  <si>
    <t>郭少华</t>
    <phoneticPr fontId="28" type="noConversion"/>
  </si>
  <si>
    <r>
      <t>L246N183A</t>
    </r>
    <r>
      <rPr>
        <b/>
        <sz val="10"/>
        <rFont val="宋体"/>
        <family val="3"/>
        <charset val="134"/>
      </rPr>
      <t>电池开发项目</t>
    </r>
    <phoneticPr fontId="28" type="noConversion"/>
  </si>
  <si>
    <t>1、操作员工执行、记录
2、质检监督记录
3、设备自动控制
4、计量定期校验</t>
    <phoneticPr fontId="28" type="noConversion"/>
  </si>
  <si>
    <t>1、合浆工步完成后由质检员检测
2、定期校准细度计</t>
    <phoneticPr fontId="28" type="noConversion"/>
  </si>
  <si>
    <t>使用时间≤24个月</t>
    <phoneticPr fontId="28" type="noConversion"/>
  </si>
  <si>
    <t>150目+200目</t>
    <phoneticPr fontId="28" type="noConversion"/>
  </si>
  <si>
    <t xml:space="preserve"> JSZ3-C1-L246N183A型号负极合浆工序防错清单</t>
    <phoneticPr fontId="28" type="noConversion"/>
  </si>
  <si>
    <t xml:space="preserve"> JSZ3-C1-L246N183A型号负极合浆工序防错清单</t>
    <phoneticPr fontId="28" type="noConversion"/>
  </si>
  <si>
    <t>RH≤20%</t>
    <phoneticPr fontId="28" type="noConversion"/>
  </si>
  <si>
    <t>1、点检并记录
2、质量部门对磁感应强度进行抽检
3、计量负责磁棒进厂首次校验</t>
  </si>
  <si>
    <t>1、设备工程师更换磁棒
2、对已产出可疑产品进行追溯，识别并隔离异常产品，并通知工艺、质量工程师进行判定。</t>
  </si>
  <si>
    <t>三个月</t>
    <phoneticPr fontId="28" type="noConversion"/>
  </si>
  <si>
    <t>PM240707-005</t>
    <phoneticPr fontId="42" type="noConversion"/>
  </si>
  <si>
    <t>PM240707-013</t>
    <phoneticPr fontId="28" type="noConversion"/>
  </si>
  <si>
    <t>1、检验
2、定期校验</t>
    <phoneticPr fontId="28" type="noConversion"/>
  </si>
  <si>
    <t>1、操作员工点检物料，并记录
2、质检确认记录结果</t>
    <phoneticPr fontId="28" type="noConversion"/>
  </si>
  <si>
    <t>1、生产点检并记录
2、定期校准温湿度计</t>
    <phoneticPr fontId="28" type="noConversion"/>
  </si>
  <si>
    <t>真空度超出设置会报警</t>
  </si>
  <si>
    <t>实际真空度大于或低于（-0.085±0.005）Mpa</t>
  </si>
  <si>
    <t>附表2：搅拌机真空度挑战参数检测表</t>
    <phoneticPr fontId="28" type="noConversion"/>
  </si>
  <si>
    <t>附表3：合浆机温度挑战参数检测表</t>
    <phoneticPr fontId="28" type="noConversion"/>
  </si>
  <si>
    <t>静态10万级</t>
    <phoneticPr fontId="28" type="noConversion"/>
  </si>
  <si>
    <t>B0</t>
    <phoneticPr fontId="28" type="noConversion"/>
  </si>
  <si>
    <t>2024.11.29</t>
    <phoneticPr fontId="28" type="noConversion"/>
  </si>
  <si>
    <r>
      <t xml:space="preserve">  </t>
    </r>
    <r>
      <rPr>
        <b/>
        <sz val="10"/>
        <rFont val="宋体"/>
        <family val="3"/>
        <charset val="134"/>
      </rPr>
      <t>□</t>
    </r>
    <r>
      <rPr>
        <b/>
        <sz val="10"/>
        <rFont val="Times New Roman"/>
        <family val="1"/>
      </rPr>
      <t xml:space="preserve"> 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  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A-Sample         B-Sample         C-Sample      Pre-production      Production</t>
    </r>
    <phoneticPr fontId="28" type="noConversion"/>
  </si>
  <si>
    <t>B1</t>
    <phoneticPr fontId="28" type="noConversion"/>
  </si>
  <si>
    <t>版本升级</t>
    <phoneticPr fontId="28" type="noConversion"/>
  </si>
  <si>
    <t>A0</t>
    <phoneticPr fontId="28" type="noConversion"/>
  </si>
  <si>
    <r>
      <t>A</t>
    </r>
    <r>
      <rPr>
        <sz val="11"/>
        <rFont val="宋体"/>
        <family val="3"/>
        <charset val="134"/>
      </rPr>
      <t>样文件首版发行</t>
    </r>
    <phoneticPr fontId="28" type="noConversion"/>
  </si>
  <si>
    <t>2024.7.29</t>
    <phoneticPr fontId="28" type="noConversion"/>
  </si>
  <si>
    <t>2025.02.17</t>
    <phoneticPr fontId="28" type="noConversion"/>
  </si>
  <si>
    <t>陈颖</t>
    <phoneticPr fontId="28" type="noConversion"/>
  </si>
  <si>
    <t>B2</t>
    <phoneticPr fontId="28" type="noConversion"/>
  </si>
  <si>
    <t>2025.06.16</t>
    <phoneticPr fontId="28" type="noConversion"/>
  </si>
  <si>
    <t>B2</t>
    <phoneticPr fontId="28" type="noConversion"/>
  </si>
  <si>
    <t>一次/7天</t>
    <phoneticPr fontId="28" type="noConversion"/>
  </si>
  <si>
    <t>一次/7天</t>
    <phoneticPr fontId="28" type="noConversion"/>
  </si>
  <si>
    <t>B2</t>
    <phoneticPr fontId="28" type="noConversion"/>
  </si>
  <si>
    <t>上层浆料：（2500～4500）mPa·s
下层浆料：（3500～5500）mPa·s</t>
    <phoneticPr fontId="28" type="noConversion"/>
  </si>
  <si>
    <t>高博、郭少华、杨洁、冯震世、徐建伟、顾梦洁、邢晨、丁正亚</t>
    <phoneticPr fontId="42" type="noConversion"/>
  </si>
  <si>
    <t>高博、郭少华、杨洁、冯震世、徐建伟、顾梦洁、邢晨、丁正亚</t>
    <phoneticPr fontId="28" type="noConversion"/>
  </si>
  <si>
    <t>上层浆料：(52.5±1)%
下层浆料：(54.0±1)%</t>
    <phoneticPr fontId="28" type="noConversion"/>
  </si>
  <si>
    <r>
      <rPr>
        <sz val="11"/>
        <rFont val="宋体"/>
        <family val="3"/>
        <charset val="134"/>
      </rPr>
      <t>负极上层第</t>
    </r>
    <r>
      <rPr>
        <sz val="11"/>
        <rFont val="Times New Roman"/>
        <family val="1"/>
      </rPr>
      <t>12</t>
    </r>
    <r>
      <rPr>
        <sz val="11"/>
        <rFont val="宋体"/>
        <family val="3"/>
        <charset val="134"/>
      </rPr>
      <t>步纯水由</t>
    </r>
    <r>
      <rPr>
        <sz val="11"/>
        <rFont val="Times New Roman"/>
        <family val="1"/>
      </rPr>
      <t>21kg</t>
    </r>
    <r>
      <rPr>
        <sz val="11"/>
        <rFont val="宋体"/>
        <family val="3"/>
        <charset val="134"/>
      </rPr>
      <t>变更为</t>
    </r>
    <r>
      <rPr>
        <sz val="11"/>
        <rFont val="Times New Roman"/>
        <family val="1"/>
      </rPr>
      <t>20.5kg</t>
    </r>
    <r>
      <rPr>
        <sz val="11"/>
        <rFont val="宋体"/>
        <family val="3"/>
        <charset val="134"/>
      </rPr>
      <t>；
负极下层第</t>
    </r>
    <r>
      <rPr>
        <sz val="11"/>
        <rFont val="Times New Roman"/>
        <family val="1"/>
      </rPr>
      <t>12</t>
    </r>
    <r>
      <rPr>
        <sz val="11"/>
        <rFont val="宋体"/>
        <family val="3"/>
        <charset val="134"/>
      </rPr>
      <t>步纯水由</t>
    </r>
    <r>
      <rPr>
        <sz val="11"/>
        <rFont val="Times New Roman"/>
        <family val="1"/>
      </rPr>
      <t>13kg</t>
    </r>
    <r>
      <rPr>
        <sz val="11"/>
        <rFont val="宋体"/>
        <family val="3"/>
        <charset val="134"/>
      </rPr>
      <t>变更为</t>
    </r>
    <r>
      <rPr>
        <sz val="11"/>
        <rFont val="Times New Roman"/>
        <family val="1"/>
      </rPr>
      <t>15kg</t>
    </r>
    <r>
      <rPr>
        <sz val="11"/>
        <rFont val="宋体"/>
        <family val="3"/>
        <charset val="134"/>
      </rPr>
      <t>。</t>
    </r>
    <phoneticPr fontId="28" type="noConversion"/>
  </si>
  <si>
    <r>
      <rPr>
        <sz val="11"/>
        <rFont val="宋体"/>
        <family val="3"/>
        <charset val="134"/>
      </rPr>
      <t xml:space="preserve">
负极上层第八步纯水由</t>
    </r>
    <r>
      <rPr>
        <sz val="11"/>
        <rFont val="Times New Roman"/>
        <family val="1"/>
      </rPr>
      <t>12kg</t>
    </r>
    <r>
      <rPr>
        <sz val="11"/>
        <rFont val="宋体"/>
        <family val="3"/>
        <charset val="134"/>
      </rPr>
      <t>变更为</t>
    </r>
    <r>
      <rPr>
        <sz val="11"/>
        <rFont val="Times New Roman"/>
        <family val="1"/>
      </rPr>
      <t>18kg</t>
    </r>
    <r>
      <rPr>
        <sz val="11"/>
        <rFont val="宋体"/>
        <family val="3"/>
        <charset val="134"/>
      </rPr>
      <t>，第十一步纯水由</t>
    </r>
    <r>
      <rPr>
        <sz val="11"/>
        <rFont val="Times New Roman"/>
        <family val="1"/>
      </rPr>
      <t>18kg</t>
    </r>
    <r>
      <rPr>
        <sz val="11"/>
        <rFont val="宋体"/>
        <family val="3"/>
        <charset val="134"/>
      </rPr>
      <t>变更为</t>
    </r>
    <r>
      <rPr>
        <sz val="11"/>
        <rFont val="Times New Roman"/>
        <family val="1"/>
      </rPr>
      <t>21kg</t>
    </r>
    <r>
      <rPr>
        <sz val="11"/>
        <rFont val="宋体"/>
        <family val="3"/>
        <charset val="134"/>
      </rPr>
      <t>，
出料固含由</t>
    </r>
    <r>
      <rPr>
        <sz val="11"/>
        <rFont val="Times New Roman"/>
        <family val="1"/>
      </rPr>
      <t>53.5</t>
    </r>
    <r>
      <rPr>
        <sz val="11"/>
        <rFont val="宋体"/>
        <family val="3"/>
        <charset val="134"/>
      </rPr>
      <t>±</t>
    </r>
    <r>
      <rPr>
        <sz val="11"/>
        <rFont val="Times New Roman"/>
        <family val="1"/>
      </rPr>
      <t>1%</t>
    </r>
    <r>
      <rPr>
        <sz val="11"/>
        <rFont val="宋体"/>
        <family val="3"/>
        <charset val="134"/>
      </rPr>
      <t>变更为</t>
    </r>
    <r>
      <rPr>
        <sz val="11"/>
        <rFont val="Times New Roman"/>
        <family val="1"/>
      </rPr>
      <t>52.5</t>
    </r>
    <r>
      <rPr>
        <sz val="11"/>
        <rFont val="宋体"/>
        <family val="3"/>
        <charset val="134"/>
      </rPr>
      <t>±</t>
    </r>
    <r>
      <rPr>
        <sz val="11"/>
        <rFont val="Times New Roman"/>
        <family val="1"/>
      </rPr>
      <t>1%</t>
    </r>
    <r>
      <rPr>
        <sz val="11"/>
        <rFont val="宋体"/>
        <family val="3"/>
        <charset val="134"/>
      </rPr>
      <t>；</t>
    </r>
    <r>
      <rPr>
        <sz val="11"/>
        <rFont val="Times New Roman"/>
        <family val="1"/>
      </rPr>
      <t xml:space="preserve">
</t>
    </r>
    <r>
      <rPr>
        <sz val="11"/>
        <rFont val="宋体"/>
        <family val="3"/>
        <charset val="134"/>
      </rPr>
      <t>负极下层第</t>
    </r>
    <r>
      <rPr>
        <sz val="11"/>
        <rFont val="Times New Roman"/>
        <family val="1"/>
      </rPr>
      <t>5</t>
    </r>
    <r>
      <rPr>
        <sz val="11"/>
        <rFont val="宋体"/>
        <family val="3"/>
        <charset val="134"/>
      </rPr>
      <t>步纯水</t>
    </r>
    <r>
      <rPr>
        <sz val="11"/>
        <rFont val="Times New Roman"/>
        <family val="1"/>
      </rPr>
      <t>54kg</t>
    </r>
    <r>
      <rPr>
        <sz val="11"/>
        <rFont val="宋体"/>
        <family val="3"/>
        <charset val="134"/>
      </rPr>
      <t>变更为</t>
    </r>
    <r>
      <rPr>
        <sz val="11"/>
        <rFont val="Times New Roman"/>
        <family val="1"/>
      </rPr>
      <t>44kg</t>
    </r>
    <r>
      <rPr>
        <sz val="11"/>
        <rFont val="宋体"/>
        <family val="3"/>
        <charset val="134"/>
      </rPr>
      <t>，第</t>
    </r>
    <r>
      <rPr>
        <sz val="11"/>
        <rFont val="Times New Roman"/>
        <family val="1"/>
      </rPr>
      <t>11</t>
    </r>
    <r>
      <rPr>
        <sz val="11"/>
        <rFont val="宋体"/>
        <family val="3"/>
        <charset val="134"/>
      </rPr>
      <t>步纯水</t>
    </r>
    <r>
      <rPr>
        <sz val="11"/>
        <rFont val="Times New Roman"/>
        <family val="1"/>
      </rPr>
      <t>21kg</t>
    </r>
    <r>
      <rPr>
        <sz val="11"/>
        <rFont val="宋体"/>
        <family val="3"/>
        <charset val="134"/>
      </rPr>
      <t>变更为</t>
    </r>
    <r>
      <rPr>
        <sz val="11"/>
        <rFont val="Times New Roman"/>
        <family val="1"/>
      </rPr>
      <t xml:space="preserve">13kg  </t>
    </r>
    <r>
      <rPr>
        <sz val="11"/>
        <rFont val="宋体"/>
        <family val="3"/>
        <charset val="134"/>
      </rPr>
      <t>粘度变更为</t>
    </r>
    <r>
      <rPr>
        <sz val="11"/>
        <rFont val="Times New Roman"/>
        <family val="1"/>
      </rPr>
      <t xml:space="preserve">3500-5500 </t>
    </r>
    <r>
      <rPr>
        <sz val="11"/>
        <rFont val="宋体"/>
        <family val="3"/>
        <charset val="134"/>
      </rPr>
      <t>；固含由</t>
    </r>
    <r>
      <rPr>
        <sz val="11"/>
        <rFont val="Times New Roman"/>
        <family val="1"/>
      </rPr>
      <t>53</t>
    </r>
    <r>
      <rPr>
        <sz val="11"/>
        <rFont val="宋体"/>
        <family val="3"/>
        <charset val="134"/>
      </rPr>
      <t>±</t>
    </r>
    <r>
      <rPr>
        <sz val="11"/>
        <rFont val="Times New Roman"/>
        <family val="1"/>
      </rPr>
      <t>1%</t>
    </r>
    <r>
      <rPr>
        <sz val="11"/>
        <rFont val="宋体"/>
        <family val="3"/>
        <charset val="134"/>
      </rPr>
      <t>变更为</t>
    </r>
    <r>
      <rPr>
        <sz val="11"/>
        <rFont val="Times New Roman"/>
        <family val="1"/>
      </rPr>
      <t>54</t>
    </r>
    <r>
      <rPr>
        <sz val="11"/>
        <rFont val="宋体"/>
        <family val="3"/>
        <charset val="134"/>
      </rPr>
      <t>±</t>
    </r>
    <r>
      <rPr>
        <sz val="11"/>
        <rFont val="Times New Roman"/>
        <family val="1"/>
      </rPr>
      <t>1%</t>
    </r>
    <r>
      <rPr>
        <sz val="11"/>
        <rFont val="宋体"/>
        <family val="3"/>
        <charset val="134"/>
      </rPr>
      <t>；</t>
    </r>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</si>
</sst>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6" formatCode="0.000"/>
    <numFmt numFmtId="177" formatCode="[$-409]mmm/yy;@"/>
    <numFmt numFmtId="178" formatCode="0_ "/>
    <numFmt numFmtId="179" formatCode="0_);[Red]\(0\)"/>
    <numFmt numFmtId="180" formatCode="0.0%"/>
    <numFmt numFmtId="181" formatCode="0.00_);[Red]\(0.00\)"/>
    <numFmt numFmtId="182" formatCode="0.000_);[Red]\(0.000\)"/>
  </numFmts>
  <fonts count="44" x14ac:knownFonts="1">
    <font>
      <sz val="11"/>
      <color theme="1"/>
      <name val="宋体"/>
      <charset val="134"/>
      <scheme val="minor"/>
    </font>
    <font>
      <sz val="11"/>
      <name val="Times New Roman"/>
      <family val="1"/>
    </font>
    <font>
      <b/>
      <sz val="18"/>
      <name val="宋体"/>
      <family val="3"/>
      <charset val="134"/>
    </font>
    <font>
      <b/>
      <sz val="10"/>
      <name val="Times New Roman"/>
      <family val="1"/>
    </font>
    <font>
      <b/>
      <sz val="10"/>
      <color theme="1"/>
      <name val="Times New Roman"/>
      <family val="1"/>
    </font>
    <font>
      <sz val="10"/>
      <name val="Times New Roman"/>
      <family val="1"/>
    </font>
    <font>
      <b/>
      <sz val="10"/>
      <name val="宋体"/>
      <family val="3"/>
      <charset val="134"/>
    </font>
    <font>
      <sz val="10"/>
      <name val="宋体"/>
      <family val="3"/>
      <charset val="134"/>
    </font>
    <font>
      <b/>
      <sz val="10"/>
      <color theme="1"/>
      <name val="宋体"/>
      <family val="3"/>
      <charset val="134"/>
    </font>
    <font>
      <sz val="14"/>
      <name val="Times New Roman"/>
      <family val="1"/>
    </font>
    <font>
      <sz val="10"/>
      <name val="宋体"/>
      <family val="3"/>
      <charset val="134"/>
      <scheme val="minor"/>
    </font>
    <font>
      <sz val="11"/>
      <name val="宋体"/>
      <family val="3"/>
      <charset val="134"/>
    </font>
    <font>
      <sz val="10"/>
      <color theme="1"/>
      <name val="宋体"/>
      <family val="3"/>
      <charset val="134"/>
      <scheme val="minor"/>
    </font>
    <font>
      <b/>
      <sz val="18"/>
      <name val="Times New Roman"/>
      <family val="1"/>
    </font>
    <font>
      <b/>
      <sz val="12"/>
      <color theme="1"/>
      <name val="宋体"/>
      <family val="3"/>
      <charset val="134"/>
    </font>
    <font>
      <sz val="12"/>
      <color theme="1"/>
      <name val="宋体"/>
      <family val="3"/>
      <charset val="134"/>
    </font>
    <font>
      <sz val="12"/>
      <color theme="1"/>
      <name val="Times New Roman"/>
      <family val="1"/>
    </font>
    <font>
      <sz val="11"/>
      <color theme="1"/>
      <name val="Times New Roman"/>
      <family val="1"/>
    </font>
    <font>
      <b/>
      <sz val="16"/>
      <color theme="1"/>
      <name val="Times New Roman"/>
      <family val="1"/>
    </font>
    <font>
      <sz val="11"/>
      <color theme="1"/>
      <name val="宋体"/>
      <family val="3"/>
      <charset val="134"/>
    </font>
    <font>
      <b/>
      <sz val="16"/>
      <name val="Times New Roman"/>
      <family val="1"/>
    </font>
    <font>
      <sz val="12"/>
      <name val="宋体"/>
      <family val="3"/>
      <charset val="134"/>
    </font>
    <font>
      <sz val="12"/>
      <name val="Times New Roman"/>
      <family val="1"/>
    </font>
    <font>
      <b/>
      <sz val="12"/>
      <color theme="1"/>
      <name val="Times New Roman"/>
      <family val="1"/>
    </font>
    <font>
      <sz val="11"/>
      <color theme="1"/>
      <name val="宋体"/>
      <family val="3"/>
      <charset val="134"/>
      <scheme val="minor"/>
    </font>
    <font>
      <sz val="11"/>
      <color theme="1"/>
      <name val="宋体"/>
      <family val="3"/>
      <charset val="134"/>
      <scheme val="minor"/>
    </font>
    <font>
      <sz val="11"/>
      <color indexed="8"/>
      <name val="宋体"/>
      <family val="3"/>
      <charset val="134"/>
    </font>
    <font>
      <b/>
      <sz val="16"/>
      <color theme="1"/>
      <name val="宋体"/>
      <family val="3"/>
      <charset val="134"/>
    </font>
    <font>
      <sz val="9"/>
      <name val="宋体"/>
      <family val="3"/>
      <charset val="134"/>
      <scheme val="minor"/>
    </font>
    <font>
      <b/>
      <sz val="10"/>
      <name val="宋体"/>
      <family val="3"/>
      <charset val="134"/>
      <scheme val="minor"/>
    </font>
    <font>
      <sz val="9"/>
      <name val="宋体"/>
      <family val="3"/>
      <charset val="134"/>
      <scheme val="minor"/>
    </font>
    <font>
      <b/>
      <sz val="10"/>
      <color theme="1"/>
      <name val="宋体"/>
      <family val="3"/>
      <charset val="134"/>
      <scheme val="minor"/>
    </font>
    <font>
      <sz val="10"/>
      <color rgb="FFFF0000"/>
      <name val="宋体"/>
      <family val="3"/>
      <charset val="134"/>
      <scheme val="minor"/>
    </font>
    <font>
      <b/>
      <sz val="14"/>
      <name val="宋体"/>
      <family val="3"/>
      <charset val="134"/>
      <scheme val="minor"/>
    </font>
    <font>
      <b/>
      <sz val="10"/>
      <color rgb="FFFF0000"/>
      <name val="宋体"/>
      <family val="3"/>
      <charset val="134"/>
      <scheme val="minor"/>
    </font>
    <font>
      <sz val="9"/>
      <name val="宋体"/>
      <family val="3"/>
      <charset val="134"/>
    </font>
    <font>
      <b/>
      <sz val="9"/>
      <name val="等线"/>
      <family val="3"/>
      <charset val="134"/>
    </font>
    <font>
      <b/>
      <sz val="8"/>
      <name val="等线"/>
      <family val="3"/>
      <charset val="134"/>
    </font>
    <font>
      <b/>
      <sz val="8"/>
      <name val="微软雅黑"/>
      <family val="2"/>
      <charset val="134"/>
    </font>
    <font>
      <b/>
      <sz val="6"/>
      <name val="等线"/>
      <family val="3"/>
      <charset val="134"/>
    </font>
    <font>
      <b/>
      <sz val="12"/>
      <color theme="1"/>
      <name val="等线"/>
      <family val="3"/>
      <charset val="134"/>
    </font>
    <font>
      <b/>
      <i/>
      <sz val="12"/>
      <color theme="1"/>
      <name val="等线"/>
      <family val="3"/>
      <charset val="134"/>
    </font>
    <font>
      <sz val="9"/>
      <name val="宋体"/>
      <family val="3"/>
      <charset val="134"/>
      <scheme val="minor"/>
    </font>
    <font>
      <sz val="10"/>
      <color theme="1"/>
      <name val="宋体"/>
      <family val="3"/>
      <charset val="134"/>
    </font>
  </fonts>
  <fills count="5">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
      <left style="dotted">
        <color auto="1"/>
      </left>
      <right style="dotted">
        <color auto="1"/>
      </right>
      <top/>
      <bottom style="thin">
        <color auto="1"/>
      </bottom>
      <diagonal/>
    </border>
    <border>
      <left style="dotted">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indexed="64"/>
      </right>
      <top style="thin">
        <color auto="1"/>
      </top>
      <bottom/>
      <diagonal/>
    </border>
    <border>
      <left style="thin">
        <color auto="1"/>
      </left>
      <right style="medium">
        <color indexed="64"/>
      </right>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bottom style="thin">
        <color auto="1"/>
      </bottom>
      <diagonal/>
    </border>
  </borders>
  <cellStyleXfs count="20">
    <xf numFmtId="0" fontId="0" fillId="0" borderId="0">
      <alignment vertical="center"/>
    </xf>
    <xf numFmtId="9" fontId="24" fillId="0" borderId="0" applyFont="0" applyFill="0" applyBorder="0" applyAlignment="0" applyProtection="0">
      <alignment vertical="center"/>
    </xf>
    <xf numFmtId="177" fontId="24" fillId="0" borderId="0"/>
    <xf numFmtId="0" fontId="24" fillId="0" borderId="0">
      <alignment vertical="center"/>
    </xf>
    <xf numFmtId="0" fontId="24" fillId="0" borderId="0"/>
    <xf numFmtId="0" fontId="26" fillId="0" borderId="0">
      <alignment vertical="center"/>
    </xf>
    <xf numFmtId="177" fontId="24" fillId="0" borderId="0"/>
    <xf numFmtId="0" fontId="24" fillId="0" borderId="0">
      <alignment vertical="center"/>
    </xf>
    <xf numFmtId="0" fontId="24" fillId="0" borderId="0">
      <alignment vertical="center"/>
    </xf>
    <xf numFmtId="0" fontId="24" fillId="0" borderId="0">
      <alignment vertical="center"/>
    </xf>
    <xf numFmtId="177" fontId="24" fillId="0" borderId="0">
      <alignment vertical="center"/>
    </xf>
    <xf numFmtId="0" fontId="24" fillId="0" borderId="0"/>
    <xf numFmtId="177" fontId="26" fillId="0" borderId="0">
      <alignment vertical="center"/>
    </xf>
    <xf numFmtId="177" fontId="25" fillId="0" borderId="0"/>
    <xf numFmtId="177" fontId="24" fillId="0" borderId="0"/>
    <xf numFmtId="0" fontId="24" fillId="0" borderId="0"/>
    <xf numFmtId="0" fontId="24" fillId="0" borderId="0">
      <alignment vertical="center"/>
    </xf>
    <xf numFmtId="177" fontId="24" fillId="0" borderId="0"/>
    <xf numFmtId="0" fontId="24" fillId="0" borderId="0"/>
    <xf numFmtId="0" fontId="24" fillId="0" borderId="0"/>
  </cellStyleXfs>
  <cellXfs count="357">
    <xf numFmtId="0" fontId="0" fillId="0" borderId="0" xfId="0">
      <alignment vertical="center"/>
    </xf>
    <xf numFmtId="177" fontId="1" fillId="0" borderId="0" xfId="10" applyFont="1" applyFill="1" applyBorder="1" applyAlignment="1" applyProtection="1">
      <alignment horizontal="justify" vertical="center" wrapText="1"/>
      <protection locked="0"/>
    </xf>
    <xf numFmtId="177" fontId="1" fillId="0" borderId="0" xfId="10" applyFont="1" applyFill="1" applyBorder="1" applyAlignment="1" applyProtection="1">
      <alignment horizontal="center" vertical="center"/>
      <protection locked="0"/>
    </xf>
    <xf numFmtId="177" fontId="1" fillId="0" borderId="0" xfId="10" applyFont="1" applyFill="1" applyAlignment="1" applyProtection="1">
      <alignment vertical="center" wrapText="1"/>
      <protection locked="0"/>
    </xf>
    <xf numFmtId="177" fontId="1" fillId="0" borderId="0" xfId="10" applyFont="1" applyFill="1" applyBorder="1" applyAlignment="1" applyProtection="1">
      <alignment vertical="center"/>
      <protection locked="0"/>
    </xf>
    <xf numFmtId="177" fontId="1" fillId="0" borderId="0" xfId="10" applyFont="1" applyFill="1" applyBorder="1" applyAlignment="1" applyProtection="1">
      <alignment horizontal="left" vertical="center"/>
      <protection locked="0"/>
    </xf>
    <xf numFmtId="177" fontId="1" fillId="0" borderId="0" xfId="10" applyFont="1" applyFill="1" applyBorder="1" applyAlignment="1" applyProtection="1">
      <alignment horizontal="left" vertical="center" wrapText="1"/>
      <protection locked="0"/>
    </xf>
    <xf numFmtId="177" fontId="5" fillId="0" borderId="2" xfId="10" applyFont="1" applyFill="1" applyBorder="1" applyAlignment="1" applyProtection="1">
      <alignment vertical="center" wrapText="1"/>
      <protection locked="0"/>
    </xf>
    <xf numFmtId="177" fontId="5" fillId="0" borderId="3" xfId="10" applyFont="1" applyFill="1" applyBorder="1" applyAlignment="1" applyProtection="1">
      <alignment vertical="center" wrapText="1"/>
      <protection locked="0"/>
    </xf>
    <xf numFmtId="177" fontId="5" fillId="0" borderId="4" xfId="10" applyFont="1" applyFill="1" applyBorder="1" applyAlignment="1" applyProtection="1">
      <alignment vertical="center" wrapText="1"/>
      <protection locked="0"/>
    </xf>
    <xf numFmtId="177" fontId="5" fillId="0" borderId="0" xfId="10" applyFont="1" applyFill="1" applyBorder="1" applyAlignment="1" applyProtection="1">
      <alignment vertical="center" wrapText="1"/>
      <protection locked="0"/>
    </xf>
    <xf numFmtId="177" fontId="1" fillId="0" borderId="0" xfId="10" applyFont="1" applyFill="1" applyBorder="1" applyAlignment="1" applyProtection="1">
      <alignment horizontal="justify" vertical="center"/>
      <protection locked="0"/>
    </xf>
    <xf numFmtId="177" fontId="5" fillId="0" borderId="8" xfId="10" applyFont="1" applyFill="1" applyBorder="1" applyAlignment="1" applyProtection="1">
      <alignment vertical="center" wrapText="1"/>
      <protection locked="0"/>
    </xf>
    <xf numFmtId="177" fontId="5" fillId="0" borderId="9" xfId="10" applyFont="1" applyFill="1" applyBorder="1" applyAlignment="1" applyProtection="1">
      <alignment vertical="center" wrapText="1"/>
      <protection locked="0"/>
    </xf>
    <xf numFmtId="177" fontId="1" fillId="0" borderId="0" xfId="10" applyFont="1" applyFill="1" applyBorder="1" applyAlignment="1" applyProtection="1">
      <alignment vertical="center" wrapText="1"/>
      <protection locked="0"/>
    </xf>
    <xf numFmtId="177" fontId="9" fillId="0" borderId="0" xfId="2" applyFont="1" applyAlignment="1" applyProtection="1">
      <protection locked="0"/>
    </xf>
    <xf numFmtId="177" fontId="9" fillId="0" borderId="0" xfId="2" applyFont="1" applyAlignment="1" applyProtection="1">
      <alignment vertical="center"/>
      <protection locked="0"/>
    </xf>
    <xf numFmtId="177" fontId="9" fillId="2" borderId="0" xfId="2" applyFont="1" applyFill="1" applyBorder="1" applyAlignment="1" applyProtection="1">
      <alignment vertical="center"/>
      <protection locked="0"/>
    </xf>
    <xf numFmtId="177" fontId="5" fillId="0" borderId="3" xfId="2" applyFont="1" applyBorder="1" applyAlignment="1" applyProtection="1">
      <alignment horizontal="center" vertical="center"/>
      <protection locked="0"/>
    </xf>
    <xf numFmtId="177" fontId="1" fillId="0" borderId="3" xfId="10" applyFont="1" applyFill="1" applyBorder="1" applyAlignment="1" applyProtection="1">
      <alignment vertical="center"/>
      <protection locked="0"/>
    </xf>
    <xf numFmtId="177" fontId="1" fillId="0" borderId="3" xfId="10" applyFont="1" applyFill="1" applyBorder="1" applyAlignment="1" applyProtection="1">
      <alignment horizontal="left" vertical="center"/>
      <protection locked="0"/>
    </xf>
    <xf numFmtId="177" fontId="1" fillId="0" borderId="0" xfId="14" applyFont="1"/>
    <xf numFmtId="0" fontId="1" fillId="0" borderId="0" xfId="14" applyNumberFormat="1" applyFont="1"/>
    <xf numFmtId="0" fontId="14" fillId="0" borderId="1" xfId="14" applyNumberFormat="1" applyFont="1" applyBorder="1" applyAlignment="1">
      <alignment horizontal="center" vertical="center"/>
    </xf>
    <xf numFmtId="0" fontId="17" fillId="0" borderId="2" xfId="14" applyNumberFormat="1" applyFont="1" applyBorder="1"/>
    <xf numFmtId="177" fontId="17" fillId="0" borderId="3" xfId="14" applyFont="1" applyBorder="1"/>
    <xf numFmtId="177" fontId="16" fillId="0" borderId="1" xfId="14" applyFont="1" applyBorder="1" applyAlignment="1">
      <alignment horizontal="center" vertical="center"/>
    </xf>
    <xf numFmtId="0" fontId="17" fillId="0" borderId="1" xfId="14" applyNumberFormat="1" applyFont="1" applyBorder="1" applyAlignment="1">
      <alignment horizontal="center" vertical="center"/>
    </xf>
    <xf numFmtId="177" fontId="17" fillId="0" borderId="1" xfId="17" applyFont="1" applyBorder="1" applyAlignment="1">
      <alignment horizontal="center" vertical="center"/>
    </xf>
    <xf numFmtId="177" fontId="17" fillId="0" borderId="10" xfId="17" applyFont="1" applyBorder="1" applyAlignment="1">
      <alignment horizontal="center" vertical="center"/>
    </xf>
    <xf numFmtId="0" fontId="1" fillId="0" borderId="1" xfId="14" applyNumberFormat="1" applyFont="1" applyBorder="1" applyAlignment="1">
      <alignment horizontal="center" vertical="center"/>
    </xf>
    <xf numFmtId="177" fontId="1" fillId="0" borderId="10" xfId="17" applyFont="1" applyBorder="1" applyAlignment="1">
      <alignment horizontal="center" vertical="center"/>
    </xf>
    <xf numFmtId="177" fontId="1" fillId="0" borderId="1" xfId="17" applyFont="1" applyBorder="1" applyAlignment="1">
      <alignment horizontal="center" vertical="center"/>
    </xf>
    <xf numFmtId="0" fontId="1" fillId="0" borderId="1" xfId="14" applyNumberFormat="1" applyFont="1" applyBorder="1"/>
    <xf numFmtId="177" fontId="1" fillId="0" borderId="1" xfId="14" applyFont="1" applyBorder="1" applyAlignment="1">
      <alignment horizontal="center" vertical="center"/>
    </xf>
    <xf numFmtId="0" fontId="1" fillId="0" borderId="4" xfId="14" applyNumberFormat="1" applyFont="1" applyBorder="1"/>
    <xf numFmtId="177" fontId="1" fillId="0" borderId="0" xfId="14" applyFont="1" applyBorder="1"/>
    <xf numFmtId="177" fontId="17" fillId="0" borderId="8" xfId="14" applyFont="1" applyBorder="1"/>
    <xf numFmtId="177" fontId="16" fillId="0" borderId="1" xfId="14" applyFont="1" applyBorder="1" applyAlignment="1">
      <alignment horizontal="center" vertical="center" wrapText="1"/>
    </xf>
    <xf numFmtId="14" fontId="17" fillId="0" borderId="1" xfId="17" applyNumberFormat="1" applyFont="1" applyBorder="1" applyAlignment="1">
      <alignment horizontal="center" vertical="center"/>
    </xf>
    <xf numFmtId="14" fontId="1" fillId="0" borderId="1" xfId="17" applyNumberFormat="1" applyFont="1" applyBorder="1" applyAlignment="1">
      <alignment horizontal="center" vertical="center"/>
    </xf>
    <xf numFmtId="14" fontId="1" fillId="0" borderId="1" xfId="14" applyNumberFormat="1" applyFont="1" applyBorder="1" applyAlignment="1">
      <alignment horizontal="center" vertical="center"/>
    </xf>
    <xf numFmtId="177" fontId="1" fillId="0" borderId="9" xfId="14" applyFont="1" applyBorder="1"/>
    <xf numFmtId="0" fontId="6" fillId="0" borderId="13" xfId="10" applyNumberFormat="1" applyFont="1" applyFill="1" applyBorder="1" applyAlignment="1" applyProtection="1">
      <alignment horizontal="left" vertical="center"/>
      <protection locked="0"/>
    </xf>
    <xf numFmtId="0" fontId="3" fillId="0" borderId="0" xfId="10" applyNumberFormat="1" applyFont="1" applyFill="1" applyBorder="1" applyAlignment="1" applyProtection="1">
      <alignment horizontal="left" vertical="center" wrapText="1"/>
      <protection locked="0"/>
    </xf>
    <xf numFmtId="0" fontId="6" fillId="0" borderId="14" xfId="10" applyNumberFormat="1" applyFont="1" applyFill="1" applyBorder="1" applyAlignment="1" applyProtection="1">
      <alignment horizontal="left" vertical="center"/>
      <protection locked="0"/>
    </xf>
    <xf numFmtId="0" fontId="5" fillId="0" borderId="1" xfId="10" applyNumberFormat="1" applyFont="1" applyFill="1" applyBorder="1" applyAlignment="1" applyProtection="1">
      <alignment horizontal="center" vertical="center" wrapText="1"/>
      <protection locked="0"/>
    </xf>
    <xf numFmtId="177" fontId="11" fillId="0" borderId="1" xfId="17" applyFont="1" applyBorder="1" applyAlignment="1">
      <alignment horizontal="center" vertical="center"/>
    </xf>
    <xf numFmtId="177" fontId="4" fillId="0" borderId="1" xfId="10" applyFont="1" applyFill="1" applyBorder="1" applyAlignment="1" applyProtection="1">
      <alignment horizontal="center" vertical="center" wrapText="1"/>
      <protection locked="0"/>
    </xf>
    <xf numFmtId="177" fontId="5" fillId="0" borderId="0" xfId="10" applyFont="1" applyFill="1" applyAlignment="1" applyProtection="1">
      <alignment vertical="center" wrapText="1"/>
      <protection locked="0"/>
    </xf>
    <xf numFmtId="177" fontId="5" fillId="0" borderId="0" xfId="2" applyFont="1" applyFill="1" applyBorder="1" applyAlignment="1" applyProtection="1">
      <alignment vertical="center"/>
      <protection locked="0"/>
    </xf>
    <xf numFmtId="177" fontId="29" fillId="0" borderId="1" xfId="10" applyFont="1" applyBorder="1" applyAlignment="1">
      <alignment horizontal="center" vertical="center" wrapText="1"/>
    </xf>
    <xf numFmtId="177" fontId="1" fillId="0" borderId="0" xfId="10" applyFont="1" applyFill="1" applyBorder="1" applyAlignment="1" applyProtection="1">
      <alignment horizontal="left" vertical="center" wrapText="1"/>
      <protection locked="0"/>
    </xf>
    <xf numFmtId="177" fontId="3" fillId="0" borderId="1" xfId="10" applyFont="1" applyFill="1" applyBorder="1" applyAlignment="1" applyProtection="1">
      <alignment horizontal="center" vertical="center"/>
      <protection locked="0"/>
    </xf>
    <xf numFmtId="0" fontId="3" fillId="0" borderId="1" xfId="10" applyNumberFormat="1" applyFont="1" applyFill="1" applyBorder="1" applyAlignment="1" applyProtection="1">
      <alignment horizontal="center" vertical="center" wrapText="1"/>
      <protection locked="0"/>
    </xf>
    <xf numFmtId="177" fontId="31" fillId="0" borderId="1" xfId="10" applyFont="1" applyBorder="1" applyAlignment="1">
      <alignment horizontal="center" vertical="center"/>
    </xf>
    <xf numFmtId="177" fontId="6" fillId="0" borderId="1" xfId="10" applyFont="1" applyFill="1" applyBorder="1" applyAlignment="1" applyProtection="1">
      <alignment horizontal="center" vertical="center" wrapText="1"/>
      <protection locked="0"/>
    </xf>
    <xf numFmtId="177" fontId="3" fillId="0" borderId="1" xfId="10" applyFont="1" applyBorder="1" applyAlignment="1" applyProtection="1">
      <alignment horizontal="center" vertical="center" wrapText="1"/>
      <protection locked="0"/>
    </xf>
    <xf numFmtId="177" fontId="3" fillId="0" borderId="1" xfId="10" applyFont="1" applyBorder="1" applyAlignment="1" applyProtection="1">
      <alignment horizontal="center" vertical="center"/>
      <protection locked="0"/>
    </xf>
    <xf numFmtId="177" fontId="6" fillId="0" borderId="1" xfId="10" applyFont="1" applyFill="1" applyBorder="1" applyAlignment="1" applyProtection="1">
      <alignment horizontal="center" vertical="center"/>
      <protection locked="0"/>
    </xf>
    <xf numFmtId="177" fontId="4" fillId="0" borderId="1" xfId="10" applyFont="1" applyFill="1" applyBorder="1" applyAlignment="1" applyProtection="1">
      <alignment horizontal="center" vertical="center"/>
      <protection locked="0"/>
    </xf>
    <xf numFmtId="0" fontId="12" fillId="0" borderId="1" xfId="8" applyFont="1" applyBorder="1" applyAlignment="1">
      <alignment horizontal="center" vertical="center"/>
    </xf>
    <xf numFmtId="0" fontId="12" fillId="0" borderId="1" xfId="8" applyFont="1" applyFill="1" applyBorder="1" applyAlignment="1">
      <alignment horizontal="center" vertical="center" wrapText="1"/>
    </xf>
    <xf numFmtId="176" fontId="12" fillId="0" borderId="1" xfId="8" applyNumberFormat="1" applyFont="1" applyBorder="1" applyAlignment="1">
      <alignment horizontal="center" vertical="center"/>
    </xf>
    <xf numFmtId="0" fontId="12" fillId="0" borderId="1" xfId="8" applyFont="1" applyFill="1" applyBorder="1" applyAlignment="1">
      <alignment horizontal="center" vertical="center"/>
    </xf>
    <xf numFmtId="176" fontId="10" fillId="0" borderId="1" xfId="8" applyNumberFormat="1" applyFont="1" applyBorder="1" applyAlignment="1">
      <alignment horizontal="center" vertical="center"/>
    </xf>
    <xf numFmtId="0" fontId="10" fillId="0" borderId="1" xfId="8" applyFont="1" applyBorder="1" applyAlignment="1">
      <alignment horizontal="center" vertical="center"/>
    </xf>
    <xf numFmtId="177" fontId="1" fillId="0" borderId="0" xfId="10" applyFont="1" applyFill="1" applyBorder="1" applyAlignment="1" applyProtection="1">
      <alignment horizontal="left" vertical="center" wrapText="1"/>
      <protection locked="0"/>
    </xf>
    <xf numFmtId="177" fontId="6" fillId="0" borderId="1" xfId="10" applyFont="1" applyFill="1" applyBorder="1" applyAlignment="1" applyProtection="1">
      <alignment horizontal="center" vertical="center" wrapText="1"/>
      <protection locked="0"/>
    </xf>
    <xf numFmtId="177" fontId="3" fillId="0" borderId="1" xfId="10" applyFont="1" applyBorder="1" applyAlignment="1" applyProtection="1">
      <alignment horizontal="center" vertical="center" wrapText="1"/>
      <protection locked="0"/>
    </xf>
    <xf numFmtId="177" fontId="3" fillId="0" borderId="1" xfId="10" applyFont="1" applyBorder="1" applyAlignment="1" applyProtection="1">
      <alignment horizontal="center" vertical="center"/>
      <protection locked="0"/>
    </xf>
    <xf numFmtId="177" fontId="6" fillId="0" borderId="1" xfId="10" applyFont="1" applyFill="1" applyBorder="1" applyAlignment="1" applyProtection="1">
      <alignment horizontal="center" vertical="center"/>
      <protection locked="0"/>
    </xf>
    <xf numFmtId="177" fontId="3" fillId="0" borderId="1" xfId="10" applyFont="1" applyFill="1" applyBorder="1" applyAlignment="1" applyProtection="1">
      <alignment horizontal="center" vertical="center"/>
      <protection locked="0"/>
    </xf>
    <xf numFmtId="177" fontId="4" fillId="0" borderId="1" xfId="10" applyFont="1" applyFill="1" applyBorder="1" applyAlignment="1" applyProtection="1">
      <alignment horizontal="center" vertical="center"/>
      <protection locked="0"/>
    </xf>
    <xf numFmtId="0" fontId="3" fillId="0" borderId="1" xfId="10" applyNumberFormat="1" applyFont="1" applyFill="1" applyBorder="1" applyAlignment="1" applyProtection="1">
      <alignment horizontal="center" vertical="center" wrapText="1"/>
      <protection locked="0"/>
    </xf>
    <xf numFmtId="0" fontId="24" fillId="0" borderId="0" xfId="0" applyFont="1">
      <alignment vertical="center"/>
    </xf>
    <xf numFmtId="0" fontId="12" fillId="0" borderId="22" xfId="8" applyFont="1" applyBorder="1" applyAlignment="1">
      <alignment horizontal="center" vertical="center"/>
    </xf>
    <xf numFmtId="0" fontId="12" fillId="0" borderId="12" xfId="8" applyFont="1" applyBorder="1" applyAlignment="1">
      <alignment horizontal="center" vertical="center"/>
    </xf>
    <xf numFmtId="0" fontId="12" fillId="0" borderId="23" xfId="8" applyFont="1" applyBorder="1" applyAlignment="1">
      <alignment horizontal="center" vertical="center"/>
    </xf>
    <xf numFmtId="0" fontId="12" fillId="0" borderId="24" xfId="8" applyFont="1" applyBorder="1" applyAlignment="1">
      <alignment horizontal="center" vertical="center"/>
    </xf>
    <xf numFmtId="182" fontId="12" fillId="0" borderId="1" xfId="8" applyNumberFormat="1" applyFont="1" applyBorder="1" applyAlignment="1">
      <alignment horizontal="center" vertical="center"/>
    </xf>
    <xf numFmtId="180" fontId="12" fillId="0" borderId="25" xfId="1" applyNumberFormat="1" applyFont="1" applyBorder="1" applyAlignment="1">
      <alignment horizontal="center" vertical="center"/>
    </xf>
    <xf numFmtId="10" fontId="12" fillId="0" borderId="1" xfId="8" applyNumberFormat="1" applyFont="1" applyFill="1" applyBorder="1" applyAlignment="1">
      <alignment horizontal="center" vertical="center" wrapText="1"/>
    </xf>
    <xf numFmtId="0" fontId="12" fillId="0" borderId="25" xfId="8" applyFont="1" applyBorder="1" applyAlignment="1">
      <alignment horizontal="left" vertical="center" wrapText="1"/>
    </xf>
    <xf numFmtId="180" fontId="12" fillId="0" borderId="26" xfId="1" applyNumberFormat="1" applyFont="1" applyBorder="1" applyAlignment="1">
      <alignment horizontal="center" vertical="center"/>
    </xf>
    <xf numFmtId="0" fontId="12" fillId="0" borderId="25" xfId="0" applyFont="1" applyBorder="1" applyAlignment="1"/>
    <xf numFmtId="0" fontId="12" fillId="0" borderId="25" xfId="0" applyFont="1" applyBorder="1" applyAlignment="1">
      <alignment vertical="center"/>
    </xf>
    <xf numFmtId="0" fontId="12" fillId="0" borderId="11" xfId="8" applyFont="1" applyFill="1" applyBorder="1" applyAlignment="1">
      <alignment horizontal="center" vertical="center"/>
    </xf>
    <xf numFmtId="0" fontId="34" fillId="0" borderId="25" xfId="0" applyFont="1" applyBorder="1" applyAlignment="1"/>
    <xf numFmtId="182" fontId="10" fillId="0" borderId="1" xfId="8" applyNumberFormat="1" applyFont="1" applyBorder="1" applyAlignment="1">
      <alignment horizontal="center" vertical="center"/>
    </xf>
    <xf numFmtId="0" fontId="10" fillId="0" borderId="25" xfId="8" applyFont="1" applyBorder="1" applyAlignment="1">
      <alignment vertical="center"/>
    </xf>
    <xf numFmtId="180" fontId="10" fillId="0" borderId="25" xfId="1" applyNumberFormat="1" applyFont="1" applyBorder="1" applyAlignment="1">
      <alignment horizontal="center" vertical="center"/>
    </xf>
    <xf numFmtId="0" fontId="10" fillId="0" borderId="25" xfId="8" applyFont="1" applyBorder="1" applyAlignment="1">
      <alignment vertical="center" wrapText="1"/>
    </xf>
    <xf numFmtId="176" fontId="32" fillId="0" borderId="1" xfId="8" applyNumberFormat="1" applyFont="1" applyBorder="1" applyAlignment="1">
      <alignment horizontal="center" vertical="center"/>
    </xf>
    <xf numFmtId="0" fontId="12" fillId="0" borderId="28" xfId="8" applyFont="1" applyBorder="1" applyAlignment="1">
      <alignment horizontal="center" vertical="center"/>
    </xf>
    <xf numFmtId="0" fontId="12" fillId="0" borderId="29" xfId="8" applyFont="1" applyBorder="1" applyAlignment="1">
      <alignment horizontal="center" vertical="center"/>
    </xf>
    <xf numFmtId="176" fontId="10" fillId="0" borderId="29" xfId="8" applyNumberFormat="1" applyFont="1" applyBorder="1" applyAlignment="1">
      <alignment horizontal="center" vertical="center"/>
    </xf>
    <xf numFmtId="0" fontId="10" fillId="0" borderId="29" xfId="8" applyFont="1" applyBorder="1" applyAlignment="1">
      <alignment horizontal="center" vertical="center"/>
    </xf>
    <xf numFmtId="0" fontId="12" fillId="0" borderId="29" xfId="0" applyFont="1" applyBorder="1" applyAlignment="1">
      <alignment horizontal="center" vertical="center"/>
    </xf>
    <xf numFmtId="0" fontId="12" fillId="0" borderId="29" xfId="0" applyFont="1" applyBorder="1" applyAlignment="1"/>
    <xf numFmtId="0" fontId="12" fillId="0" borderId="29" xfId="8" applyFont="1" applyFill="1" applyBorder="1" applyAlignment="1">
      <alignment horizontal="center" vertical="center"/>
    </xf>
    <xf numFmtId="0" fontId="12" fillId="0" borderId="30" xfId="0" applyFont="1" applyBorder="1" applyAlignment="1">
      <alignment vertical="center"/>
    </xf>
    <xf numFmtId="0" fontId="12" fillId="0" borderId="30" xfId="0" applyFont="1" applyBorder="1" applyAlignment="1"/>
    <xf numFmtId="0" fontId="12" fillId="0" borderId="0" xfId="0" applyFont="1">
      <alignment vertical="center"/>
    </xf>
    <xf numFmtId="181" fontId="12" fillId="0" borderId="0" xfId="0" applyNumberFormat="1" applyFont="1" applyAlignment="1">
      <alignment horizontal="center" vertical="center"/>
    </xf>
    <xf numFmtId="10" fontId="12" fillId="0" borderId="0" xfId="0" applyNumberFormat="1" applyFont="1" applyAlignment="1">
      <alignment horizontal="center" vertical="center"/>
    </xf>
    <xf numFmtId="0" fontId="12" fillId="0" borderId="0" xfId="0" applyFont="1" applyAlignment="1">
      <alignment horizontal="center" vertical="center"/>
    </xf>
    <xf numFmtId="182" fontId="12" fillId="0" borderId="0" xfId="0" applyNumberFormat="1" applyFont="1">
      <alignment vertical="center"/>
    </xf>
    <xf numFmtId="180" fontId="12" fillId="0" borderId="0" xfId="0" applyNumberFormat="1" applyFont="1" applyAlignment="1">
      <alignment horizontal="center" vertical="center"/>
    </xf>
    <xf numFmtId="181" fontId="12" fillId="0" borderId="0" xfId="0" applyNumberFormat="1" applyFont="1">
      <alignment vertical="center"/>
    </xf>
    <xf numFmtId="176" fontId="12" fillId="0" borderId="0" xfId="0" applyNumberFormat="1" applyFont="1" applyAlignment="1">
      <alignment horizontal="center" vertical="center"/>
    </xf>
    <xf numFmtId="0" fontId="0" fillId="0" borderId="0" xfId="0" applyAlignment="1"/>
    <xf numFmtId="0" fontId="36" fillId="0" borderId="6" xfId="19" applyFont="1" applyFill="1" applyBorder="1" applyAlignment="1">
      <alignment horizontal="center" vertical="center" wrapText="1"/>
    </xf>
    <xf numFmtId="0" fontId="36" fillId="0" borderId="5" xfId="19" applyFont="1" applyFill="1" applyBorder="1" applyAlignment="1">
      <alignment horizontal="center" vertical="center" wrapText="1"/>
    </xf>
    <xf numFmtId="0" fontId="36" fillId="0" borderId="3" xfId="19" applyFont="1" applyFill="1" applyBorder="1" applyAlignment="1">
      <alignment horizontal="center" vertical="center" wrapText="1"/>
    </xf>
    <xf numFmtId="0" fontId="36" fillId="0" borderId="5" xfId="19" applyFont="1" applyFill="1" applyBorder="1" applyAlignment="1">
      <alignment horizontal="left" vertical="center" wrapText="1"/>
    </xf>
    <xf numFmtId="0" fontId="36" fillId="0" borderId="8" xfId="19" applyFont="1" applyFill="1" applyBorder="1" applyAlignment="1">
      <alignment horizontal="center" vertical="center" wrapText="1"/>
    </xf>
    <xf numFmtId="0" fontId="35" fillId="0" borderId="1" xfId="19" applyFont="1" applyFill="1" applyBorder="1" applyAlignment="1">
      <alignment horizontal="center" vertical="center"/>
    </xf>
    <xf numFmtId="0" fontId="35" fillId="0" borderId="1" xfId="19" applyFont="1" applyFill="1" applyBorder="1" applyAlignment="1">
      <alignment horizontal="center" vertical="center" wrapText="1"/>
    </xf>
    <xf numFmtId="0" fontId="35" fillId="0" borderId="1" xfId="19" applyFont="1" applyFill="1" applyBorder="1" applyAlignment="1">
      <alignment horizontal="left" vertical="center" wrapText="1"/>
    </xf>
    <xf numFmtId="0" fontId="35" fillId="0" borderId="10" xfId="19" applyFont="1" applyFill="1" applyBorder="1" applyAlignment="1">
      <alignment horizontal="center" vertical="center" wrapText="1"/>
    </xf>
    <xf numFmtId="0" fontId="0" fillId="0" borderId="0" xfId="0" applyAlignment="1">
      <alignment horizontal="center"/>
    </xf>
    <xf numFmtId="177" fontId="1" fillId="0" borderId="0" xfId="10" applyFont="1" applyFill="1" applyBorder="1" applyAlignment="1" applyProtection="1">
      <alignment horizontal="left" vertical="center" wrapText="1"/>
      <protection locked="0"/>
    </xf>
    <xf numFmtId="177" fontId="3" fillId="2" borderId="1" xfId="10" applyFont="1" applyFill="1" applyBorder="1" applyAlignment="1" applyProtection="1">
      <alignment horizontal="center" vertical="center" wrapText="1"/>
      <protection locked="0"/>
    </xf>
    <xf numFmtId="177" fontId="6" fillId="0" borderId="1" xfId="10" applyFont="1" applyFill="1" applyBorder="1" applyAlignment="1" applyProtection="1">
      <alignment horizontal="center" vertical="center"/>
      <protection locked="0"/>
    </xf>
    <xf numFmtId="177" fontId="21" fillId="0" borderId="1" xfId="14" applyFont="1" applyFill="1" applyBorder="1" applyAlignment="1">
      <alignment horizontal="center" vertical="center"/>
    </xf>
    <xf numFmtId="0" fontId="1" fillId="0" borderId="1" xfId="14" applyNumberFormat="1" applyFont="1" applyBorder="1" applyAlignment="1">
      <alignment horizontal="center" vertical="center"/>
    </xf>
    <xf numFmtId="177" fontId="1" fillId="0" borderId="1" xfId="17" applyFont="1" applyBorder="1" applyAlignment="1">
      <alignment horizontal="center" vertical="center"/>
    </xf>
    <xf numFmtId="0" fontId="16" fillId="0" borderId="1" xfId="14" applyNumberFormat="1" applyFont="1" applyBorder="1" applyAlignment="1">
      <alignment horizontal="center" vertical="center"/>
    </xf>
    <xf numFmtId="179" fontId="11" fillId="0" borderId="1" xfId="17" applyNumberFormat="1" applyFont="1" applyBorder="1" applyAlignment="1">
      <alignment horizontal="center" vertical="center"/>
    </xf>
    <xf numFmtId="177" fontId="6" fillId="0" borderId="1" xfId="10" applyFont="1" applyFill="1" applyBorder="1" applyAlignment="1" applyProtection="1">
      <alignment horizontal="center" vertical="center" wrapText="1"/>
      <protection locked="0"/>
    </xf>
    <xf numFmtId="177" fontId="6" fillId="0" borderId="1" xfId="10" applyFont="1" applyFill="1" applyBorder="1" applyAlignment="1" applyProtection="1">
      <alignment horizontal="center" vertical="center"/>
      <protection locked="0"/>
    </xf>
    <xf numFmtId="177" fontId="3" fillId="0" borderId="1" xfId="10" applyFont="1" applyBorder="1" applyAlignment="1" applyProtection="1">
      <alignment horizontal="center" vertical="center" wrapText="1"/>
      <protection locked="0"/>
    </xf>
    <xf numFmtId="177" fontId="3" fillId="0" borderId="1" xfId="10" applyFont="1" applyBorder="1" applyAlignment="1" applyProtection="1">
      <alignment horizontal="center" vertical="center"/>
      <protection locked="0"/>
    </xf>
    <xf numFmtId="177" fontId="4" fillId="0" borderId="1" xfId="10" applyFont="1" applyFill="1" applyBorder="1" applyAlignment="1" applyProtection="1">
      <alignment horizontal="center" vertical="center"/>
      <protection locked="0"/>
    </xf>
    <xf numFmtId="177" fontId="3" fillId="0" borderId="12" xfId="10" applyFont="1" applyFill="1" applyBorder="1" applyAlignment="1" applyProtection="1">
      <alignment horizontal="center" vertical="center"/>
      <protection locked="0"/>
    </xf>
    <xf numFmtId="177" fontId="11" fillId="2" borderId="0" xfId="10" applyFont="1" applyFill="1" applyBorder="1" applyAlignment="1" applyProtection="1">
      <alignment vertical="center" wrapText="1"/>
      <protection locked="0"/>
    </xf>
    <xf numFmtId="177" fontId="5" fillId="3" borderId="0" xfId="10" applyFont="1" applyFill="1" applyAlignment="1" applyProtection="1">
      <alignment vertical="center" wrapText="1"/>
      <protection locked="0"/>
    </xf>
    <xf numFmtId="177" fontId="5" fillId="3" borderId="0" xfId="2" applyFont="1" applyFill="1" applyBorder="1" applyAlignment="1" applyProtection="1">
      <alignment vertical="center"/>
      <protection locked="0"/>
    </xf>
    <xf numFmtId="177" fontId="5" fillId="3" borderId="0" xfId="10" applyFont="1" applyFill="1" applyBorder="1" applyAlignment="1" applyProtection="1">
      <alignment vertical="center" wrapText="1"/>
      <protection locked="0"/>
    </xf>
    <xf numFmtId="177" fontId="10" fillId="3" borderId="0" xfId="10" applyFont="1" applyFill="1" applyBorder="1" applyAlignment="1" applyProtection="1">
      <alignment vertical="center" wrapText="1"/>
    </xf>
    <xf numFmtId="177" fontId="32" fillId="3" borderId="0" xfId="10" applyFont="1" applyFill="1" applyBorder="1" applyAlignment="1" applyProtection="1">
      <alignment vertical="center" wrapText="1"/>
    </xf>
    <xf numFmtId="177" fontId="12" fillId="3" borderId="0" xfId="10" applyFont="1" applyFill="1" applyBorder="1" applyAlignment="1" applyProtection="1">
      <alignment vertical="center" wrapText="1"/>
    </xf>
    <xf numFmtId="0" fontId="3" fillId="0" borderId="1" xfId="10" applyNumberFormat="1" applyFont="1" applyFill="1" applyBorder="1" applyAlignment="1" applyProtection="1">
      <alignment horizontal="center" vertical="center" wrapText="1"/>
      <protection locked="0"/>
    </xf>
    <xf numFmtId="177" fontId="5" fillId="4" borderId="0" xfId="10" applyFont="1" applyFill="1" applyAlignment="1" applyProtection="1">
      <alignment vertical="center" wrapText="1"/>
      <protection locked="0"/>
    </xf>
    <xf numFmtId="177" fontId="5" fillId="4" borderId="0" xfId="2" applyFont="1" applyFill="1" applyBorder="1" applyAlignment="1" applyProtection="1">
      <alignment vertical="center"/>
      <protection locked="0"/>
    </xf>
    <xf numFmtId="177" fontId="7" fillId="4" borderId="0" xfId="10" applyFont="1" applyFill="1" applyAlignment="1" applyProtection="1">
      <alignment vertical="center" wrapText="1"/>
      <protection locked="0"/>
    </xf>
    <xf numFmtId="0" fontId="0" fillId="2" borderId="0" xfId="0" applyFill="1" applyAlignment="1"/>
    <xf numFmtId="0" fontId="35" fillId="4" borderId="10" xfId="19" applyFont="1" applyFill="1" applyBorder="1" applyAlignment="1">
      <alignment horizontal="center" vertical="center" wrapText="1"/>
    </xf>
    <xf numFmtId="0" fontId="6" fillId="4" borderId="13" xfId="10" applyNumberFormat="1" applyFont="1" applyFill="1" applyBorder="1" applyAlignment="1" applyProtection="1">
      <alignment horizontal="left" vertical="center"/>
      <protection locked="0"/>
    </xf>
    <xf numFmtId="0" fontId="3" fillId="4" borderId="0" xfId="10" applyNumberFormat="1" applyFont="1" applyFill="1" applyBorder="1" applyAlignment="1" applyProtection="1">
      <alignment horizontal="left" vertical="center" wrapText="1"/>
      <protection locked="0"/>
    </xf>
    <xf numFmtId="0" fontId="3" fillId="4" borderId="1" xfId="10" applyNumberFormat="1" applyFont="1" applyFill="1" applyBorder="1" applyAlignment="1" applyProtection="1">
      <alignment horizontal="center" vertical="center" wrapText="1"/>
      <protection locked="0"/>
    </xf>
    <xf numFmtId="0" fontId="5" fillId="4" borderId="1" xfId="10" applyNumberFormat="1" applyFont="1" applyFill="1" applyBorder="1" applyAlignment="1" applyProtection="1">
      <alignment horizontal="center" vertical="center" wrapText="1"/>
      <protection locked="0"/>
    </xf>
    <xf numFmtId="177" fontId="6" fillId="2" borderId="1" xfId="10" applyFont="1" applyFill="1" applyBorder="1" applyAlignment="1" applyProtection="1">
      <alignment horizontal="center" vertical="center" wrapText="1"/>
      <protection locked="0"/>
    </xf>
    <xf numFmtId="177" fontId="3" fillId="2" borderId="1" xfId="10" applyFont="1" applyFill="1" applyBorder="1" applyAlignment="1" applyProtection="1">
      <alignment horizontal="center" vertical="center"/>
      <protection locked="0"/>
    </xf>
    <xf numFmtId="177" fontId="3" fillId="2" borderId="1" xfId="10" applyFont="1" applyFill="1" applyBorder="1" applyAlignment="1" applyProtection="1">
      <alignment horizontal="center" vertical="center" wrapText="1"/>
      <protection locked="0"/>
    </xf>
    <xf numFmtId="177" fontId="4" fillId="2" borderId="1" xfId="10" applyFont="1" applyFill="1" applyBorder="1" applyAlignment="1" applyProtection="1">
      <alignment horizontal="center" vertical="center" wrapText="1"/>
      <protection locked="0"/>
    </xf>
    <xf numFmtId="177" fontId="4" fillId="2" borderId="1" xfId="10" applyFont="1" applyFill="1" applyBorder="1" applyAlignment="1" applyProtection="1">
      <alignment horizontal="center" vertical="center"/>
      <protection locked="0"/>
    </xf>
    <xf numFmtId="177" fontId="31" fillId="2" borderId="1" xfId="10" applyFont="1" applyFill="1" applyBorder="1" applyAlignment="1">
      <alignment horizontal="center" vertical="center"/>
    </xf>
    <xf numFmtId="177" fontId="29" fillId="2" borderId="1" xfId="10" applyFont="1" applyFill="1" applyBorder="1" applyAlignment="1">
      <alignment horizontal="center" vertical="center" wrapText="1"/>
    </xf>
    <xf numFmtId="177" fontId="3" fillId="2" borderId="1" xfId="2" applyFont="1" applyFill="1" applyBorder="1" applyAlignment="1" applyProtection="1">
      <alignment horizontal="center" vertical="center"/>
      <protection locked="0"/>
    </xf>
    <xf numFmtId="177" fontId="29" fillId="2" borderId="1" xfId="10" applyFont="1" applyFill="1" applyBorder="1" applyAlignment="1" applyProtection="1">
      <alignment horizontal="center" vertical="center" wrapText="1"/>
      <protection locked="0"/>
    </xf>
    <xf numFmtId="177" fontId="10" fillId="2" borderId="1" xfId="10" applyFont="1" applyFill="1" applyBorder="1" applyAlignment="1" applyProtection="1">
      <alignment horizontal="center" vertical="center" wrapText="1"/>
      <protection locked="0"/>
    </xf>
    <xf numFmtId="177" fontId="10" fillId="2" borderId="1" xfId="10" applyFont="1" applyFill="1" applyBorder="1" applyAlignment="1" applyProtection="1">
      <alignment vertical="center" wrapText="1"/>
      <protection locked="0"/>
    </xf>
    <xf numFmtId="178" fontId="10" fillId="2" borderId="1" xfId="10" applyNumberFormat="1" applyFont="1" applyFill="1" applyBorder="1" applyAlignment="1" applyProtection="1">
      <alignment horizontal="center" vertical="center" wrapText="1"/>
      <protection locked="0"/>
    </xf>
    <xf numFmtId="177" fontId="10" fillId="2" borderId="1" xfId="13" applyFont="1" applyFill="1" applyBorder="1" applyAlignment="1" applyProtection="1">
      <alignment horizontal="center" vertical="center" wrapText="1"/>
      <protection locked="0"/>
    </xf>
    <xf numFmtId="0" fontId="10" fillId="2" borderId="10" xfId="3" applyFont="1" applyFill="1" applyBorder="1" applyAlignment="1" applyProtection="1">
      <alignment horizontal="center" vertical="center" wrapText="1"/>
      <protection locked="0"/>
    </xf>
    <xf numFmtId="177" fontId="10" fillId="2" borderId="1" xfId="13" applyFont="1" applyFill="1" applyBorder="1" applyAlignment="1" applyProtection="1">
      <alignment vertical="center" wrapText="1"/>
      <protection locked="0"/>
    </xf>
    <xf numFmtId="0" fontId="10" fillId="2" borderId="12" xfId="3" applyFont="1" applyFill="1" applyBorder="1" applyAlignment="1" applyProtection="1">
      <alignment horizontal="center" vertical="center" wrapText="1"/>
      <protection locked="0"/>
    </xf>
    <xf numFmtId="177" fontId="12" fillId="2" borderId="1" xfId="10" applyFont="1" applyFill="1" applyBorder="1" applyAlignment="1" applyProtection="1">
      <alignment horizontal="center" vertical="center" wrapText="1"/>
      <protection locked="0"/>
    </xf>
    <xf numFmtId="0" fontId="10" fillId="2" borderId="1" xfId="10" applyNumberFormat="1" applyFont="1" applyFill="1" applyBorder="1" applyAlignment="1">
      <alignment horizontal="center" vertical="center" wrapText="1"/>
    </xf>
    <xf numFmtId="177" fontId="10" fillId="2" borderId="1" xfId="10" applyFont="1" applyFill="1" applyBorder="1" applyAlignment="1">
      <alignment horizontal="center" vertical="center" wrapText="1"/>
    </xf>
    <xf numFmtId="177" fontId="10" fillId="2" borderId="1" xfId="10" applyFont="1" applyFill="1" applyBorder="1" applyAlignment="1" applyProtection="1">
      <alignment horizontal="center" vertical="center" wrapText="1"/>
    </xf>
    <xf numFmtId="177" fontId="10" fillId="2" borderId="1" xfId="10" applyFont="1" applyFill="1" applyBorder="1" applyAlignment="1">
      <alignment vertical="center" wrapText="1"/>
    </xf>
    <xf numFmtId="177" fontId="10" fillId="2" borderId="1" xfId="2" applyFont="1" applyFill="1" applyBorder="1" applyAlignment="1">
      <alignment horizontal="center" vertical="center" wrapText="1"/>
    </xf>
    <xf numFmtId="177" fontId="10" fillId="2" borderId="1" xfId="10" applyFont="1" applyFill="1" applyBorder="1" applyAlignment="1" applyProtection="1">
      <alignment vertical="center" wrapText="1"/>
    </xf>
    <xf numFmtId="0" fontId="10" fillId="2" borderId="1" xfId="3" applyFont="1" applyFill="1" applyBorder="1" applyAlignment="1" applyProtection="1">
      <alignment horizontal="center" vertical="center" wrapText="1"/>
      <protection locked="0"/>
    </xf>
    <xf numFmtId="9" fontId="10" fillId="2" borderId="1" xfId="3" applyNumberFormat="1" applyFont="1" applyFill="1" applyBorder="1" applyAlignment="1" applyProtection="1">
      <alignment horizontal="center" vertical="center" wrapText="1"/>
      <protection locked="0"/>
    </xf>
    <xf numFmtId="177" fontId="12" fillId="2" borderId="1" xfId="10" applyFont="1" applyFill="1" applyBorder="1" applyAlignment="1">
      <alignment horizontal="center" vertical="center" wrapText="1"/>
    </xf>
    <xf numFmtId="0" fontId="10" fillId="2" borderId="1" xfId="10" applyNumberFormat="1" applyFont="1" applyFill="1" applyBorder="1" applyAlignment="1" applyProtection="1">
      <alignment horizontal="center" vertical="center" wrapText="1"/>
    </xf>
    <xf numFmtId="177" fontId="12" fillId="2" borderId="1" xfId="10" applyFont="1" applyFill="1" applyBorder="1" applyAlignment="1" applyProtection="1">
      <alignment horizontal="center" vertical="center" wrapText="1"/>
    </xf>
    <xf numFmtId="177" fontId="10" fillId="2" borderId="12" xfId="10" applyFont="1" applyFill="1" applyBorder="1" applyAlignment="1" applyProtection="1">
      <alignment horizontal="center" vertical="center" wrapText="1"/>
    </xf>
    <xf numFmtId="177" fontId="10" fillId="2" borderId="6" xfId="10" applyFont="1" applyFill="1" applyBorder="1" applyAlignment="1" applyProtection="1">
      <alignment horizontal="center" vertical="center" wrapText="1"/>
    </xf>
    <xf numFmtId="177" fontId="12" fillId="2" borderId="6" xfId="10" applyFont="1" applyFill="1" applyBorder="1" applyAlignment="1" applyProtection="1">
      <alignment horizontal="center" vertical="center" wrapText="1"/>
    </xf>
    <xf numFmtId="177" fontId="12" fillId="2" borderId="1" xfId="10" applyFont="1" applyFill="1" applyBorder="1" applyAlignment="1" applyProtection="1">
      <alignment vertical="center" wrapText="1"/>
      <protection locked="0"/>
    </xf>
    <xf numFmtId="177" fontId="5" fillId="2" borderId="1" xfId="10" applyFont="1" applyFill="1" applyBorder="1" applyAlignment="1" applyProtection="1">
      <alignment horizontal="center" vertical="center" wrapText="1"/>
      <protection locked="0"/>
    </xf>
    <xf numFmtId="0" fontId="7" fillId="2" borderId="1" xfId="3" applyFont="1" applyFill="1" applyBorder="1" applyAlignment="1" applyProtection="1">
      <alignment horizontal="center" vertical="center" wrapText="1"/>
      <protection locked="0"/>
    </xf>
    <xf numFmtId="177" fontId="7" fillId="2" borderId="1" xfId="10" applyFont="1" applyFill="1" applyBorder="1" applyAlignment="1" applyProtection="1">
      <alignment vertical="center" wrapText="1"/>
      <protection locked="0"/>
    </xf>
    <xf numFmtId="177" fontId="43" fillId="2" borderId="1" xfId="10" applyFont="1" applyFill="1" applyBorder="1" applyAlignment="1" applyProtection="1">
      <alignment horizontal="center" vertical="center" wrapText="1"/>
      <protection locked="0"/>
    </xf>
    <xf numFmtId="0" fontId="5" fillId="2" borderId="1" xfId="3" applyFont="1" applyFill="1" applyBorder="1" applyAlignment="1" applyProtection="1">
      <alignment horizontal="center" vertical="center" wrapText="1"/>
      <protection locked="0"/>
    </xf>
    <xf numFmtId="0" fontId="12" fillId="2" borderId="1" xfId="10" applyNumberFormat="1" applyFont="1" applyFill="1" applyBorder="1" applyAlignment="1" applyProtection="1">
      <alignment horizontal="center" vertical="center" wrapText="1"/>
    </xf>
    <xf numFmtId="177" fontId="12" fillId="2" borderId="1" xfId="10" applyFont="1" applyFill="1" applyBorder="1" applyAlignment="1">
      <alignment horizontal="left" vertical="center" wrapText="1"/>
    </xf>
    <xf numFmtId="0" fontId="1" fillId="0" borderId="1" xfId="14" applyNumberFormat="1" applyFont="1" applyBorder="1" applyAlignment="1">
      <alignment horizontal="center" vertical="center"/>
    </xf>
    <xf numFmtId="177" fontId="1" fillId="0" borderId="1" xfId="17" applyFont="1" applyBorder="1" applyAlignment="1">
      <alignment horizontal="center" vertical="center"/>
    </xf>
    <xf numFmtId="177" fontId="12" fillId="4" borderId="1" xfId="10" applyFont="1" applyFill="1" applyBorder="1" applyAlignment="1">
      <alignment horizontal="center" vertical="center" wrapText="1"/>
    </xf>
    <xf numFmtId="0" fontId="2" fillId="0" borderId="6" xfId="14" applyNumberFormat="1" applyFont="1" applyBorder="1" applyAlignment="1">
      <alignment horizontal="center" vertical="center"/>
    </xf>
    <xf numFmtId="0" fontId="13" fillId="0" borderId="5" xfId="14" applyNumberFormat="1" applyFont="1" applyBorder="1" applyAlignment="1">
      <alignment horizontal="center" vertical="center"/>
    </xf>
    <xf numFmtId="0" fontId="13" fillId="0" borderId="7" xfId="14" applyNumberFormat="1" applyFont="1" applyBorder="1" applyAlignment="1">
      <alignment horizontal="center" vertical="center"/>
    </xf>
    <xf numFmtId="0" fontId="14" fillId="0" borderId="1" xfId="14" applyNumberFormat="1" applyFont="1" applyBorder="1" applyAlignment="1">
      <alignment horizontal="center" vertical="center"/>
    </xf>
    <xf numFmtId="14" fontId="15" fillId="0" borderId="1" xfId="14" applyNumberFormat="1" applyFont="1" applyBorder="1" applyAlignment="1">
      <alignment horizontal="center" vertical="center" wrapText="1"/>
    </xf>
    <xf numFmtId="0" fontId="16" fillId="0" borderId="1" xfId="14" applyNumberFormat="1" applyFont="1" applyBorder="1" applyAlignment="1">
      <alignment horizontal="center" vertical="center"/>
    </xf>
    <xf numFmtId="0" fontId="15" fillId="0" borderId="1" xfId="14" applyNumberFormat="1" applyFont="1" applyBorder="1" applyAlignment="1">
      <alignment horizontal="center" vertical="center" wrapText="1"/>
    </xf>
    <xf numFmtId="0" fontId="23" fillId="0" borderId="1" xfId="14" applyNumberFormat="1" applyFont="1" applyBorder="1" applyAlignment="1">
      <alignment horizontal="center" vertical="center"/>
    </xf>
    <xf numFmtId="177" fontId="18" fillId="0" borderId="3" xfId="14" applyFont="1" applyBorder="1" applyAlignment="1">
      <alignment horizontal="center" vertical="center"/>
    </xf>
    <xf numFmtId="177" fontId="16" fillId="0" borderId="6" xfId="14" applyFont="1" applyBorder="1" applyAlignment="1">
      <alignment horizontal="center" vertical="center"/>
    </xf>
    <xf numFmtId="177" fontId="16" fillId="0" borderId="5" xfId="14" applyFont="1" applyBorder="1" applyAlignment="1">
      <alignment horizontal="center" vertical="center"/>
    </xf>
    <xf numFmtId="177" fontId="16" fillId="0" borderId="7" xfId="14" applyFont="1" applyBorder="1" applyAlignment="1">
      <alignment horizontal="center" vertical="center"/>
    </xf>
    <xf numFmtId="177" fontId="1" fillId="0" borderId="6" xfId="17" applyFont="1" applyBorder="1" applyAlignment="1">
      <alignment horizontal="center" vertical="center" wrapText="1"/>
    </xf>
    <xf numFmtId="177" fontId="1" fillId="0" borderId="5" xfId="17" applyFont="1" applyBorder="1" applyAlignment="1">
      <alignment horizontal="center" vertical="center" wrapText="1"/>
    </xf>
    <xf numFmtId="177" fontId="1" fillId="0" borderId="7" xfId="17" applyFont="1" applyBorder="1" applyAlignment="1">
      <alignment horizontal="center" vertical="center" wrapText="1"/>
    </xf>
    <xf numFmtId="177" fontId="19" fillId="0" borderId="6" xfId="17" applyFont="1" applyBorder="1" applyAlignment="1">
      <alignment horizontal="center" vertical="center" wrapText="1"/>
    </xf>
    <xf numFmtId="177" fontId="19" fillId="0" borderId="5" xfId="17" applyFont="1" applyBorder="1" applyAlignment="1">
      <alignment horizontal="center" vertical="center" wrapText="1"/>
    </xf>
    <xf numFmtId="177" fontId="19" fillId="0" borderId="7" xfId="17" applyFont="1" applyBorder="1" applyAlignment="1">
      <alignment horizontal="center" vertical="center" wrapText="1"/>
    </xf>
    <xf numFmtId="177" fontId="1" fillId="0" borderId="6" xfId="2" applyFont="1" applyBorder="1" applyAlignment="1">
      <alignment horizontal="center" vertical="center" wrapText="1"/>
    </xf>
    <xf numFmtId="177" fontId="1" fillId="0" borderId="5" xfId="2" applyFont="1" applyBorder="1" applyAlignment="1">
      <alignment horizontal="center" vertical="center" wrapText="1"/>
    </xf>
    <xf numFmtId="177" fontId="1" fillId="0" borderId="7" xfId="2" applyFont="1" applyBorder="1" applyAlignment="1">
      <alignment horizontal="center" vertical="center" wrapText="1"/>
    </xf>
    <xf numFmtId="177" fontId="1" fillId="0" borderId="6" xfId="14" applyFont="1" applyBorder="1" applyAlignment="1">
      <alignment horizontal="center" vertical="center" wrapText="1"/>
    </xf>
    <xf numFmtId="177" fontId="1" fillId="0" borderId="5" xfId="14" applyFont="1" applyBorder="1" applyAlignment="1">
      <alignment horizontal="center" vertical="center" wrapText="1"/>
    </xf>
    <xf numFmtId="177" fontId="1" fillId="0" borderId="7" xfId="14" applyFont="1" applyBorder="1" applyAlignment="1">
      <alignment horizontal="center" vertical="center" wrapText="1"/>
    </xf>
    <xf numFmtId="177" fontId="17" fillId="0" borderId="6" xfId="17" applyFont="1" applyBorder="1" applyAlignment="1">
      <alignment horizontal="center" vertical="center" wrapText="1"/>
    </xf>
    <xf numFmtId="177" fontId="17" fillId="0" borderId="5" xfId="17" applyFont="1" applyBorder="1" applyAlignment="1">
      <alignment horizontal="center" vertical="center" wrapText="1"/>
    </xf>
    <xf numFmtId="177" fontId="17" fillId="0" borderId="7" xfId="17" applyFont="1" applyBorder="1" applyAlignment="1">
      <alignment horizontal="center" vertical="center" wrapText="1"/>
    </xf>
    <xf numFmtId="177" fontId="11" fillId="0" borderId="6" xfId="17" applyFont="1" applyBorder="1" applyAlignment="1">
      <alignment horizontal="center" vertical="center" wrapText="1"/>
    </xf>
    <xf numFmtId="177" fontId="11" fillId="0" borderId="5" xfId="17" applyFont="1" applyBorder="1" applyAlignment="1">
      <alignment horizontal="center" vertical="center" wrapText="1"/>
    </xf>
    <xf numFmtId="177" fontId="11" fillId="0" borderId="7" xfId="17" applyFont="1" applyBorder="1" applyAlignment="1">
      <alignment horizontal="center" vertical="center" wrapText="1"/>
    </xf>
    <xf numFmtId="177" fontId="20" fillId="0" borderId="3" xfId="14" applyFont="1" applyBorder="1" applyAlignment="1">
      <alignment horizontal="center" vertical="center"/>
    </xf>
    <xf numFmtId="177" fontId="21" fillId="0" borderId="1" xfId="14" applyFont="1" applyBorder="1" applyAlignment="1">
      <alignment horizontal="center" vertical="center"/>
    </xf>
    <xf numFmtId="177" fontId="22" fillId="0" borderId="1" xfId="14" applyFont="1" applyBorder="1" applyAlignment="1">
      <alignment horizontal="center" vertical="center"/>
    </xf>
    <xf numFmtId="177" fontId="21" fillId="0" borderId="1" xfId="14" applyFont="1" applyFill="1" applyBorder="1" applyAlignment="1">
      <alignment horizontal="center" vertical="center"/>
    </xf>
    <xf numFmtId="177" fontId="22" fillId="0" borderId="6" xfId="14" applyFont="1" applyFill="1" applyBorder="1" applyAlignment="1">
      <alignment horizontal="center" vertical="center"/>
    </xf>
    <xf numFmtId="177" fontId="22" fillId="0" borderId="5" xfId="14" applyFont="1" applyFill="1" applyBorder="1" applyAlignment="1">
      <alignment horizontal="center" vertical="center"/>
    </xf>
    <xf numFmtId="177" fontId="22" fillId="0" borderId="7" xfId="14" applyFont="1" applyFill="1" applyBorder="1" applyAlignment="1">
      <alignment horizontal="center" vertical="center"/>
    </xf>
    <xf numFmtId="0" fontId="5" fillId="0" borderId="6" xfId="14" applyNumberFormat="1" applyFont="1" applyBorder="1" applyAlignment="1">
      <alignment horizontal="center" vertical="center"/>
    </xf>
    <xf numFmtId="0" fontId="5" fillId="0" borderId="7" xfId="14" applyNumberFormat="1" applyFont="1" applyBorder="1" applyAlignment="1">
      <alignment horizontal="center" vertical="center"/>
    </xf>
    <xf numFmtId="0" fontId="35" fillId="0" borderId="6" xfId="0" applyFont="1" applyBorder="1" applyAlignment="1">
      <alignment horizontal="center" vertical="center" wrapText="1"/>
    </xf>
    <xf numFmtId="0" fontId="35" fillId="0" borderId="7" xfId="0" applyFont="1" applyBorder="1" applyAlignment="1">
      <alignment horizontal="center" vertical="center" wrapText="1"/>
    </xf>
    <xf numFmtId="0" fontId="1" fillId="0" borderId="0" xfId="14" applyNumberFormat="1" applyFont="1" applyBorder="1" applyAlignment="1">
      <alignment horizontal="center" vertical="center"/>
    </xf>
    <xf numFmtId="177" fontId="1" fillId="0" borderId="0" xfId="17" applyFont="1" applyBorder="1" applyAlignment="1">
      <alignment vertical="center" wrapText="1"/>
    </xf>
    <xf numFmtId="177" fontId="1" fillId="0" borderId="0" xfId="17" applyFont="1" applyBorder="1" applyAlignment="1">
      <alignment horizontal="center" vertical="center"/>
    </xf>
    <xf numFmtId="0" fontId="1" fillId="0" borderId="1" xfId="14" applyNumberFormat="1" applyFont="1" applyBorder="1" applyAlignment="1">
      <alignment horizontal="center" vertical="center"/>
    </xf>
    <xf numFmtId="177" fontId="1" fillId="0" borderId="1" xfId="17" applyFont="1" applyBorder="1" applyAlignment="1">
      <alignment vertical="center" wrapText="1"/>
    </xf>
    <xf numFmtId="177" fontId="1" fillId="0" borderId="1" xfId="17" applyFont="1" applyBorder="1" applyAlignment="1">
      <alignment horizontal="center" vertical="center"/>
    </xf>
    <xf numFmtId="177" fontId="4" fillId="2" borderId="6" xfId="10" applyFont="1" applyFill="1" applyBorder="1" applyAlignment="1" applyProtection="1">
      <alignment horizontal="center" vertical="center" wrapText="1"/>
      <protection locked="0"/>
    </xf>
    <xf numFmtId="177" fontId="4" fillId="2" borderId="5" xfId="10" applyFont="1" applyFill="1" applyBorder="1" applyAlignment="1" applyProtection="1">
      <alignment horizontal="center" vertical="center" wrapText="1"/>
      <protection locked="0"/>
    </xf>
    <xf numFmtId="177" fontId="4" fillId="2" borderId="7" xfId="10" applyFont="1" applyFill="1" applyBorder="1" applyAlignment="1" applyProtection="1">
      <alignment horizontal="center" vertical="center" wrapText="1"/>
      <protection locked="0"/>
    </xf>
    <xf numFmtId="177" fontId="6" fillId="2" borderId="6" xfId="10" applyFont="1" applyFill="1" applyBorder="1" applyAlignment="1" applyProtection="1">
      <alignment horizontal="center" vertical="center"/>
      <protection locked="0"/>
    </xf>
    <xf numFmtId="177" fontId="6" fillId="2" borderId="5" xfId="10" applyFont="1" applyFill="1" applyBorder="1" applyAlignment="1" applyProtection="1">
      <alignment horizontal="center" vertical="center"/>
      <protection locked="0"/>
    </xf>
    <xf numFmtId="177" fontId="6" fillId="2" borderId="7" xfId="10" applyFont="1" applyFill="1" applyBorder="1" applyAlignment="1" applyProtection="1">
      <alignment horizontal="center" vertical="center"/>
      <protection locked="0"/>
    </xf>
    <xf numFmtId="177" fontId="6" fillId="2" borderId="6" xfId="10" applyFont="1" applyFill="1" applyBorder="1" applyAlignment="1" applyProtection="1">
      <alignment horizontal="center" vertical="center" wrapText="1"/>
      <protection locked="0"/>
    </xf>
    <xf numFmtId="177" fontId="6" fillId="2" borderId="5" xfId="10" applyFont="1" applyFill="1" applyBorder="1" applyAlignment="1" applyProtection="1">
      <alignment horizontal="center" vertical="center" wrapText="1"/>
      <protection locked="0"/>
    </xf>
    <xf numFmtId="177" fontId="6" fillId="2" borderId="7" xfId="10" applyFont="1" applyFill="1" applyBorder="1" applyAlignment="1" applyProtection="1">
      <alignment horizontal="center" vertical="center" wrapText="1"/>
      <protection locked="0"/>
    </xf>
    <xf numFmtId="177" fontId="8" fillId="2" borderId="6" xfId="10" applyFont="1" applyFill="1" applyBorder="1" applyAlignment="1" applyProtection="1">
      <alignment horizontal="center" vertical="center"/>
      <protection locked="0"/>
    </xf>
    <xf numFmtId="177" fontId="8" fillId="2" borderId="7" xfId="10" applyFont="1" applyFill="1" applyBorder="1" applyAlignment="1" applyProtection="1">
      <alignment horizontal="center" vertical="center"/>
      <protection locked="0"/>
    </xf>
    <xf numFmtId="177" fontId="10" fillId="2" borderId="1" xfId="10" applyFont="1" applyFill="1" applyBorder="1" applyAlignment="1">
      <alignment horizontal="center" vertical="center" wrapText="1"/>
    </xf>
    <xf numFmtId="177" fontId="10" fillId="2" borderId="10" xfId="10" applyFont="1" applyFill="1" applyBorder="1" applyAlignment="1" applyProtection="1">
      <alignment horizontal="center" vertical="center" wrapText="1"/>
    </xf>
    <xf numFmtId="177" fontId="10" fillId="2" borderId="11" xfId="10" applyFont="1" applyFill="1" applyBorder="1" applyAlignment="1" applyProtection="1">
      <alignment horizontal="center" vertical="center" wrapText="1"/>
    </xf>
    <xf numFmtId="177" fontId="10" fillId="2" borderId="12" xfId="10" applyFont="1" applyFill="1" applyBorder="1" applyAlignment="1" applyProtection="1">
      <alignment horizontal="center" vertical="center" wrapText="1"/>
    </xf>
    <xf numFmtId="177" fontId="10" fillId="2" borderId="10" xfId="10" applyFont="1" applyFill="1" applyBorder="1" applyAlignment="1">
      <alignment horizontal="center" vertical="center" wrapText="1"/>
    </xf>
    <xf numFmtId="177" fontId="10" fillId="2" borderId="11" xfId="10" applyFont="1" applyFill="1" applyBorder="1" applyAlignment="1">
      <alignment horizontal="center" vertical="center" wrapText="1"/>
    </xf>
    <xf numFmtId="177" fontId="10" fillId="2" borderId="12" xfId="10" applyFont="1" applyFill="1" applyBorder="1" applyAlignment="1">
      <alignment horizontal="center" vertical="center" wrapText="1"/>
    </xf>
    <xf numFmtId="177" fontId="6" fillId="2" borderId="1" xfId="10" applyFont="1" applyFill="1" applyBorder="1" applyAlignment="1" applyProtection="1">
      <alignment horizontal="center" vertical="center" wrapText="1"/>
      <protection locked="0"/>
    </xf>
    <xf numFmtId="177" fontId="3" fillId="2" borderId="1" xfId="10" applyFont="1" applyFill="1" applyBorder="1" applyAlignment="1" applyProtection="1">
      <alignment horizontal="center" vertical="center" wrapText="1"/>
      <protection locked="0"/>
    </xf>
    <xf numFmtId="177" fontId="5" fillId="2" borderId="1" xfId="10" applyFont="1" applyFill="1" applyBorder="1" applyAlignment="1" applyProtection="1">
      <alignment horizontal="left" vertical="center" wrapText="1"/>
      <protection locked="0"/>
    </xf>
    <xf numFmtId="177" fontId="3" fillId="2" borderId="1" xfId="10" applyFont="1" applyFill="1" applyBorder="1" applyAlignment="1" applyProtection="1">
      <alignment horizontal="center" vertical="center"/>
      <protection locked="0"/>
    </xf>
    <xf numFmtId="177" fontId="6" fillId="2" borderId="1" xfId="10" applyFont="1" applyFill="1" applyBorder="1" applyAlignment="1" applyProtection="1">
      <alignment horizontal="center" vertical="center"/>
      <protection locked="0"/>
    </xf>
    <xf numFmtId="177" fontId="12" fillId="2" borderId="6" xfId="10" applyFont="1" applyFill="1" applyBorder="1" applyAlignment="1" applyProtection="1">
      <alignment horizontal="left" vertical="center" wrapText="1"/>
    </xf>
    <xf numFmtId="177" fontId="12" fillId="2" borderId="7" xfId="10" applyFont="1" applyFill="1" applyBorder="1" applyAlignment="1" applyProtection="1">
      <alignment horizontal="left" vertical="center" wrapText="1"/>
    </xf>
    <xf numFmtId="177" fontId="1" fillId="0" borderId="0" xfId="10" applyFont="1" applyFill="1" applyBorder="1" applyAlignment="1" applyProtection="1">
      <alignment horizontal="left" vertical="center" wrapText="1"/>
      <protection locked="0"/>
    </xf>
    <xf numFmtId="177" fontId="2" fillId="2" borderId="1" xfId="10" applyFont="1" applyFill="1" applyBorder="1" applyAlignment="1" applyProtection="1">
      <alignment horizontal="center" vertical="center" wrapText="1"/>
      <protection locked="0"/>
    </xf>
    <xf numFmtId="177" fontId="10" fillId="2" borderId="1" xfId="10" applyFont="1" applyFill="1" applyBorder="1" applyAlignment="1" applyProtection="1">
      <alignment horizontal="left" vertical="center" wrapText="1"/>
      <protection locked="0"/>
    </xf>
    <xf numFmtId="177" fontId="10" fillId="2" borderId="1" xfId="12" applyFont="1" applyFill="1" applyBorder="1" applyAlignment="1">
      <alignment vertical="center" wrapText="1"/>
    </xf>
    <xf numFmtId="177" fontId="3" fillId="2" borderId="1" xfId="2" applyFont="1" applyFill="1" applyBorder="1" applyAlignment="1" applyProtection="1">
      <alignment horizontal="center" vertical="center" wrapText="1"/>
      <protection locked="0"/>
    </xf>
    <xf numFmtId="177" fontId="3" fillId="2" borderId="1" xfId="2" applyFont="1" applyFill="1" applyBorder="1" applyAlignment="1" applyProtection="1">
      <alignment horizontal="center" vertical="center"/>
      <protection locked="0"/>
    </xf>
    <xf numFmtId="177" fontId="3" fillId="2" borderId="10" xfId="10" applyFont="1" applyFill="1" applyBorder="1" applyAlignment="1" applyProtection="1">
      <alignment horizontal="center" vertical="center" wrapText="1"/>
      <protection locked="0"/>
    </xf>
    <xf numFmtId="177" fontId="3" fillId="2" borderId="11" xfId="10" applyFont="1" applyFill="1" applyBorder="1" applyAlignment="1" applyProtection="1">
      <alignment horizontal="center" vertical="center" wrapText="1"/>
      <protection locked="0"/>
    </xf>
    <xf numFmtId="177" fontId="3" fillId="2" borderId="12" xfId="10" applyFont="1" applyFill="1" applyBorder="1" applyAlignment="1" applyProtection="1">
      <alignment horizontal="center" vertical="center" wrapText="1"/>
      <protection locked="0"/>
    </xf>
    <xf numFmtId="177" fontId="3" fillId="2" borderId="6" xfId="2" applyFont="1" applyFill="1" applyBorder="1" applyAlignment="1" applyProtection="1">
      <alignment horizontal="center" vertical="center" wrapText="1"/>
      <protection locked="0"/>
    </xf>
    <xf numFmtId="177" fontId="3" fillId="2" borderId="7" xfId="2" applyFont="1" applyFill="1" applyBorder="1" applyAlignment="1" applyProtection="1">
      <alignment horizontal="center" vertical="center" wrapText="1"/>
      <protection locked="0"/>
    </xf>
    <xf numFmtId="0" fontId="3" fillId="2" borderId="6" xfId="0" applyFont="1" applyFill="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177" fontId="3" fillId="2" borderId="10" xfId="2" applyFont="1" applyFill="1" applyBorder="1" applyAlignment="1" applyProtection="1">
      <alignment horizontal="center" vertical="center" wrapText="1"/>
      <protection locked="0"/>
    </xf>
    <xf numFmtId="177" fontId="3" fillId="2" borderId="11" xfId="2" applyFont="1" applyFill="1" applyBorder="1" applyAlignment="1" applyProtection="1">
      <alignment horizontal="center" vertical="center" wrapText="1"/>
      <protection locked="0"/>
    </xf>
    <xf numFmtId="177" fontId="3" fillId="2" borderId="12" xfId="2" applyFont="1" applyFill="1" applyBorder="1" applyAlignment="1" applyProtection="1">
      <alignment horizontal="center" vertical="center" wrapText="1"/>
      <protection locked="0"/>
    </xf>
    <xf numFmtId="177" fontId="10" fillId="2" borderId="1" xfId="10" applyFont="1" applyFill="1" applyBorder="1" applyAlignment="1" applyProtection="1">
      <alignment vertical="center" wrapText="1"/>
    </xf>
    <xf numFmtId="177" fontId="10" fillId="2" borderId="6" xfId="10" applyFont="1" applyFill="1" applyBorder="1" applyAlignment="1" applyProtection="1">
      <alignment horizontal="left" vertical="center" wrapText="1"/>
    </xf>
    <xf numFmtId="177" fontId="10" fillId="2" borderId="7" xfId="10" applyFont="1" applyFill="1" applyBorder="1" applyAlignment="1" applyProtection="1">
      <alignment horizontal="left" vertical="center" wrapText="1"/>
    </xf>
    <xf numFmtId="177" fontId="7" fillId="2" borderId="6" xfId="10" applyFont="1" applyFill="1" applyBorder="1" applyAlignment="1" applyProtection="1">
      <alignment horizontal="left" vertical="center" wrapText="1"/>
      <protection locked="0"/>
    </xf>
    <xf numFmtId="177" fontId="7" fillId="2" borderId="7" xfId="10" applyFont="1" applyFill="1" applyBorder="1" applyAlignment="1" applyProtection="1">
      <alignment horizontal="left" vertical="center" wrapText="1"/>
      <protection locked="0"/>
    </xf>
    <xf numFmtId="177" fontId="12" fillId="2" borderId="6" xfId="10" applyFont="1" applyFill="1" applyBorder="1" applyAlignment="1" applyProtection="1">
      <alignment vertical="center" wrapText="1"/>
    </xf>
    <xf numFmtId="177" fontId="12" fillId="2" borderId="7" xfId="10" applyFont="1" applyFill="1" applyBorder="1" applyAlignment="1" applyProtection="1">
      <alignment vertical="center" wrapText="1"/>
    </xf>
    <xf numFmtId="177" fontId="29" fillId="2" borderId="1" xfId="10" applyFont="1" applyFill="1" applyBorder="1" applyAlignment="1" applyProtection="1">
      <alignment horizontal="center" vertical="center" wrapText="1"/>
      <protection locked="0"/>
    </xf>
    <xf numFmtId="177" fontId="10" fillId="2" borderId="1" xfId="10" applyFont="1" applyFill="1" applyBorder="1" applyAlignment="1" applyProtection="1">
      <alignment horizontal="center" vertical="center" wrapText="1"/>
    </xf>
    <xf numFmtId="177" fontId="29" fillId="2" borderId="10" xfId="10" applyFont="1" applyFill="1" applyBorder="1" applyAlignment="1" applyProtection="1">
      <alignment horizontal="center" vertical="center" wrapText="1"/>
    </xf>
    <xf numFmtId="177" fontId="29" fillId="2" borderId="11" xfId="10" applyFont="1" applyFill="1" applyBorder="1" applyAlignment="1" applyProtection="1">
      <alignment horizontal="center" vertical="center" wrapText="1"/>
    </xf>
    <xf numFmtId="177" fontId="29" fillId="2" borderId="12" xfId="10" applyFont="1" applyFill="1" applyBorder="1" applyAlignment="1" applyProtection="1">
      <alignment horizontal="center" vertical="center" wrapText="1"/>
    </xf>
    <xf numFmtId="0" fontId="40" fillId="0" borderId="6" xfId="19" applyFont="1" applyFill="1" applyBorder="1" applyAlignment="1">
      <alignment horizontal="center" vertical="center" wrapText="1"/>
    </xf>
    <xf numFmtId="0" fontId="40" fillId="0" borderId="5" xfId="19" applyFont="1" applyFill="1" applyBorder="1" applyAlignment="1">
      <alignment horizontal="center" vertical="center" wrapText="1"/>
    </xf>
    <xf numFmtId="0" fontId="40" fillId="0" borderId="7" xfId="19" applyFont="1" applyFill="1" applyBorder="1" applyAlignment="1">
      <alignment horizontal="center" vertical="center" wrapText="1"/>
    </xf>
    <xf numFmtId="0" fontId="37" fillId="0" borderId="1" xfId="19" applyFont="1" applyFill="1" applyBorder="1" applyAlignment="1">
      <alignment horizontal="center" vertical="center" wrapText="1"/>
    </xf>
    <xf numFmtId="0" fontId="37" fillId="0" borderId="10" xfId="19" applyFont="1" applyFill="1" applyBorder="1" applyAlignment="1">
      <alignment horizontal="center" vertical="center" wrapText="1"/>
    </xf>
    <xf numFmtId="0" fontId="37" fillId="0" borderId="12" xfId="19" applyFont="1" applyFill="1" applyBorder="1" applyAlignment="1">
      <alignment horizontal="center" vertical="center" wrapText="1"/>
    </xf>
    <xf numFmtId="0" fontId="39" fillId="0" borderId="1" xfId="19" applyFont="1" applyFill="1" applyBorder="1" applyAlignment="1">
      <alignment horizontal="left" vertical="center" wrapText="1"/>
    </xf>
    <xf numFmtId="0" fontId="39" fillId="2" borderId="6" xfId="19" applyFont="1" applyFill="1" applyBorder="1" applyAlignment="1">
      <alignment horizontal="left" vertical="center" wrapText="1"/>
    </xf>
    <xf numFmtId="0" fontId="39" fillId="2" borderId="5" xfId="19" applyFont="1" applyFill="1" applyBorder="1" applyAlignment="1">
      <alignment horizontal="left" vertical="center" wrapText="1"/>
    </xf>
    <xf numFmtId="0" fontId="39" fillId="2" borderId="7" xfId="19" applyFont="1" applyFill="1" applyBorder="1" applyAlignment="1">
      <alignment horizontal="left" vertical="center" wrapText="1"/>
    </xf>
    <xf numFmtId="0" fontId="37" fillId="2" borderId="1" xfId="19" applyFont="1" applyFill="1" applyBorder="1" applyAlignment="1">
      <alignment horizontal="center" vertical="center" wrapText="1"/>
    </xf>
    <xf numFmtId="0" fontId="38" fillId="0" borderId="10" xfId="19" applyFont="1" applyFill="1" applyBorder="1" applyAlignment="1">
      <alignment horizontal="center" vertical="center" wrapText="1"/>
    </xf>
    <xf numFmtId="0" fontId="38" fillId="0" borderId="12" xfId="19" applyFont="1" applyFill="1" applyBorder="1" applyAlignment="1">
      <alignment horizontal="center" vertical="center" wrapText="1"/>
    </xf>
    <xf numFmtId="177" fontId="2" fillId="0" borderId="2" xfId="10" applyFont="1" applyFill="1" applyBorder="1" applyAlignment="1" applyProtection="1">
      <alignment horizontal="center" vertical="center" wrapText="1"/>
      <protection locked="0"/>
    </xf>
    <xf numFmtId="177" fontId="2" fillId="0" borderId="3" xfId="10" applyFont="1" applyFill="1" applyBorder="1" applyAlignment="1" applyProtection="1">
      <alignment horizontal="center" vertical="center" wrapText="1"/>
      <protection locked="0"/>
    </xf>
    <xf numFmtId="177" fontId="2" fillId="0" borderId="8" xfId="10" applyFont="1" applyFill="1" applyBorder="1" applyAlignment="1" applyProtection="1">
      <alignment horizontal="center" vertical="center" wrapText="1"/>
      <protection locked="0"/>
    </xf>
    <xf numFmtId="177" fontId="2" fillId="0" borderId="13" xfId="10" applyFont="1" applyFill="1" applyBorder="1" applyAlignment="1" applyProtection="1">
      <alignment horizontal="center" vertical="center" wrapText="1"/>
      <protection locked="0"/>
    </xf>
    <xf numFmtId="177" fontId="2" fillId="0" borderId="14" xfId="10" applyFont="1" applyFill="1" applyBorder="1" applyAlignment="1" applyProtection="1">
      <alignment horizontal="center" vertical="center" wrapText="1"/>
      <protection locked="0"/>
    </xf>
    <xf numFmtId="177" fontId="2" fillId="0" borderId="31" xfId="10" applyFont="1" applyFill="1" applyBorder="1" applyAlignment="1" applyProtection="1">
      <alignment horizontal="center" vertical="center" wrapText="1"/>
      <protection locked="0"/>
    </xf>
    <xf numFmtId="177" fontId="6" fillId="0" borderId="6" xfId="10" applyFont="1" applyFill="1" applyBorder="1" applyAlignment="1" applyProtection="1">
      <alignment horizontal="center" vertical="center" wrapText="1"/>
      <protection locked="0"/>
    </xf>
    <xf numFmtId="177" fontId="6" fillId="0" borderId="7" xfId="10" applyFont="1" applyFill="1" applyBorder="1" applyAlignment="1" applyProtection="1">
      <alignment horizontal="center" vertical="center" wrapText="1"/>
      <protection locked="0"/>
    </xf>
    <xf numFmtId="177" fontId="3" fillId="0" borderId="1" xfId="10" applyFont="1" applyBorder="1" applyAlignment="1" applyProtection="1">
      <alignment horizontal="center" vertical="center" wrapText="1"/>
      <protection locked="0"/>
    </xf>
    <xf numFmtId="177" fontId="3" fillId="0" borderId="1" xfId="10" applyFont="1" applyBorder="1" applyAlignment="1" applyProtection="1">
      <alignment horizontal="center" vertical="center"/>
      <protection locked="0"/>
    </xf>
    <xf numFmtId="177" fontId="6" fillId="0" borderId="6" xfId="10" applyFont="1" applyBorder="1" applyAlignment="1" applyProtection="1">
      <alignment horizontal="center" vertical="center"/>
      <protection locked="0"/>
    </xf>
    <xf numFmtId="177" fontId="6" fillId="0" borderId="7" xfId="10" applyFont="1" applyBorder="1" applyAlignment="1" applyProtection="1">
      <alignment horizontal="center" vertical="center"/>
      <protection locked="0"/>
    </xf>
    <xf numFmtId="0" fontId="3" fillId="4" borderId="1" xfId="10" applyNumberFormat="1" applyFont="1" applyFill="1" applyBorder="1" applyAlignment="1" applyProtection="1">
      <alignment horizontal="center" vertical="center" wrapText="1"/>
      <protection locked="0"/>
    </xf>
    <xf numFmtId="0" fontId="3" fillId="0" borderId="1" xfId="10" applyNumberFormat="1" applyFont="1" applyFill="1" applyBorder="1" applyAlignment="1" applyProtection="1">
      <alignment horizontal="center" vertical="center" wrapText="1"/>
      <protection locked="0"/>
    </xf>
    <xf numFmtId="2" fontId="7" fillId="4" borderId="1" xfId="10" applyNumberFormat="1" applyFont="1" applyFill="1" applyBorder="1" applyAlignment="1" applyProtection="1">
      <alignment horizontal="center" vertical="center" wrapText="1"/>
      <protection locked="0"/>
    </xf>
    <xf numFmtId="2" fontId="5" fillId="4" borderId="1" xfId="10" applyNumberFormat="1" applyFont="1" applyFill="1" applyBorder="1" applyAlignment="1" applyProtection="1">
      <alignment horizontal="center" vertical="center" wrapText="1"/>
      <protection locked="0"/>
    </xf>
    <xf numFmtId="2" fontId="7" fillId="4" borderId="15" xfId="10" applyNumberFormat="1" applyFont="1" applyFill="1" applyBorder="1" applyAlignment="1" applyProtection="1">
      <alignment horizontal="center" vertical="center" wrapText="1"/>
      <protection locked="0"/>
    </xf>
    <xf numFmtId="2" fontId="5" fillId="4" borderId="16" xfId="10" applyNumberFormat="1" applyFont="1" applyFill="1" applyBorder="1" applyAlignment="1" applyProtection="1">
      <alignment horizontal="center" vertical="center" wrapText="1"/>
      <protection locked="0"/>
    </xf>
    <xf numFmtId="2" fontId="5" fillId="0" borderId="1" xfId="10" applyNumberFormat="1" applyFont="1" applyFill="1" applyBorder="1" applyAlignment="1" applyProtection="1">
      <alignment horizontal="center" vertical="center" wrapText="1"/>
      <protection locked="0"/>
    </xf>
    <xf numFmtId="2" fontId="7" fillId="0" borderId="15" xfId="10" applyNumberFormat="1" applyFont="1" applyFill="1" applyBorder="1" applyAlignment="1" applyProtection="1">
      <alignment horizontal="center" vertical="center" wrapText="1"/>
      <protection locked="0"/>
    </xf>
    <xf numFmtId="2" fontId="5" fillId="0" borderId="16" xfId="10" applyNumberFormat="1" applyFont="1" applyFill="1" applyBorder="1" applyAlignment="1" applyProtection="1">
      <alignment horizontal="center" vertical="center" wrapText="1"/>
      <protection locked="0"/>
    </xf>
    <xf numFmtId="2" fontId="7" fillId="4" borderId="17" xfId="10" applyNumberFormat="1" applyFont="1" applyFill="1" applyBorder="1" applyAlignment="1" applyProtection="1">
      <alignment horizontal="center" vertical="center" wrapText="1"/>
      <protection locked="0"/>
    </xf>
    <xf numFmtId="2" fontId="5" fillId="4" borderId="18" xfId="10" applyNumberFormat="1" applyFont="1" applyFill="1" applyBorder="1" applyAlignment="1" applyProtection="1">
      <alignment horizontal="center" vertical="center" wrapText="1"/>
      <protection locked="0"/>
    </xf>
    <xf numFmtId="2" fontId="7" fillId="0" borderId="17" xfId="10" applyNumberFormat="1" applyFont="1" applyFill="1" applyBorder="1" applyAlignment="1" applyProtection="1">
      <alignment horizontal="center" vertical="center" wrapText="1"/>
      <protection locked="0"/>
    </xf>
    <xf numFmtId="2" fontId="5" fillId="0" borderId="18" xfId="10" applyNumberFormat="1" applyFont="1" applyFill="1" applyBorder="1" applyAlignment="1" applyProtection="1">
      <alignment horizontal="center" vertical="center" wrapText="1"/>
      <protection locked="0"/>
    </xf>
    <xf numFmtId="177" fontId="5" fillId="0" borderId="12" xfId="10" applyFont="1" applyFill="1" applyBorder="1" applyAlignment="1" applyProtection="1">
      <alignment horizontal="left" vertical="center" wrapText="1"/>
      <protection locked="0"/>
    </xf>
    <xf numFmtId="177" fontId="5" fillId="0" borderId="1" xfId="10" applyFont="1" applyFill="1" applyBorder="1" applyAlignment="1" applyProtection="1">
      <alignment horizontal="left" vertical="center" wrapText="1"/>
      <protection locked="0"/>
    </xf>
    <xf numFmtId="177" fontId="6" fillId="0" borderId="6" xfId="10" applyFont="1" applyFill="1" applyBorder="1" applyAlignment="1" applyProtection="1">
      <alignment horizontal="center" vertical="center"/>
      <protection locked="0"/>
    </xf>
    <xf numFmtId="177" fontId="6" fillId="0" borderId="5" xfId="10" applyFont="1" applyFill="1" applyBorder="1" applyAlignment="1" applyProtection="1">
      <alignment horizontal="center" vertical="center"/>
      <protection locked="0"/>
    </xf>
    <xf numFmtId="177" fontId="6" fillId="0" borderId="7" xfId="10" applyFont="1" applyFill="1" applyBorder="1" applyAlignment="1" applyProtection="1">
      <alignment horizontal="center" vertical="center"/>
      <protection locked="0"/>
    </xf>
    <xf numFmtId="177" fontId="6" fillId="0" borderId="1" xfId="10" applyFont="1" applyFill="1" applyBorder="1" applyAlignment="1" applyProtection="1">
      <alignment horizontal="center" vertical="center" wrapText="1"/>
      <protection locked="0"/>
    </xf>
    <xf numFmtId="177" fontId="3" fillId="0" borderId="1" xfId="10" applyFont="1" applyFill="1" applyBorder="1" applyAlignment="1" applyProtection="1">
      <alignment horizontal="center" vertical="center" wrapText="1"/>
      <protection locked="0"/>
    </xf>
    <xf numFmtId="177" fontId="6" fillId="0" borderId="1" xfId="10" applyFont="1" applyFill="1" applyBorder="1" applyAlignment="1" applyProtection="1">
      <alignment horizontal="center" vertical="center"/>
      <protection locked="0"/>
    </xf>
    <xf numFmtId="177" fontId="3" fillId="0" borderId="1" xfId="10" applyFont="1" applyFill="1" applyBorder="1" applyAlignment="1" applyProtection="1">
      <alignment horizontal="center" vertical="center"/>
      <protection locked="0"/>
    </xf>
    <xf numFmtId="0" fontId="33" fillId="0" borderId="19" xfId="0" applyFont="1" applyBorder="1" applyAlignment="1">
      <alignment horizontal="center" vertical="center"/>
    </xf>
    <xf numFmtId="0" fontId="33" fillId="0" borderId="20" xfId="0" applyFont="1" applyBorder="1" applyAlignment="1">
      <alignment horizontal="center" vertical="center"/>
    </xf>
    <xf numFmtId="0" fontId="33" fillId="0" borderId="21" xfId="0" applyFont="1" applyBorder="1" applyAlignment="1">
      <alignment horizontal="center" vertical="center"/>
    </xf>
    <xf numFmtId="0" fontId="12" fillId="0" borderId="25" xfId="8" applyFont="1" applyBorder="1" applyAlignment="1">
      <alignment horizontal="left" vertical="center" wrapText="1"/>
    </xf>
    <xf numFmtId="180" fontId="10" fillId="0" borderId="26" xfId="1" applyNumberFormat="1" applyFont="1" applyBorder="1" applyAlignment="1">
      <alignment horizontal="center" vertical="center"/>
    </xf>
    <xf numFmtId="180" fontId="10" fillId="0" borderId="27" xfId="1" applyNumberFormat="1" applyFont="1" applyBorder="1" applyAlignment="1">
      <alignment horizontal="center" vertical="center"/>
    </xf>
    <xf numFmtId="180" fontId="10" fillId="0" borderId="23" xfId="1" applyNumberFormat="1" applyFont="1" applyBorder="1" applyAlignment="1">
      <alignment horizontal="center" vertical="center"/>
    </xf>
    <xf numFmtId="177" fontId="3" fillId="2" borderId="7" xfId="10" applyFont="1" applyFill="1" applyBorder="1" applyAlignment="1" applyProtection="1">
      <alignment horizontal="center" vertical="center" wrapText="1"/>
      <protection locked="0"/>
    </xf>
    <xf numFmtId="177" fontId="8" fillId="0" borderId="1" xfId="10" applyFont="1" applyFill="1" applyBorder="1" applyAlignment="1" applyProtection="1">
      <alignment horizontal="center" vertical="center" wrapText="1"/>
      <protection locked="0"/>
    </xf>
    <xf numFmtId="177" fontId="4" fillId="0" borderId="1" xfId="10" applyFont="1" applyFill="1" applyBorder="1" applyAlignment="1" applyProtection="1">
      <alignment horizontal="center" vertical="center"/>
      <protection locked="0"/>
    </xf>
    <xf numFmtId="2" fontId="7" fillId="0" borderId="1" xfId="10" applyNumberFormat="1" applyFont="1" applyFill="1" applyBorder="1" applyAlignment="1" applyProtection="1">
      <alignment horizontal="center" vertical="center" wrapText="1"/>
      <protection locked="0"/>
    </xf>
    <xf numFmtId="177" fontId="6" fillId="0" borderId="1" xfId="10" applyFont="1" applyBorder="1" applyAlignment="1" applyProtection="1">
      <alignment horizontal="center" vertical="center"/>
      <protection locked="0"/>
    </xf>
    <xf numFmtId="177" fontId="2" fillId="0" borderId="1" xfId="10" applyFont="1" applyFill="1" applyBorder="1" applyAlignment="1" applyProtection="1">
      <alignment horizontal="center" vertical="center" wrapText="1"/>
      <protection locked="0"/>
    </xf>
    <xf numFmtId="177" fontId="1" fillId="0" borderId="5" xfId="17" applyFont="1" applyBorder="1" applyAlignment="1">
      <alignment horizontal="center" vertical="center"/>
    </xf>
    <xf numFmtId="177" fontId="1" fillId="0" borderId="7" xfId="17" applyFont="1" applyBorder="1" applyAlignment="1">
      <alignment horizontal="center" vertical="center"/>
    </xf>
  </cellXfs>
  <cellStyles count="20">
    <cellStyle name="百分比 2" xfId="1"/>
    <cellStyle name="常规" xfId="0" builtinId="0"/>
    <cellStyle name="常规 2" xfId="8"/>
    <cellStyle name="常规 2 18" xfId="9"/>
    <cellStyle name="常规 2 18 2" xfId="3"/>
    <cellStyle name="常规 2 18 3" xfId="10"/>
    <cellStyle name="常规 2 2" xfId="7"/>
    <cellStyle name="常规 2 2 5" xfId="5"/>
    <cellStyle name="常规 2 2 5 2" xfId="12"/>
    <cellStyle name="常规 3" xfId="11"/>
    <cellStyle name="常规 3 2" xfId="4"/>
    <cellStyle name="常规 3 2 2" xfId="2"/>
    <cellStyle name="常规 3 2 2 2" xfId="13"/>
    <cellStyle name="常规 3 3" xfId="6"/>
    <cellStyle name="常规 3 3 2" xfId="14"/>
    <cellStyle name="常规 4" xfId="15"/>
    <cellStyle name="常规 4 2" xfId="16"/>
    <cellStyle name="常规 5" xfId="17"/>
    <cellStyle name="常规 7" xfId="19"/>
    <cellStyle name="常规 8" xfId="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38100</xdr:colOff>
      <xdr:row>0</xdr:row>
      <xdr:rowOff>152400</xdr:rowOff>
    </xdr:from>
    <xdr:to>
      <xdr:col>4</xdr:col>
      <xdr:colOff>190500</xdr:colOff>
      <xdr:row>0</xdr:row>
      <xdr:rowOff>485775</xdr:rowOff>
    </xdr:to>
    <xdr:sp macro="" textlink="">
      <xdr:nvSpPr>
        <xdr:cNvPr id="2" name="文本框 1">
          <a:extLst>
            <a:ext uri="{FF2B5EF4-FFF2-40B4-BE49-F238E27FC236}">
              <a16:creationId xmlns:a16="http://schemas.microsoft.com/office/drawing/2014/main" id="{00000000-0008-0000-0000-000002000000}"/>
            </a:ext>
          </a:extLst>
        </xdr:cNvPr>
        <xdr:cNvSpPr txBox="1"/>
      </xdr:nvSpPr>
      <xdr:spPr>
        <a:xfrm>
          <a:off x="177800" y="152400"/>
          <a:ext cx="205168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latin typeface="+mn-ea"/>
              <a:ea typeface="+mn-ea"/>
            </a:rPr>
            <a:t>CALB</a:t>
          </a:r>
          <a:r>
            <a:rPr lang="zh-CN" altLang="en-US" sz="1200">
              <a:latin typeface="+mn-ea"/>
              <a:ea typeface="+mn-ea"/>
            </a:rPr>
            <a:t>普通商密▲</a:t>
          </a:r>
          <a:r>
            <a:rPr lang="en-US" altLang="zh-CN" sz="1200">
              <a:latin typeface="+mn-ea"/>
              <a:ea typeface="+mn-ea"/>
            </a:rPr>
            <a:t>3</a:t>
          </a:r>
          <a:r>
            <a:rPr lang="zh-CN" altLang="en-US" sz="1200">
              <a:latin typeface="+mn-ea"/>
              <a:ea typeface="+mn-ea"/>
            </a:rPr>
            <a:t>年</a:t>
          </a:r>
        </a:p>
      </xdr:txBody>
    </xdr:sp>
    <xdr:clientData/>
  </xdr:twoCellAnchor>
  <xdr:twoCellAnchor editAs="oneCell">
    <xdr:from>
      <xdr:col>9</xdr:col>
      <xdr:colOff>539749</xdr:colOff>
      <xdr:row>0</xdr:row>
      <xdr:rowOff>87312</xdr:rowOff>
    </xdr:from>
    <xdr:to>
      <xdr:col>10</xdr:col>
      <xdr:colOff>513122</xdr:colOff>
      <xdr:row>0</xdr:row>
      <xdr:rowOff>392112</xdr:rowOff>
    </xdr:to>
    <xdr:pic>
      <xdr:nvPicPr>
        <xdr:cNvPr id="4" name="图片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3687" y="87312"/>
          <a:ext cx="1005248"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462643</xdr:colOff>
      <xdr:row>6</xdr:row>
      <xdr:rowOff>58111</xdr:rowOff>
    </xdr:from>
    <xdr:to>
      <xdr:col>14</xdr:col>
      <xdr:colOff>771071</xdr:colOff>
      <xdr:row>7</xdr:row>
      <xdr:rowOff>2630128</xdr:rowOff>
    </xdr:to>
    <xdr:pic>
      <xdr:nvPicPr>
        <xdr:cNvPr id="3" name="图片 2"/>
        <xdr:cNvPicPr>
          <a:picLocks noChangeAspect="1"/>
        </xdr:cNvPicPr>
      </xdr:nvPicPr>
      <xdr:blipFill>
        <a:blip xmlns:r="http://schemas.openxmlformats.org/officeDocument/2006/relationships" r:embed="rId1"/>
        <a:stretch>
          <a:fillRect/>
        </a:stretch>
      </xdr:blipFill>
      <xdr:spPr>
        <a:xfrm>
          <a:off x="535214" y="2389468"/>
          <a:ext cx="11430000" cy="3297731"/>
        </a:xfrm>
        <a:prstGeom prst="rect">
          <a:avLst/>
        </a:prstGeom>
      </xdr:spPr>
    </xdr:pic>
    <xdr:clientData/>
  </xdr:twoCellAnchor>
  <xdr:twoCellAnchor editAs="oneCell">
    <xdr:from>
      <xdr:col>1</xdr:col>
      <xdr:colOff>498929</xdr:colOff>
      <xdr:row>8</xdr:row>
      <xdr:rowOff>45357</xdr:rowOff>
    </xdr:from>
    <xdr:to>
      <xdr:col>14</xdr:col>
      <xdr:colOff>799972</xdr:colOff>
      <xdr:row>9</xdr:row>
      <xdr:rowOff>2413000</xdr:rowOff>
    </xdr:to>
    <xdr:pic>
      <xdr:nvPicPr>
        <xdr:cNvPr id="5" name="图片 4"/>
        <xdr:cNvPicPr>
          <a:picLocks noChangeAspect="1"/>
        </xdr:cNvPicPr>
      </xdr:nvPicPr>
      <xdr:blipFill>
        <a:blip xmlns:r="http://schemas.openxmlformats.org/officeDocument/2006/relationships" r:embed="rId2"/>
        <a:stretch>
          <a:fillRect/>
        </a:stretch>
      </xdr:blipFill>
      <xdr:spPr>
        <a:xfrm>
          <a:off x="571500" y="5760357"/>
          <a:ext cx="11422615" cy="330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2870200</xdr:colOff>
      <xdr:row>18</xdr:row>
      <xdr:rowOff>97134</xdr:rowOff>
    </xdr:from>
    <xdr:to>
      <xdr:col>10</xdr:col>
      <xdr:colOff>1206500</xdr:colOff>
      <xdr:row>22</xdr:row>
      <xdr:rowOff>6349</xdr:rowOff>
    </xdr:to>
    <xdr:pic>
      <xdr:nvPicPr>
        <xdr:cNvPr id="4" name="图片 3" descr="C:\Users\MINGTA~1.DUA\AppData\Local\Temp\企业微信截图_16787599346343.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47000" y="3500734"/>
          <a:ext cx="2222500" cy="620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5</xdr:row>
      <xdr:rowOff>63499</xdr:rowOff>
    </xdr:from>
    <xdr:to>
      <xdr:col>14</xdr:col>
      <xdr:colOff>1135062</xdr:colOff>
      <xdr:row>16</xdr:row>
      <xdr:rowOff>214312</xdr:rowOff>
    </xdr:to>
    <xdr:pic>
      <xdr:nvPicPr>
        <xdr:cNvPr id="5" name="图片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0" y="1698624"/>
          <a:ext cx="10890250" cy="2944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m-file1\IE\IE%20Data%20base\ETR\06&#24180;ETR\ETR%20for%20SSL\5&#26376;&#20221;ETR\1&#26376;&#20221;ETR\Equipment%20Investment%20BG%20plan%20for%20SS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2.10\ie\IE%20Data%20base\ETR\ETR%20for%20SSL\Equipment%20Investment%20BG%20plan%20for%20SS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sl-file\IE\Ding%20Zhang\Persons%20list\O-Chart\DOCUME~1\cxhuang\LOCALS~1\Temp\temp%20-%20a%20xi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员工年资"/>
      <sheetName val="3-8"/>
      <sheetName val="Sheet1"/>
      <sheetName val="公式引用"/>
      <sheetName val="Investment_for_unit_line"/>
      <sheetName val="Equipment_Req_Plan"/>
      <sheetName val="sortin原因,项目分类"/>
      <sheetName val="清冊"/>
      <sheetName val="Workings"/>
      <sheetName val="#REF!"/>
      <sheetName val="计划损失分布"/>
      <sheetName val="Sheet2"/>
      <sheetName val="Equipment Investment BG plan fo"/>
      <sheetName val="原因分类"/>
      <sheetName val="Database"/>
      <sheetName val="Fading_Data"/>
      <sheetName val="Pressure_Data"/>
      <sheetName val="过程管控分数表"/>
      <sheetName val="Sheet5"/>
      <sheetName val="数据选项"/>
      <sheetName val="勿动"/>
      <sheetName val="破损漏液专项评比表"/>
      <sheetName val="TMK280-02"/>
      <sheetName val="Input commodity fallout"/>
      <sheetName val="Reporting"/>
      <sheetName val="#REF"/>
      <sheetName val="DATAT"/>
      <sheetName val="1-0. DMD"/>
      <sheetName val="客退客诉汇总"/>
      <sheetName val="CBU"/>
      <sheetName val="定容评测"/>
      <sheetName val="pe"/>
      <sheetName val="Sheet 2"/>
      <sheetName val="pfx_prov"/>
      <sheetName val="个人欠款账龄分析表"/>
      <sheetName val="应付"/>
      <sheetName val="Share Prices"/>
      <sheetName val="Mix A"/>
      <sheetName val="WEIGHT"/>
      <sheetName val="PV6 3.5L LX5 GMX170"/>
      <sheetName val="电池片10条生产线 "/>
      <sheetName val="data"/>
      <sheetName val="resume"/>
      <sheetName val="滯料RAW_Data"/>
      <sheetName val="呆料RAW_Data"/>
      <sheetName val="B.2"/>
      <sheetName val="E.2"/>
      <sheetName val="C.3"/>
      <sheetName val="13、管理部门_仓储办"/>
      <sheetName val="成都支援"/>
      <sheetName val="Module 新线建设周期"/>
      <sheetName val="Investment_for_unit_line1"/>
      <sheetName val="Equipment_Req_Plan1"/>
      <sheetName val="Equipment_Investment_BG_plan_fo"/>
      <sheetName val="Investment_for_unit_line2"/>
      <sheetName val="Equipment_Req_Plan2"/>
      <sheetName val="Equipment_Investment_BG_plan_f1"/>
      <sheetName val="基础数据"/>
      <sheetName val="问题分类"/>
      <sheetName val="Equipment%20Investment%20BG%20p"/>
      <sheetName val="问题类型"/>
      <sheetName val="30s Cycle_DCIR"/>
      <sheetName val="\Volumes\ Bella Zhang\1.工作文件夹\1"/>
      <sheetName val="\Users\ocean\Library\Containers"/>
      <sheetName val="\C\Users\ocean\Library\Containe"/>
      <sheetName val="\C\Volumes\ Bella Zhang\1.工作文件夹"/>
      <sheetName val="拉线"/>
      <sheetName val="Summary"/>
      <sheetName val="Assumptions sheet"/>
      <sheetName val="E Goal"/>
      <sheetName val="E_KSR"/>
      <sheetName val="All_KSR"/>
      <sheetName val="P Goal"/>
      <sheetName val="P_KSR"/>
      <sheetName val="說明"/>
      <sheetName val="运输包装"/>
      <sheetName val="Assumptions sheet raw material"/>
      <sheetName val="Material"/>
      <sheetName val="SBM-devices-FWZ"/>
      <sheetName val="Language"/>
      <sheetName val="Tabelle1"/>
      <sheetName val="Currency"/>
      <sheetName val="Sheet3"/>
      <sheetName val="分类参考"/>
      <sheetName val="CICA"/>
      <sheetName val="Raw Material Database"/>
      <sheetName val="二级明细-生产"/>
      <sheetName val="工装夹检具"/>
      <sheetName val="EV Project Schedule Rev.01"/>
      <sheetName val="C6-44221人员数量"/>
      <sheetName val="Index"/>
      <sheetName val="_Volumes_ Bella Zhang_1.工作文件夹_1"/>
      <sheetName val="_Users_ocean_Library_Containers"/>
      <sheetName val="_C_Users_ocean_Library_Containe"/>
      <sheetName val="_C_Volumes_ Bella Zhang_1.工作文件夹"/>
      <sheetName val="L EQ"/>
      <sheetName val="ﾛｲ"/>
      <sheetName val="生产领料汇总表"/>
      <sheetName val="Amortization "/>
      <sheetName val="ED&amp;D Labor Rate"/>
      <sheetName val="Drop Downs"/>
      <sheetName val="series pricing"/>
      <sheetName val="Sum"/>
      <sheetName val="Units"/>
      <sheetName val="社保公积金比例"/>
      <sheetName val="部门折旧"/>
      <sheetName val="FA-LISTING"/>
      <sheetName val="125PIECE"/>
      <sheetName val="ISRDATA"/>
      <sheetName val="Cork"/>
      <sheetName val="Bom(P1)"/>
      <sheetName val="Sorting原因 (2)"/>
      <sheetName val="HL-062021101003"/>
      <sheetName val="HL-062021101057"/>
      <sheetName val="故障类型"/>
      <sheetName val="类别"/>
      <sheetName val=""/>
      <sheetName val="人员明细"/>
      <sheetName val="BBW"/>
      <sheetName val="Investment_for_unit_line3"/>
      <sheetName val="Equipment_Req_Plan3"/>
      <sheetName val="Equipment_Investment_BG_plan_f2"/>
      <sheetName val="Module_新线建设周期"/>
      <sheetName val="30s_Cycle_DCIR"/>
      <sheetName val="\Volumes\_Bella_Zhang\1_工作文件夹\1"/>
      <sheetName val="\C\Volumes\_Bella_Zhang\1_工作文件夹"/>
      <sheetName val="Raw_Material_Database"/>
      <sheetName val="_Volumes__Bella_Zhang_1_工作文件夹_1"/>
      <sheetName val="_C_Volumes__Bella_Zhang_1_工作文件夹"/>
      <sheetName val="Sorting原因_(2)"/>
      <sheetName val="D"/>
      <sheetName val="Cntmrs"/>
      <sheetName val="FD2"/>
      <sheetName val="60℃-100% 30D "/>
      <sheetName val="Investment_for_unit_line4"/>
      <sheetName val="Equipment_Req_Plan4"/>
      <sheetName val="Equipment_Investment_BG_plan_f3"/>
      <sheetName val="Module_新线建设周期1"/>
      <sheetName val="30s_Cycle_DCIR1"/>
      <sheetName val="\Volumes\_Bella_Zhang\1_工作文件夹\2"/>
      <sheetName val="\C\Volumes\_Bella_Zhang\1_工作文件1"/>
      <sheetName val="Raw_Material_Database1"/>
      <sheetName val="_Volumes__Bella_Zhang_1_工作文件夹_2"/>
      <sheetName val="_C_Volumes__Bella_Zhang_1_工作文件1"/>
      <sheetName val="Sorting原因_(2)1"/>
      <sheetName val="30S-HPPC-SOC-Summary"/>
      <sheetName val="Matrix-Level 3-Gastonia"/>
      <sheetName val="MapData"/>
      <sheetName val="Manufactering costs"/>
      <sheetName val="1"/>
      <sheetName val="填表说明"/>
      <sheetName val="model"/>
      <sheetName val="Sheet371"/>
      <sheetName val="PROFILE"/>
      <sheetName val="Oct"/>
      <sheetName val="日程"/>
      <sheetName val="基礎数値"/>
      <sheetName val="一线排序计划"/>
      <sheetName val="COST"/>
      <sheetName val="03-产能(按平台）"/>
      <sheetName val="CALCUL"/>
      <sheetName val="COG"/>
      <sheetName val="TbList"/>
      <sheetName val="全体ｸﾞﾗﾌ"/>
      <sheetName val="VQS⑦-⑭"/>
      <sheetName val="VQS⑮"/>
      <sheetName val="APEAL詳細項目"/>
      <sheetName val="TOC"/>
      <sheetName val="iqs_data"/>
      <sheetName val="iqs_index"/>
      <sheetName val="01"/>
      <sheetName val="新中部位"/>
      <sheetName val="2-row_Opt_table"/>
      <sheetName val="見積依頼書"/>
      <sheetName val="Part (Initial A)"/>
      <sheetName val="Country Codes"/>
      <sheetName val="能源报表"/>
      <sheetName val="月度抄表"/>
      <sheetName val="低压抄表"/>
      <sheetName val=" RR.FLOOR COMP工程"/>
      <sheetName val="Admin"/>
      <sheetName val="Sheet128"/>
      <sheetName val="Idle (2)"/>
      <sheetName val="Idle"/>
      <sheetName val="各型号产量汇总表"/>
      <sheetName val="下拉菜单设置-勿删"/>
      <sheetName val="附表1-1制卷车间人员技能矩阵"/>
      <sheetName val="参照"/>
      <sheetName val="PFY、损耗"/>
      <sheetName val="数据源"/>
      <sheetName val="异物管控库"/>
      <sheetName val="9-制造成本1"/>
      <sheetName val="物料汇总"/>
      <sheetName val="第2期迄"/>
      <sheetName val="Movement"/>
      <sheetName val="Income Tax"/>
      <sheetName val="fenxi(内)"/>
      <sheetName val="项目计划"/>
      <sheetName val="新万人事资料"/>
      <sheetName val="新万辞职"/>
      <sheetName val="新万人事资料 (2)"/>
      <sheetName val="da"/>
      <sheetName val="操作岗人员变动情况分析表10月第2周"/>
      <sheetName val="Pick lists"/>
      <sheetName val="電気参考データ"/>
      <sheetName val="新万人事资料_(2)"/>
      <sheetName val="CU"/>
      <sheetName val="表紙"/>
      <sheetName val="数据库"/>
      <sheetName val="square1"/>
      <sheetName val="LTM销售"/>
      <sheetName val="HTM销售"/>
      <sheetName val="生鲜销售"/>
      <sheetName val="投资条款汇总"/>
      <sheetName val="Données"/>
      <sheetName val="総合B"/>
      <sheetName val="積港比率"/>
    </sheetNames>
    <sheetDataSet>
      <sheetData sheetId="0"/>
      <sheetData sheetId="1">
        <row r="2">
          <cell r="M2" t="str">
            <v>USD</v>
          </cell>
        </row>
      </sheetData>
      <sheetData sheetId="2" refreshError="1"/>
      <sheetData sheetId="3" refreshError="1"/>
      <sheetData sheetId="4" refreshError="1"/>
      <sheetData sheetId="5" refreshError="1"/>
      <sheetData sheetId="6"/>
      <sheetData sheetId="7">
        <row r="2">
          <cell r="M2" t="str">
            <v>USD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Workings"/>
      <sheetName val="第2期迄"/>
      <sheetName val="1-0. DMD"/>
      <sheetName val="pfx_prov"/>
      <sheetName val="定容评测"/>
      <sheetName val="DATAT"/>
      <sheetName val="Sheet2"/>
      <sheetName val="#REF!"/>
      <sheetName val="Movement"/>
      <sheetName val="Income Tax"/>
      <sheetName val="TMK280-02"/>
      <sheetName val="Index"/>
      <sheetName val="WEIGHT"/>
      <sheetName val="E Goal"/>
      <sheetName val="E_KSR"/>
      <sheetName val="All_KSR"/>
      <sheetName val="P Goal"/>
      <sheetName val="P_KSR"/>
      <sheetName val="說明"/>
      <sheetName val="pe"/>
      <sheetName val="Database"/>
      <sheetName val="生产领料汇总表"/>
      <sheetName val="fenxi(内)"/>
      <sheetName val="Cork"/>
      <sheetName val="resume"/>
      <sheetName val="L EQ"/>
      <sheetName val="Summary"/>
      <sheetName val="Assumptions sheet"/>
      <sheetName val="电池片10条生产线 "/>
      <sheetName val="PV6 3.5L LX5 GMX170"/>
      <sheetName val="滯料RAW_Data"/>
      <sheetName val="呆料RAW_Data"/>
      <sheetName val="sheet 2"/>
      <sheetName val="项目计划"/>
      <sheetName val="Assumptions sheet raw material"/>
      <sheetName val="Material"/>
      <sheetName val="SBM-devices-FWZ"/>
      <sheetName val="Investment_for_unit_line"/>
      <sheetName val="Equipment_Req_Plan"/>
      <sheetName val="清冊"/>
      <sheetName val="Amortization "/>
      <sheetName val="ED&amp;D Labor Rate"/>
      <sheetName val="Drop Downs"/>
      <sheetName val="个人欠款账龄分析表"/>
      <sheetName val="B.2"/>
      <sheetName val="E.2"/>
      <sheetName val="C.3"/>
      <sheetName val="Manufactering costs"/>
      <sheetName val="series pricing"/>
      <sheetName val="Oct"/>
      <sheetName val="data"/>
      <sheetName val="Mix A"/>
      <sheetName val="运输包装"/>
      <sheetName val="Tabelle1"/>
      <sheetName val="社保公积金比例"/>
      <sheetName val="Rate"/>
      <sheetName val="应付"/>
      <sheetName val="CALCUL"/>
      <sheetName val="TbList"/>
      <sheetName val="Language"/>
      <sheetName val="125PIECE"/>
      <sheetName val="ISRDATA"/>
      <sheetName val="#REF"/>
      <sheetName val="一线排序计划"/>
      <sheetName val="员工年资"/>
      <sheetName val="3-8"/>
      <sheetName val="Sheet1"/>
      <sheetName val="CBU"/>
      <sheetName val="投资条款汇总"/>
      <sheetName val="Currency"/>
      <sheetName val="Sheet371"/>
      <sheetName val="填表说明"/>
      <sheetName val="전수항목"/>
      <sheetName val="展開日程"/>
      <sheetName val="能耗测算标准-厂务 (2)"/>
      <sheetName val="物流费用"/>
      <sheetName val="Share Prices"/>
      <sheetName val="13、管理部门_仓储办"/>
      <sheetName val="244豪州一般ZD301生試"/>
      <sheetName val="MPL 技連"/>
      <sheetName val="342E BLOCK"/>
      <sheetName val="03-产能(按平台）"/>
      <sheetName val="Assumptions"/>
      <sheetName val="Admin"/>
      <sheetName val="Données"/>
      <sheetName val="月度抄表"/>
      <sheetName val="低压抄表"/>
      <sheetName val="部门折旧"/>
      <sheetName val="重要内部交易情况表"/>
      <sheetName val="Pick lists"/>
      <sheetName val="Sum"/>
    </sheetNames>
    <sheetDataSet>
      <sheetData sheetId="0"/>
      <sheetData sheetId="1">
        <row r="2">
          <cell r="M2" t="str">
            <v>USD</v>
          </cell>
          <cell r="N2" t="e">
            <v>#REF!</v>
          </cell>
        </row>
        <row r="3">
          <cell r="G3" t="str">
            <v>Process mode</v>
          </cell>
          <cell r="J3" t="str">
            <v>Existing</v>
          </cell>
          <cell r="K3" t="str">
            <v>On order</v>
          </cell>
          <cell r="L3" t="str">
            <v>Investment of Order</v>
          </cell>
          <cell r="M3" t="str">
            <v>Need Ordering</v>
          </cell>
          <cell r="N3" t="str">
            <v>Equipment Investment</v>
          </cell>
        </row>
        <row r="4">
          <cell r="G4" t="str">
            <v>P1/P2</v>
          </cell>
          <cell r="J4">
            <v>0</v>
          </cell>
          <cell r="K4">
            <v>0</v>
          </cell>
          <cell r="L4">
            <v>0</v>
          </cell>
          <cell r="M4" t="e">
            <v>#REF!</v>
          </cell>
          <cell r="N4" t="e">
            <v>#REF!</v>
          </cell>
        </row>
        <row r="5">
          <cell r="G5" t="str">
            <v>P1/P2</v>
          </cell>
          <cell r="J5">
            <v>0</v>
          </cell>
          <cell r="K5">
            <v>0</v>
          </cell>
          <cell r="L5">
            <v>0</v>
          </cell>
        </row>
        <row r="6">
          <cell r="G6" t="str">
            <v>P1/P2</v>
          </cell>
          <cell r="J6">
            <v>0</v>
          </cell>
          <cell r="K6">
            <v>0</v>
          </cell>
          <cell r="L6">
            <v>0</v>
          </cell>
        </row>
        <row r="7">
          <cell r="G7" t="str">
            <v>M6</v>
          </cell>
          <cell r="J7">
            <v>6</v>
          </cell>
          <cell r="K7">
            <v>1</v>
          </cell>
          <cell r="L7">
            <v>320000</v>
          </cell>
          <cell r="M7" t="e">
            <v>#REF!</v>
          </cell>
          <cell r="N7" t="e">
            <v>#REF!</v>
          </cell>
        </row>
        <row r="8">
          <cell r="G8" t="str">
            <v>M6</v>
          </cell>
          <cell r="J8">
            <v>0</v>
          </cell>
          <cell r="K8">
            <v>0</v>
          </cell>
          <cell r="L8">
            <v>0</v>
          </cell>
        </row>
        <row r="9">
          <cell r="G9" t="str">
            <v>M6</v>
          </cell>
          <cell r="J9">
            <v>0</v>
          </cell>
          <cell r="K9">
            <v>3</v>
          </cell>
          <cell r="L9">
            <v>660000</v>
          </cell>
          <cell r="M9" t="e">
            <v>#REF!</v>
          </cell>
          <cell r="N9" t="e">
            <v>#REF!</v>
          </cell>
        </row>
        <row r="10">
          <cell r="G10" t="str">
            <v>P1/P2</v>
          </cell>
          <cell r="J10">
            <v>0</v>
          </cell>
          <cell r="K10">
            <v>0</v>
          </cell>
          <cell r="L10">
            <v>0</v>
          </cell>
          <cell r="M10" t="e">
            <v>#REF!</v>
          </cell>
          <cell r="N10" t="e">
            <v>#REF!</v>
          </cell>
        </row>
        <row r="11">
          <cell r="G11" t="str">
            <v>P1/P2</v>
          </cell>
          <cell r="J11">
            <v>0</v>
          </cell>
          <cell r="K11">
            <v>0</v>
          </cell>
          <cell r="L11">
            <v>0</v>
          </cell>
        </row>
        <row r="12">
          <cell r="G12" t="str">
            <v>P1/P2</v>
          </cell>
          <cell r="J12">
            <v>0</v>
          </cell>
          <cell r="K12">
            <v>0</v>
          </cell>
          <cell r="L12">
            <v>0</v>
          </cell>
        </row>
        <row r="13">
          <cell r="G13" t="str">
            <v>P1/P2</v>
          </cell>
          <cell r="J13">
            <v>0</v>
          </cell>
          <cell r="K13">
            <v>0</v>
          </cell>
          <cell r="L13">
            <v>0</v>
          </cell>
          <cell r="M13" t="e">
            <v>#REF!</v>
          </cell>
          <cell r="N13" t="e">
            <v>#REF!</v>
          </cell>
        </row>
        <row r="14">
          <cell r="G14" t="str">
            <v>M6</v>
          </cell>
          <cell r="J14">
            <v>6</v>
          </cell>
          <cell r="K14">
            <v>8</v>
          </cell>
          <cell r="L14">
            <v>4560000</v>
          </cell>
          <cell r="M14" t="e">
            <v>#REF!</v>
          </cell>
          <cell r="N14" t="e">
            <v>#REF!</v>
          </cell>
        </row>
        <row r="15">
          <cell r="G15" t="str">
            <v>M6</v>
          </cell>
          <cell r="J15">
            <v>0</v>
          </cell>
          <cell r="K15">
            <v>0</v>
          </cell>
          <cell r="L15">
            <v>0</v>
          </cell>
        </row>
        <row r="16">
          <cell r="G16" t="str">
            <v>P1/P2</v>
          </cell>
          <cell r="J16">
            <v>0</v>
          </cell>
          <cell r="K16">
            <v>0</v>
          </cell>
          <cell r="L16">
            <v>0</v>
          </cell>
          <cell r="M16" t="e">
            <v>#REF!</v>
          </cell>
          <cell r="N16" t="e">
            <v>#REF!</v>
          </cell>
        </row>
        <row r="17">
          <cell r="G17" t="str">
            <v>P1/P2</v>
          </cell>
          <cell r="J17">
            <v>0</v>
          </cell>
          <cell r="K17">
            <v>0</v>
          </cell>
          <cell r="L17">
            <v>0</v>
          </cell>
          <cell r="M17" t="e">
            <v>#REF!</v>
          </cell>
          <cell r="N17" t="e">
            <v>#REF!</v>
          </cell>
        </row>
        <row r="18">
          <cell r="G18" t="str">
            <v>P1/P2</v>
          </cell>
          <cell r="J18">
            <v>0</v>
          </cell>
          <cell r="K18">
            <v>0</v>
          </cell>
          <cell r="L18">
            <v>0</v>
          </cell>
        </row>
        <row r="19">
          <cell r="G19" t="str">
            <v>P1/P2</v>
          </cell>
          <cell r="J19">
            <v>0</v>
          </cell>
          <cell r="K19">
            <v>6</v>
          </cell>
          <cell r="L19">
            <v>384000</v>
          </cell>
          <cell r="M19" t="e">
            <v>#REF!</v>
          </cell>
          <cell r="N19" t="e">
            <v>#REF!</v>
          </cell>
        </row>
        <row r="20">
          <cell r="G20" t="str">
            <v>P1/P2</v>
          </cell>
          <cell r="J20">
            <v>0</v>
          </cell>
          <cell r="K20">
            <v>0</v>
          </cell>
          <cell r="L20">
            <v>0</v>
          </cell>
        </row>
        <row r="21">
          <cell r="G21" t="str">
            <v>P1/P2</v>
          </cell>
          <cell r="J21">
            <v>0</v>
          </cell>
          <cell r="K21">
            <v>0</v>
          </cell>
          <cell r="L21">
            <v>0</v>
          </cell>
        </row>
        <row r="22">
          <cell r="G22" t="str">
            <v>P1/P2</v>
          </cell>
          <cell r="J22">
            <v>0</v>
          </cell>
          <cell r="K22">
            <v>0</v>
          </cell>
          <cell r="L22">
            <v>0</v>
          </cell>
        </row>
        <row r="23">
          <cell r="G23" t="str">
            <v>P1/P2</v>
          </cell>
          <cell r="J23">
            <v>0</v>
          </cell>
          <cell r="K23">
            <v>1</v>
          </cell>
          <cell r="L23">
            <v>64000</v>
          </cell>
        </row>
        <row r="24">
          <cell r="G24" t="str">
            <v>P1/P2</v>
          </cell>
          <cell r="J24">
            <v>0</v>
          </cell>
          <cell r="K24">
            <v>0</v>
          </cell>
          <cell r="L24">
            <v>0</v>
          </cell>
        </row>
        <row r="25">
          <cell r="G25" t="str">
            <v>P1/P2</v>
          </cell>
          <cell r="J25">
            <v>0</v>
          </cell>
          <cell r="K25">
            <v>0</v>
          </cell>
          <cell r="L25">
            <v>0</v>
          </cell>
        </row>
        <row r="26">
          <cell r="G26" t="str">
            <v>P1/P2</v>
          </cell>
          <cell r="J26">
            <v>0</v>
          </cell>
          <cell r="K26">
            <v>0</v>
          </cell>
          <cell r="L26">
            <v>0</v>
          </cell>
        </row>
        <row r="27">
          <cell r="G27" t="str">
            <v>P1/P2</v>
          </cell>
          <cell r="J27">
            <v>0</v>
          </cell>
          <cell r="K27">
            <v>0</v>
          </cell>
          <cell r="L27">
            <v>0</v>
          </cell>
        </row>
        <row r="28">
          <cell r="G28" t="str">
            <v>General</v>
          </cell>
          <cell r="J28">
            <v>14</v>
          </cell>
          <cell r="K28">
            <v>4</v>
          </cell>
          <cell r="L28">
            <v>216000</v>
          </cell>
          <cell r="M28" t="e">
            <v>#REF!</v>
          </cell>
          <cell r="N28" t="e">
            <v>#REF!</v>
          </cell>
        </row>
        <row r="29">
          <cell r="G29" t="str">
            <v>General</v>
          </cell>
          <cell r="J29">
            <v>0</v>
          </cell>
          <cell r="K29">
            <v>0</v>
          </cell>
          <cell r="L29">
            <v>0</v>
          </cell>
        </row>
        <row r="30">
          <cell r="G30" t="str">
            <v>General</v>
          </cell>
          <cell r="J30">
            <v>0</v>
          </cell>
          <cell r="K30">
            <v>0</v>
          </cell>
          <cell r="L30">
            <v>0</v>
          </cell>
          <cell r="N30">
            <v>0</v>
          </cell>
        </row>
        <row r="31">
          <cell r="G31" t="str">
            <v>General</v>
          </cell>
          <cell r="J31">
            <v>0</v>
          </cell>
          <cell r="K31">
            <v>0</v>
          </cell>
          <cell r="L31">
            <v>0</v>
          </cell>
          <cell r="N31">
            <v>0</v>
          </cell>
        </row>
        <row r="32">
          <cell r="G32" t="str">
            <v>General</v>
          </cell>
          <cell r="J32">
            <v>6</v>
          </cell>
          <cell r="K32">
            <v>4</v>
          </cell>
          <cell r="L32">
            <v>228000</v>
          </cell>
          <cell r="M32" t="e">
            <v>#REF!</v>
          </cell>
          <cell r="N32" t="e">
            <v>#REF!</v>
          </cell>
        </row>
        <row r="33">
          <cell r="G33" t="str">
            <v>General</v>
          </cell>
          <cell r="J33">
            <v>0</v>
          </cell>
          <cell r="K33">
            <v>0</v>
          </cell>
          <cell r="L33">
            <v>0</v>
          </cell>
        </row>
        <row r="34">
          <cell r="G34" t="str">
            <v>General</v>
          </cell>
          <cell r="J34">
            <v>0</v>
          </cell>
          <cell r="K34">
            <v>4</v>
          </cell>
          <cell r="L34">
            <v>180000</v>
          </cell>
          <cell r="M34" t="e">
            <v>#REF!</v>
          </cell>
          <cell r="N34" t="e">
            <v>#REF!</v>
          </cell>
        </row>
        <row r="35">
          <cell r="G35" t="str">
            <v>General</v>
          </cell>
          <cell r="J35">
            <v>0</v>
          </cell>
          <cell r="K35">
            <v>0</v>
          </cell>
          <cell r="L35">
            <v>0</v>
          </cell>
          <cell r="N35">
            <v>0</v>
          </cell>
        </row>
        <row r="36">
          <cell r="G36" t="str">
            <v>P1/P2</v>
          </cell>
          <cell r="J36">
            <v>0</v>
          </cell>
          <cell r="K36">
            <v>0</v>
          </cell>
          <cell r="L36">
            <v>0</v>
          </cell>
          <cell r="M36" t="e">
            <v>#REF!</v>
          </cell>
        </row>
        <row r="37">
          <cell r="G37" t="str">
            <v>P1/P2</v>
          </cell>
          <cell r="J37">
            <v>0</v>
          </cell>
          <cell r="K37">
            <v>0</v>
          </cell>
          <cell r="L37">
            <v>0</v>
          </cell>
        </row>
        <row r="38">
          <cell r="G38" t="str">
            <v>P1/P2</v>
          </cell>
          <cell r="J38">
            <v>0</v>
          </cell>
          <cell r="K38">
            <v>12</v>
          </cell>
          <cell r="L38">
            <v>3060000</v>
          </cell>
          <cell r="M38" t="e">
            <v>#REF!</v>
          </cell>
          <cell r="N38" t="e">
            <v>#REF!</v>
          </cell>
        </row>
        <row r="39">
          <cell r="G39" t="str">
            <v>P1/P2</v>
          </cell>
          <cell r="J39">
            <v>0</v>
          </cell>
          <cell r="K39">
            <v>0</v>
          </cell>
          <cell r="L39">
            <v>0</v>
          </cell>
          <cell r="M39" t="e">
            <v>#REF!</v>
          </cell>
          <cell r="N39" t="e">
            <v>#REF!</v>
          </cell>
        </row>
        <row r="40">
          <cell r="G40" t="str">
            <v>P1/P2</v>
          </cell>
          <cell r="J40">
            <v>0</v>
          </cell>
          <cell r="K40">
            <v>0</v>
          </cell>
          <cell r="L40">
            <v>0</v>
          </cell>
          <cell r="N40">
            <v>0</v>
          </cell>
        </row>
        <row r="41">
          <cell r="G41" t="str">
            <v>P1/P2</v>
          </cell>
          <cell r="J41">
            <v>0</v>
          </cell>
          <cell r="K41">
            <v>0</v>
          </cell>
          <cell r="L41">
            <v>0</v>
          </cell>
          <cell r="M41" t="e">
            <v>#REF!</v>
          </cell>
          <cell r="N41" t="e">
            <v>#REF!</v>
          </cell>
        </row>
        <row r="42">
          <cell r="G42" t="str">
            <v>P1/P2</v>
          </cell>
          <cell r="J42">
            <v>0</v>
          </cell>
          <cell r="K42">
            <v>0</v>
          </cell>
          <cell r="L42">
            <v>0</v>
          </cell>
          <cell r="N42">
            <v>0</v>
          </cell>
        </row>
        <row r="43">
          <cell r="G43" t="str">
            <v>M6</v>
          </cell>
          <cell r="J43">
            <v>0</v>
          </cell>
          <cell r="K43">
            <v>16</v>
          </cell>
          <cell r="L43">
            <v>560000</v>
          </cell>
          <cell r="M43" t="e">
            <v>#REF!</v>
          </cell>
        </row>
        <row r="44">
          <cell r="G44" t="str">
            <v>P1/P2</v>
          </cell>
          <cell r="J44">
            <v>0</v>
          </cell>
          <cell r="K44">
            <v>0</v>
          </cell>
          <cell r="L44">
            <v>0</v>
          </cell>
          <cell r="M44">
            <v>0</v>
          </cell>
        </row>
        <row r="45">
          <cell r="G45" t="str">
            <v>General</v>
          </cell>
          <cell r="J45">
            <v>0</v>
          </cell>
          <cell r="K45">
            <v>0</v>
          </cell>
          <cell r="L45">
            <v>0</v>
          </cell>
          <cell r="M45" t="e">
            <v>#REF!</v>
          </cell>
          <cell r="N45" t="e">
            <v>#REF!</v>
          </cell>
        </row>
        <row r="46">
          <cell r="G46" t="str">
            <v>General</v>
          </cell>
          <cell r="J46">
            <v>3</v>
          </cell>
          <cell r="K46">
            <v>14</v>
          </cell>
          <cell r="L46">
            <v>1680000</v>
          </cell>
          <cell r="M46" t="e">
            <v>#REF!</v>
          </cell>
          <cell r="N46" t="e">
            <v>#REF!</v>
          </cell>
        </row>
        <row r="47">
          <cell r="G47" t="str">
            <v>P1/P2</v>
          </cell>
          <cell r="J47">
            <v>7</v>
          </cell>
          <cell r="K47">
            <v>0</v>
          </cell>
          <cell r="L47">
            <v>0</v>
          </cell>
          <cell r="M47" t="e">
            <v>#REF!</v>
          </cell>
          <cell r="N47" t="e">
            <v>#REF!</v>
          </cell>
        </row>
        <row r="48">
          <cell r="G48" t="str">
            <v>P1/P2</v>
          </cell>
          <cell r="J48">
            <v>0</v>
          </cell>
          <cell r="K48">
            <v>0</v>
          </cell>
          <cell r="L48">
            <v>0</v>
          </cell>
          <cell r="N48">
            <v>0</v>
          </cell>
        </row>
        <row r="49">
          <cell r="G49" t="str">
            <v>P1/P2</v>
          </cell>
          <cell r="J49">
            <v>0</v>
          </cell>
          <cell r="K49">
            <v>0</v>
          </cell>
          <cell r="L49">
            <v>0</v>
          </cell>
          <cell r="N49">
            <v>0</v>
          </cell>
        </row>
        <row r="50">
          <cell r="G50" t="str">
            <v>P1/P2</v>
          </cell>
          <cell r="J50">
            <v>0</v>
          </cell>
          <cell r="K50">
            <v>18</v>
          </cell>
          <cell r="L50">
            <v>24300</v>
          </cell>
          <cell r="M50" t="e">
            <v>#REF!</v>
          </cell>
          <cell r="N50" t="e">
            <v>#REF!</v>
          </cell>
        </row>
        <row r="51">
          <cell r="G51" t="str">
            <v>P1/P2</v>
          </cell>
          <cell r="J51">
            <v>0</v>
          </cell>
          <cell r="K51">
            <v>0</v>
          </cell>
          <cell r="L51">
            <v>0</v>
          </cell>
          <cell r="N51">
            <v>0</v>
          </cell>
        </row>
        <row r="52">
          <cell r="G52" t="str">
            <v>General</v>
          </cell>
          <cell r="J52">
            <v>0</v>
          </cell>
          <cell r="K52">
            <v>0</v>
          </cell>
          <cell r="L52">
            <v>0</v>
          </cell>
          <cell r="N52">
            <v>0</v>
          </cell>
        </row>
        <row r="53">
          <cell r="G53" t="str">
            <v>General</v>
          </cell>
          <cell r="J53">
            <v>0</v>
          </cell>
          <cell r="K53">
            <v>0</v>
          </cell>
          <cell r="L53">
            <v>0</v>
          </cell>
          <cell r="N53">
            <v>0</v>
          </cell>
        </row>
        <row r="54">
          <cell r="G54" t="str">
            <v>P1/P2</v>
          </cell>
          <cell r="J54">
            <v>0</v>
          </cell>
          <cell r="K54">
            <v>0</v>
          </cell>
          <cell r="L54">
            <v>0</v>
          </cell>
          <cell r="M54" t="e">
            <v>#REF!</v>
          </cell>
          <cell r="N54" t="e">
            <v>#REF!</v>
          </cell>
        </row>
        <row r="55">
          <cell r="G55" t="str">
            <v>P1/P2</v>
          </cell>
          <cell r="J55">
            <v>0</v>
          </cell>
          <cell r="K55">
            <v>0</v>
          </cell>
          <cell r="L55">
            <v>0</v>
          </cell>
          <cell r="M55" t="e">
            <v>#REF!</v>
          </cell>
          <cell r="N55" t="e">
            <v>#REF!</v>
          </cell>
        </row>
        <row r="56">
          <cell r="G56" t="str">
            <v>P1/P2</v>
          </cell>
          <cell r="J56">
            <v>2</v>
          </cell>
          <cell r="K56">
            <v>0</v>
          </cell>
          <cell r="L56">
            <v>0</v>
          </cell>
          <cell r="M56" t="e">
            <v>#REF!</v>
          </cell>
          <cell r="N56" t="e">
            <v>#REF!</v>
          </cell>
        </row>
        <row r="57">
          <cell r="G57" t="str">
            <v>P1/P2</v>
          </cell>
          <cell r="J57">
            <v>0</v>
          </cell>
          <cell r="K57">
            <v>0</v>
          </cell>
          <cell r="L57">
            <v>0</v>
          </cell>
          <cell r="N57">
            <v>0</v>
          </cell>
        </row>
        <row r="58">
          <cell r="G58" t="str">
            <v>P1/P2</v>
          </cell>
          <cell r="J58">
            <v>0</v>
          </cell>
          <cell r="K58">
            <v>0</v>
          </cell>
          <cell r="L58">
            <v>0</v>
          </cell>
          <cell r="M58" t="e">
            <v>#REF!</v>
          </cell>
          <cell r="N58" t="e">
            <v>#REF!</v>
          </cell>
        </row>
        <row r="59">
          <cell r="G59" t="str">
            <v>P1/P2</v>
          </cell>
          <cell r="J59">
            <v>16</v>
          </cell>
          <cell r="K59">
            <v>1</v>
          </cell>
          <cell r="L59">
            <v>6000</v>
          </cell>
          <cell r="M59" t="e">
            <v>#REF!</v>
          </cell>
          <cell r="N59" t="e">
            <v>#REF!</v>
          </cell>
        </row>
        <row r="60">
          <cell r="G60" t="str">
            <v>M6</v>
          </cell>
          <cell r="J60">
            <v>0</v>
          </cell>
          <cell r="K60">
            <v>22</v>
          </cell>
          <cell r="L60">
            <v>440000</v>
          </cell>
          <cell r="M60" t="e">
            <v>#REF!</v>
          </cell>
          <cell r="N60" t="e">
            <v>#REF!</v>
          </cell>
        </row>
        <row r="61">
          <cell r="G61" t="str">
            <v>M6</v>
          </cell>
          <cell r="J61">
            <v>0</v>
          </cell>
          <cell r="K61">
            <v>1</v>
          </cell>
          <cell r="L61">
            <v>49000</v>
          </cell>
          <cell r="M61" t="e">
            <v>#REF!</v>
          </cell>
          <cell r="N61" t="e">
            <v>#REF!</v>
          </cell>
        </row>
        <row r="62">
          <cell r="G62" t="str">
            <v>General</v>
          </cell>
          <cell r="J62">
            <v>1</v>
          </cell>
          <cell r="K62">
            <v>2</v>
          </cell>
          <cell r="L62">
            <v>164000</v>
          </cell>
          <cell r="M62" t="e">
            <v>#REF!</v>
          </cell>
          <cell r="N62" t="e">
            <v>#REF!</v>
          </cell>
        </row>
        <row r="63">
          <cell r="G63" t="str">
            <v>M6</v>
          </cell>
          <cell r="J63">
            <v>0</v>
          </cell>
          <cell r="K63">
            <v>9</v>
          </cell>
          <cell r="L63">
            <v>166500</v>
          </cell>
          <cell r="M63" t="e">
            <v>#REF!</v>
          </cell>
          <cell r="N63" t="e">
            <v>#REF!</v>
          </cell>
        </row>
        <row r="64">
          <cell r="G64" t="str">
            <v>P1/P2</v>
          </cell>
          <cell r="J64">
            <v>0</v>
          </cell>
          <cell r="K64">
            <v>16</v>
          </cell>
          <cell r="L64">
            <v>3040000</v>
          </cell>
          <cell r="M64" t="e">
            <v>#REF!</v>
          </cell>
          <cell r="N64" t="e">
            <v>#REF!</v>
          </cell>
        </row>
        <row r="65">
          <cell r="G65" t="str">
            <v>P1/P2</v>
          </cell>
          <cell r="J65">
            <v>0</v>
          </cell>
          <cell r="K65">
            <v>0</v>
          </cell>
        </row>
        <row r="66">
          <cell r="G66" t="str">
            <v>P1/P2</v>
          </cell>
          <cell r="J66" t="str">
            <v>x</v>
          </cell>
          <cell r="K66" t="str">
            <v>x</v>
          </cell>
          <cell r="L66">
            <v>0</v>
          </cell>
          <cell r="M66">
            <v>0</v>
          </cell>
          <cell r="N66">
            <v>0</v>
          </cell>
        </row>
        <row r="67">
          <cell r="G67" t="str">
            <v>M6</v>
          </cell>
          <cell r="J67">
            <v>19</v>
          </cell>
          <cell r="K67">
            <v>14</v>
          </cell>
          <cell r="L67">
            <v>259000</v>
          </cell>
          <cell r="M67" t="e">
            <v>#REF!</v>
          </cell>
          <cell r="N67" t="e">
            <v>#REF!</v>
          </cell>
        </row>
        <row r="68">
          <cell r="G68" t="str">
            <v>M6</v>
          </cell>
          <cell r="J68">
            <v>7</v>
          </cell>
          <cell r="K68">
            <v>23</v>
          </cell>
          <cell r="L68">
            <v>73680</v>
          </cell>
          <cell r="M68" t="e">
            <v>#REF!</v>
          </cell>
          <cell r="N68" t="e">
            <v>#REF!</v>
          </cell>
        </row>
        <row r="69">
          <cell r="G69" t="str">
            <v>General</v>
          </cell>
          <cell r="J69">
            <v>0</v>
          </cell>
          <cell r="K69">
            <v>4</v>
          </cell>
          <cell r="L69">
            <v>73680</v>
          </cell>
          <cell r="M69" t="e">
            <v>#REF!</v>
          </cell>
          <cell r="N69" t="e">
            <v>#REF!</v>
          </cell>
        </row>
        <row r="70">
          <cell r="G70" t="str">
            <v>General</v>
          </cell>
          <cell r="J70">
            <v>10</v>
          </cell>
          <cell r="K70">
            <v>8</v>
          </cell>
          <cell r="L70">
            <v>800000</v>
          </cell>
          <cell r="M70" t="e">
            <v>#REF!</v>
          </cell>
          <cell r="N70" t="e">
            <v>#REF!</v>
          </cell>
        </row>
        <row r="71">
          <cell r="G71" t="str">
            <v>General</v>
          </cell>
          <cell r="J71">
            <v>0</v>
          </cell>
          <cell r="K71">
            <v>0</v>
          </cell>
          <cell r="L71">
            <v>0</v>
          </cell>
          <cell r="M71" t="e">
            <v>#REF!</v>
          </cell>
          <cell r="N71" t="e">
            <v>#REF!</v>
          </cell>
        </row>
        <row r="72">
          <cell r="G72" t="str">
            <v>M6</v>
          </cell>
          <cell r="J72">
            <v>0</v>
          </cell>
          <cell r="K72">
            <v>2</v>
          </cell>
          <cell r="L72">
            <v>18400</v>
          </cell>
          <cell r="M72" t="e">
            <v>#REF!</v>
          </cell>
          <cell r="N72" t="e">
            <v>#REF!</v>
          </cell>
        </row>
        <row r="73">
          <cell r="G73" t="str">
            <v>General</v>
          </cell>
          <cell r="J73">
            <v>22</v>
          </cell>
          <cell r="K73">
            <v>10</v>
          </cell>
          <cell r="L73">
            <v>40000</v>
          </cell>
          <cell r="M73" t="e">
            <v>#REF!</v>
          </cell>
          <cell r="N73" t="e">
            <v>#REF!</v>
          </cell>
        </row>
        <row r="74">
          <cell r="G74" t="str">
            <v>General</v>
          </cell>
          <cell r="J74">
            <v>0</v>
          </cell>
          <cell r="K74">
            <v>0</v>
          </cell>
          <cell r="L74">
            <v>0</v>
          </cell>
          <cell r="M74" t="e">
            <v>#REF!</v>
          </cell>
          <cell r="N74" t="e">
            <v>#REF!</v>
          </cell>
        </row>
        <row r="75">
          <cell r="G75" t="str">
            <v>General</v>
          </cell>
          <cell r="J75">
            <v>0</v>
          </cell>
          <cell r="K75">
            <v>0</v>
          </cell>
          <cell r="L75">
            <v>0</v>
          </cell>
        </row>
        <row r="76">
          <cell r="G76" t="str">
            <v>General</v>
          </cell>
          <cell r="J76">
            <v>0</v>
          </cell>
          <cell r="K76">
            <v>0</v>
          </cell>
          <cell r="L76">
            <v>0</v>
          </cell>
        </row>
        <row r="77">
          <cell r="G77" t="str">
            <v>General</v>
          </cell>
          <cell r="J77">
            <v>0</v>
          </cell>
          <cell r="K77">
            <v>5</v>
          </cell>
          <cell r="L77">
            <v>375000</v>
          </cell>
          <cell r="M77" t="e">
            <v>#REF!</v>
          </cell>
          <cell r="N77" t="e">
            <v>#REF!</v>
          </cell>
        </row>
        <row r="78">
          <cell r="G78" t="str">
            <v>General</v>
          </cell>
          <cell r="J78">
            <v>0</v>
          </cell>
          <cell r="K78">
            <v>0</v>
          </cell>
          <cell r="L78">
            <v>0</v>
          </cell>
          <cell r="N78">
            <v>0</v>
          </cell>
        </row>
        <row r="79">
          <cell r="G79" t="str">
            <v>General</v>
          </cell>
          <cell r="J79">
            <v>12</v>
          </cell>
          <cell r="K79">
            <v>6</v>
          </cell>
          <cell r="L79">
            <v>180000</v>
          </cell>
          <cell r="M79" t="e">
            <v>#REF!</v>
          </cell>
          <cell r="N79" t="e">
            <v>#REF!</v>
          </cell>
        </row>
        <row r="80">
          <cell r="G80" t="str">
            <v>General</v>
          </cell>
          <cell r="J80">
            <v>0</v>
          </cell>
          <cell r="K80">
            <v>0</v>
          </cell>
          <cell r="L80">
            <v>0</v>
          </cell>
          <cell r="N80">
            <v>0</v>
          </cell>
        </row>
        <row r="81">
          <cell r="G81" t="str">
            <v>General</v>
          </cell>
          <cell r="J81">
            <v>0</v>
          </cell>
          <cell r="K81">
            <v>0</v>
          </cell>
          <cell r="L81">
            <v>0</v>
          </cell>
          <cell r="N81">
            <v>0</v>
          </cell>
        </row>
        <row r="82">
          <cell r="G82" t="str">
            <v>M6</v>
          </cell>
          <cell r="J82">
            <v>2</v>
          </cell>
          <cell r="K82">
            <v>0</v>
          </cell>
          <cell r="L82">
            <v>0</v>
          </cell>
          <cell r="M82" t="e">
            <v>#REF!</v>
          </cell>
          <cell r="N82" t="e">
            <v>#REF!</v>
          </cell>
        </row>
        <row r="83">
          <cell r="G83" t="str">
            <v>M6</v>
          </cell>
          <cell r="J83">
            <v>13</v>
          </cell>
          <cell r="K83">
            <v>11</v>
          </cell>
          <cell r="L83">
            <v>6600</v>
          </cell>
          <cell r="M83" t="e">
            <v>#REF!</v>
          </cell>
          <cell r="N83" t="e">
            <v>#REF!</v>
          </cell>
        </row>
        <row r="84">
          <cell r="G84" t="str">
            <v>General</v>
          </cell>
          <cell r="J84">
            <v>0</v>
          </cell>
          <cell r="K84">
            <v>0</v>
          </cell>
          <cell r="L84">
            <v>0</v>
          </cell>
          <cell r="M84" t="e">
            <v>#REF!</v>
          </cell>
          <cell r="N84" t="e">
            <v>#REF!</v>
          </cell>
        </row>
        <row r="85">
          <cell r="G85" t="str">
            <v>General</v>
          </cell>
          <cell r="J85">
            <v>0</v>
          </cell>
          <cell r="K85">
            <v>0</v>
          </cell>
          <cell r="L85">
            <v>0</v>
          </cell>
        </row>
        <row r="86">
          <cell r="G86" t="str">
            <v>M6</v>
          </cell>
          <cell r="J86">
            <v>0</v>
          </cell>
          <cell r="K86">
            <v>0</v>
          </cell>
          <cell r="L86">
            <v>0</v>
          </cell>
          <cell r="M86" t="e">
            <v>#REF!</v>
          </cell>
          <cell r="N86" t="e">
            <v>#REF!</v>
          </cell>
        </row>
        <row r="87">
          <cell r="G87" t="str">
            <v>P1/P2</v>
          </cell>
          <cell r="J87">
            <v>0</v>
          </cell>
          <cell r="K87">
            <v>0</v>
          </cell>
          <cell r="L87">
            <v>0</v>
          </cell>
          <cell r="M87" t="e">
            <v>#REF!</v>
          </cell>
          <cell r="N87" t="e">
            <v>#REF!</v>
          </cell>
        </row>
        <row r="88">
          <cell r="G88" t="str">
            <v>P1/P2</v>
          </cell>
          <cell r="J88">
            <v>0</v>
          </cell>
          <cell r="K88">
            <v>0</v>
          </cell>
          <cell r="L88">
            <v>0</v>
          </cell>
          <cell r="M88" t="e">
            <v>#REF!</v>
          </cell>
          <cell r="N88" t="e">
            <v>#REF!</v>
          </cell>
        </row>
        <row r="89">
          <cell r="G89" t="str">
            <v>P1/P2</v>
          </cell>
          <cell r="J89">
            <v>0</v>
          </cell>
          <cell r="K89">
            <v>0</v>
          </cell>
          <cell r="L89">
            <v>0</v>
          </cell>
          <cell r="M89" t="e">
            <v>#REF!</v>
          </cell>
          <cell r="N89" t="e">
            <v>#REF!</v>
          </cell>
        </row>
        <row r="90">
          <cell r="G90" t="str">
            <v>P1/P2</v>
          </cell>
          <cell r="J90">
            <v>0</v>
          </cell>
          <cell r="K90">
            <v>0</v>
          </cell>
          <cell r="L90">
            <v>0</v>
          </cell>
          <cell r="M90" t="e">
            <v>#REF!</v>
          </cell>
          <cell r="N90" t="e">
            <v>#REF!</v>
          </cell>
        </row>
        <row r="91">
          <cell r="G91" t="str">
            <v>M6</v>
          </cell>
          <cell r="J91">
            <v>41</v>
          </cell>
          <cell r="K91">
            <v>21</v>
          </cell>
          <cell r="L91">
            <v>67200</v>
          </cell>
          <cell r="M91" t="e">
            <v>#REF!</v>
          </cell>
          <cell r="N91" t="e">
            <v>#REF!</v>
          </cell>
        </row>
        <row r="92">
          <cell r="G92" t="str">
            <v>M6</v>
          </cell>
          <cell r="J92">
            <v>0</v>
          </cell>
          <cell r="K92">
            <v>25</v>
          </cell>
          <cell r="L92">
            <v>80000</v>
          </cell>
          <cell r="M92" t="e">
            <v>#REF!</v>
          </cell>
          <cell r="N92" t="e">
            <v>#REF!</v>
          </cell>
        </row>
        <row r="93">
          <cell r="G93" t="str">
            <v>M6</v>
          </cell>
          <cell r="J93">
            <v>0</v>
          </cell>
          <cell r="K93">
            <v>0</v>
          </cell>
          <cell r="L93">
            <v>0</v>
          </cell>
          <cell r="M93" t="e">
            <v>#REF!</v>
          </cell>
          <cell r="N93" t="e">
            <v>#REF!</v>
          </cell>
        </row>
        <row r="94">
          <cell r="G94" t="str">
            <v>M6</v>
          </cell>
          <cell r="J94">
            <v>1</v>
          </cell>
          <cell r="K94">
            <v>32</v>
          </cell>
          <cell r="L94">
            <v>6720000</v>
          </cell>
          <cell r="M94" t="e">
            <v>#REF!</v>
          </cell>
          <cell r="N94" t="e">
            <v>#REF!</v>
          </cell>
        </row>
        <row r="95">
          <cell r="G95" t="str">
            <v>General</v>
          </cell>
          <cell r="J95">
            <v>6</v>
          </cell>
          <cell r="K95">
            <v>1</v>
          </cell>
          <cell r="L95">
            <v>60000</v>
          </cell>
          <cell r="M95" t="e">
            <v>#REF!</v>
          </cell>
          <cell r="N95" t="e">
            <v>#REF!</v>
          </cell>
        </row>
        <row r="96">
          <cell r="G96" t="str">
            <v>General</v>
          </cell>
          <cell r="J96">
            <v>67</v>
          </cell>
          <cell r="K96">
            <v>8</v>
          </cell>
          <cell r="L96">
            <v>240000</v>
          </cell>
          <cell r="M96" t="e">
            <v>#REF!</v>
          </cell>
          <cell r="N96" t="e">
            <v>#REF!</v>
          </cell>
        </row>
        <row r="97">
          <cell r="G97" t="str">
            <v>M6</v>
          </cell>
          <cell r="J97">
            <v>1</v>
          </cell>
          <cell r="K97">
            <v>0</v>
          </cell>
          <cell r="L97">
            <v>0</v>
          </cell>
          <cell r="M97" t="e">
            <v>#REF!</v>
          </cell>
          <cell r="N97" t="e">
            <v>#REF!</v>
          </cell>
        </row>
        <row r="98">
          <cell r="G98" t="str">
            <v>General</v>
          </cell>
          <cell r="J98">
            <v>18</v>
          </cell>
          <cell r="K98">
            <v>0</v>
          </cell>
          <cell r="L98">
            <v>0</v>
          </cell>
          <cell r="M98" t="e">
            <v>#REF!</v>
          </cell>
          <cell r="N98" t="e">
            <v>#REF!</v>
          </cell>
        </row>
        <row r="99">
          <cell r="G99" t="str">
            <v>General</v>
          </cell>
          <cell r="J99">
            <v>10</v>
          </cell>
          <cell r="K99">
            <v>2</v>
          </cell>
          <cell r="L99">
            <v>6000</v>
          </cell>
          <cell r="M99" t="e">
            <v>#REF!</v>
          </cell>
          <cell r="N99" t="e">
            <v>#REF!</v>
          </cell>
        </row>
        <row r="100">
          <cell r="G100" t="str">
            <v>M6</v>
          </cell>
          <cell r="J100">
            <v>0</v>
          </cell>
          <cell r="K100">
            <v>0</v>
          </cell>
          <cell r="L100">
            <v>0</v>
          </cell>
          <cell r="M100" t="e">
            <v>#REF!</v>
          </cell>
          <cell r="N100" t="e">
            <v>#REF!</v>
          </cell>
        </row>
        <row r="101">
          <cell r="G101" t="str">
            <v>M6</v>
          </cell>
          <cell r="J101">
            <v>2</v>
          </cell>
          <cell r="K101">
            <v>4</v>
          </cell>
          <cell r="L101">
            <v>328000</v>
          </cell>
          <cell r="M101" t="e">
            <v>#REF!</v>
          </cell>
          <cell r="N101" t="e">
            <v>#REF!</v>
          </cell>
        </row>
        <row r="102">
          <cell r="G102" t="str">
            <v>M6</v>
          </cell>
          <cell r="J102">
            <v>0</v>
          </cell>
          <cell r="K102">
            <v>2</v>
          </cell>
          <cell r="L102">
            <v>86000</v>
          </cell>
          <cell r="M102" t="e">
            <v>#REF!</v>
          </cell>
          <cell r="N102" t="e">
            <v>#REF!</v>
          </cell>
        </row>
        <row r="103">
          <cell r="G103" t="str">
            <v>General</v>
          </cell>
          <cell r="J103">
            <v>24</v>
          </cell>
          <cell r="K103">
            <v>2</v>
          </cell>
          <cell r="L103">
            <v>108000</v>
          </cell>
          <cell r="M103" t="e">
            <v>#REF!</v>
          </cell>
          <cell r="N103" t="e">
            <v>#REF!</v>
          </cell>
        </row>
        <row r="104">
          <cell r="G104" t="str">
            <v>General</v>
          </cell>
          <cell r="J104">
            <v>0</v>
          </cell>
          <cell r="K104">
            <v>6</v>
          </cell>
          <cell r="L104">
            <v>4200</v>
          </cell>
          <cell r="M104" t="e">
            <v>#REF!</v>
          </cell>
          <cell r="N104" t="e">
            <v>#REF!</v>
          </cell>
        </row>
        <row r="105">
          <cell r="G105" t="str">
            <v>P2</v>
          </cell>
          <cell r="J105">
            <v>0</v>
          </cell>
          <cell r="K105">
            <v>4</v>
          </cell>
          <cell r="L105">
            <v>900000</v>
          </cell>
          <cell r="M105" t="e">
            <v>#REF!</v>
          </cell>
          <cell r="N105" t="e">
            <v>#REF!</v>
          </cell>
        </row>
        <row r="106">
          <cell r="G106" t="str">
            <v>General</v>
          </cell>
          <cell r="J106">
            <v>0</v>
          </cell>
          <cell r="K106">
            <v>3</v>
          </cell>
          <cell r="L106">
            <v>9924000</v>
          </cell>
          <cell r="M106" t="e">
            <v>#REF!</v>
          </cell>
          <cell r="N106" t="e">
            <v>#REF!</v>
          </cell>
        </row>
        <row r="107">
          <cell r="G107" t="str">
            <v>General</v>
          </cell>
          <cell r="J107">
            <v>0</v>
          </cell>
          <cell r="K107">
            <v>0</v>
          </cell>
          <cell r="L107">
            <v>0</v>
          </cell>
        </row>
        <row r="108">
          <cell r="G108" t="str">
            <v>General</v>
          </cell>
          <cell r="J108">
            <v>4</v>
          </cell>
          <cell r="K108">
            <v>2</v>
          </cell>
          <cell r="L108">
            <v>170000</v>
          </cell>
          <cell r="M108" t="e">
            <v>#REF!</v>
          </cell>
          <cell r="N108" t="e">
            <v>#REF!</v>
          </cell>
        </row>
        <row r="109">
          <cell r="G109" t="str">
            <v>M6</v>
          </cell>
          <cell r="J109">
            <v>10</v>
          </cell>
          <cell r="K109">
            <v>11</v>
          </cell>
          <cell r="L109">
            <v>792000</v>
          </cell>
        </row>
        <row r="110">
          <cell r="G110" t="str">
            <v>M6</v>
          </cell>
          <cell r="J110">
            <v>0</v>
          </cell>
          <cell r="K110">
            <v>0</v>
          </cell>
          <cell r="L110">
            <v>0</v>
          </cell>
          <cell r="M110" t="e">
            <v>#REF!</v>
          </cell>
          <cell r="N110" t="e">
            <v>#REF!</v>
          </cell>
        </row>
        <row r="111">
          <cell r="G111" t="str">
            <v>General</v>
          </cell>
          <cell r="J111">
            <v>96</v>
          </cell>
          <cell r="K111">
            <v>269</v>
          </cell>
          <cell r="L111">
            <v>26443776</v>
          </cell>
          <cell r="M111" t="e">
            <v>#REF!</v>
          </cell>
          <cell r="N111" t="e">
            <v>#REF!</v>
          </cell>
        </row>
        <row r="112">
          <cell r="G112" t="str">
            <v>General</v>
          </cell>
          <cell r="J112">
            <v>0</v>
          </cell>
          <cell r="K112">
            <v>0</v>
          </cell>
          <cell r="L112">
            <v>0</v>
          </cell>
          <cell r="M112">
            <v>0</v>
          </cell>
          <cell r="N112">
            <v>0</v>
          </cell>
        </row>
        <row r="113">
          <cell r="G113" t="str">
            <v>General</v>
          </cell>
          <cell r="J113">
            <v>0</v>
          </cell>
          <cell r="K113">
            <v>0</v>
          </cell>
          <cell r="L113">
            <v>0</v>
          </cell>
          <cell r="M113">
            <v>0</v>
          </cell>
          <cell r="N113">
            <v>0</v>
          </cell>
        </row>
        <row r="114">
          <cell r="G114" t="str">
            <v>General</v>
          </cell>
          <cell r="J114">
            <v>2</v>
          </cell>
          <cell r="K114">
            <v>15</v>
          </cell>
          <cell r="L114">
            <v>1200000</v>
          </cell>
          <cell r="M114" t="e">
            <v>#REF!</v>
          </cell>
          <cell r="N114" t="e">
            <v>#REF!</v>
          </cell>
        </row>
        <row r="115">
          <cell r="G115" t="str">
            <v>General</v>
          </cell>
          <cell r="J115">
            <v>0</v>
          </cell>
          <cell r="K115">
            <v>0</v>
          </cell>
          <cell r="L115">
            <v>0</v>
          </cell>
          <cell r="N115">
            <v>0</v>
          </cell>
        </row>
        <row r="116">
          <cell r="G116" t="str">
            <v>M6</v>
          </cell>
          <cell r="J116">
            <v>1</v>
          </cell>
          <cell r="K116">
            <v>1</v>
          </cell>
          <cell r="L116">
            <v>115000</v>
          </cell>
          <cell r="M116" t="e">
            <v>#REF!</v>
          </cell>
          <cell r="N116" t="e">
            <v>#REF!</v>
          </cell>
        </row>
        <row r="117">
          <cell r="G117" t="str">
            <v>General</v>
          </cell>
          <cell r="J117">
            <v>0</v>
          </cell>
          <cell r="K117">
            <v>0</v>
          </cell>
          <cell r="L117">
            <v>0</v>
          </cell>
          <cell r="M117" t="e">
            <v>#REF!</v>
          </cell>
          <cell r="N117" t="e">
            <v>#REF!</v>
          </cell>
        </row>
        <row r="118">
          <cell r="G118" t="str">
            <v>General</v>
          </cell>
          <cell r="J118">
            <v>10</v>
          </cell>
          <cell r="K118">
            <v>31</v>
          </cell>
          <cell r="L118">
            <v>0</v>
          </cell>
          <cell r="M118" t="e">
            <v>#REF!</v>
          </cell>
          <cell r="N118" t="e">
            <v>#REF!</v>
          </cell>
        </row>
        <row r="119">
          <cell r="G119" t="str">
            <v>General</v>
          </cell>
          <cell r="J119">
            <v>0</v>
          </cell>
          <cell r="K119">
            <v>0</v>
          </cell>
          <cell r="L119">
            <v>0</v>
          </cell>
          <cell r="M119" t="e">
            <v>#REF!</v>
          </cell>
          <cell r="N119" t="e">
            <v>#REF!</v>
          </cell>
        </row>
        <row r="120">
          <cell r="G120" t="str">
            <v>General</v>
          </cell>
          <cell r="J120">
            <v>4</v>
          </cell>
          <cell r="K120">
            <v>0</v>
          </cell>
          <cell r="L120">
            <v>0</v>
          </cell>
          <cell r="M120" t="e">
            <v>#REF!</v>
          </cell>
          <cell r="N120" t="e">
            <v>#REF!</v>
          </cell>
        </row>
        <row r="121">
          <cell r="G121" t="str">
            <v>General</v>
          </cell>
          <cell r="J121">
            <v>2</v>
          </cell>
          <cell r="K121">
            <v>0</v>
          </cell>
          <cell r="L121">
            <v>0</v>
          </cell>
          <cell r="M121" t="e">
            <v>#REF!</v>
          </cell>
          <cell r="N121" t="e">
            <v>#REF!</v>
          </cell>
        </row>
        <row r="122">
          <cell r="G122" t="str">
            <v>General</v>
          </cell>
          <cell r="J122">
            <v>0</v>
          </cell>
          <cell r="K122">
            <v>10</v>
          </cell>
          <cell r="L122">
            <v>800000</v>
          </cell>
          <cell r="M122" t="e">
            <v>#REF!</v>
          </cell>
          <cell r="N122" t="e">
            <v>#REF!</v>
          </cell>
        </row>
        <row r="123">
          <cell r="G123" t="str">
            <v>General</v>
          </cell>
          <cell r="J123">
            <v>0</v>
          </cell>
          <cell r="K123">
            <v>1</v>
          </cell>
          <cell r="L123">
            <v>15000</v>
          </cell>
          <cell r="M123" t="e">
            <v>#REF!</v>
          </cell>
          <cell r="N123" t="e">
            <v>#REF!</v>
          </cell>
        </row>
        <row r="124">
          <cell r="G124" t="str">
            <v>General</v>
          </cell>
          <cell r="J124">
            <v>0</v>
          </cell>
          <cell r="K124">
            <v>0</v>
          </cell>
          <cell r="L124">
            <v>0</v>
          </cell>
          <cell r="M124" t="e">
            <v>#REF!</v>
          </cell>
          <cell r="N124" t="e">
            <v>#REF!</v>
          </cell>
        </row>
        <row r="125">
          <cell r="G125" t="str">
            <v>General</v>
          </cell>
          <cell r="J125">
            <v>1</v>
          </cell>
          <cell r="K125">
            <v>0</v>
          </cell>
          <cell r="L125">
            <v>0</v>
          </cell>
          <cell r="M125" t="e">
            <v>#REF!</v>
          </cell>
          <cell r="N125" t="e">
            <v>#REF!</v>
          </cell>
        </row>
        <row r="126">
          <cell r="G126" t="str">
            <v>General</v>
          </cell>
          <cell r="J126">
            <v>0</v>
          </cell>
          <cell r="K126">
            <v>0</v>
          </cell>
          <cell r="L126">
            <v>0</v>
          </cell>
          <cell r="M126">
            <v>0</v>
          </cell>
          <cell r="N126">
            <v>0</v>
          </cell>
        </row>
        <row r="127">
          <cell r="G127" t="str">
            <v>General</v>
          </cell>
          <cell r="J127">
            <v>25</v>
          </cell>
          <cell r="K127">
            <v>34</v>
          </cell>
          <cell r="L127">
            <v>102000</v>
          </cell>
          <cell r="M127" t="e">
            <v>#REF!</v>
          </cell>
          <cell r="N127" t="e">
            <v>#REF!</v>
          </cell>
        </row>
        <row r="128">
          <cell r="J128">
            <v>0</v>
          </cell>
          <cell r="K128">
            <v>0</v>
          </cell>
        </row>
        <row r="129">
          <cell r="J129">
            <v>0</v>
          </cell>
          <cell r="K129">
            <v>0</v>
          </cell>
        </row>
        <row r="130">
          <cell r="J130">
            <v>0</v>
          </cell>
          <cell r="K130">
            <v>0</v>
          </cell>
        </row>
        <row r="131">
          <cell r="J131">
            <v>0</v>
          </cell>
          <cell r="K131">
            <v>0</v>
          </cell>
        </row>
        <row r="132">
          <cell r="J132">
            <v>0</v>
          </cell>
          <cell r="K132">
            <v>0</v>
          </cell>
        </row>
        <row r="133">
          <cell r="J133">
            <v>0</v>
          </cell>
          <cell r="K133">
            <v>0</v>
          </cell>
        </row>
        <row r="134">
          <cell r="J134">
            <v>0</v>
          </cell>
          <cell r="K134">
            <v>0</v>
          </cell>
        </row>
        <row r="135">
          <cell r="J135" t="e">
            <v>#N/A</v>
          </cell>
          <cell r="K135" t="e">
            <v>#N/A</v>
          </cell>
        </row>
        <row r="136">
          <cell r="J136" t="e">
            <v>#N/A</v>
          </cell>
          <cell r="K136" t="e">
            <v>#N/A</v>
          </cell>
        </row>
        <row r="137">
          <cell r="J137" t="e">
            <v>#N/A</v>
          </cell>
          <cell r="K137" t="e">
            <v>#N/A</v>
          </cell>
        </row>
        <row r="138">
          <cell r="J138" t="e">
            <v>#N/A</v>
          </cell>
          <cell r="K138" t="e">
            <v>#N/A</v>
          </cell>
        </row>
        <row r="139">
          <cell r="J139" t="e">
            <v>#N/A</v>
          </cell>
          <cell r="K139" t="e">
            <v>#N/A</v>
          </cell>
        </row>
        <row r="140">
          <cell r="J140" t="e">
            <v>#N/A</v>
          </cell>
          <cell r="K140" t="e">
            <v>#N/A</v>
          </cell>
        </row>
        <row r="141">
          <cell r="J141" t="e">
            <v>#N/A</v>
          </cell>
          <cell r="K141" t="e">
            <v>#N/A</v>
          </cell>
        </row>
        <row r="142">
          <cell r="L142">
            <v>65789336</v>
          </cell>
          <cell r="N142" t="e">
            <v>#REF!</v>
          </cell>
        </row>
        <row r="143">
          <cell r="J143" t="str">
            <v>USD</v>
          </cell>
          <cell r="L143">
            <v>7955179.6856106417</v>
          </cell>
          <cell r="N143" t="e">
            <v>#REF!</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新万人事资料"/>
      <sheetName val="新万辞职"/>
      <sheetName val="新万人事资料 (2)"/>
      <sheetName val="da"/>
      <sheetName val="各型号产量汇总表"/>
      <sheetName val="操作岗人员变动情况分析表10月第2周"/>
      <sheetName val="Equipment Req Plan"/>
      <sheetName val="#REF!"/>
      <sheetName val="13、管理部门_仓储办"/>
      <sheetName val="电池片10条生产线 "/>
      <sheetName val="Workings"/>
      <sheetName val="Summary"/>
      <sheetName val="Assumptions sheet"/>
      <sheetName val="pe"/>
      <sheetName val="DATAT"/>
      <sheetName val="E Goal"/>
      <sheetName val="E_KSR"/>
      <sheetName val="All_KSR"/>
      <sheetName val="P Goal"/>
      <sheetName val="P_KSR"/>
      <sheetName val="說明"/>
      <sheetName val="定容评测"/>
      <sheetName val="1-0. DMD"/>
      <sheetName val="TMK280-02"/>
      <sheetName val="B.2"/>
      <sheetName val="E.2"/>
      <sheetName val="C.3"/>
      <sheetName val="Index"/>
      <sheetName val="L EQ"/>
      <sheetName val="data"/>
      <sheetName val="Amortization "/>
      <sheetName val="ED&amp;D Labor Rate"/>
      <sheetName val="Drop Downs"/>
      <sheetName val="WEIGHT"/>
      <sheetName val="pfx_prov"/>
      <sheetName val="Pick lists"/>
      <sheetName val="Assumptions sheet raw material"/>
      <sheetName val="Material"/>
      <sheetName val="SBM-devices-FWZ"/>
      <sheetName val="Cork"/>
      <sheetName val="電気参考データ"/>
      <sheetName val="Sheet 2"/>
      <sheetName val="FA-LISTING"/>
      <sheetName val="运输包装"/>
      <sheetName val="resume"/>
      <sheetName val="Database"/>
      <sheetName val="#REF"/>
      <sheetName val="新万人事资料_(2)"/>
      <sheetName val="Equipment_Req_Plan"/>
      <sheetName val="Sheet1"/>
      <sheetName val="Input commodity fallout"/>
      <sheetName val="Reporting"/>
      <sheetName val="Bom(P1)"/>
      <sheetName val="Sheet3"/>
      <sheetName val="PV6 3.5L LX5 GMX170"/>
      <sheetName val="处理方式"/>
      <sheetName val="Mix A"/>
      <sheetName val="滯料RAW_Data"/>
      <sheetName val="呆料RAW_Data"/>
      <sheetName val="ISRDATA"/>
      <sheetName val="125PIECE"/>
      <sheetName val="Fading_Data"/>
      <sheetName val="应付"/>
      <sheetName val="个人欠款账龄分析表"/>
      <sheetName val="Manufactering costs"/>
      <sheetName val="Sum"/>
      <sheetName val="Données"/>
      <sheetName val="Tabelle1"/>
      <sheetName val="能耗测算标准-厂务 (2)"/>
      <sheetName val="Rate"/>
      <sheetName val="Language"/>
      <sheetName val="清冊"/>
      <sheetName val="CBU"/>
      <sheetName val="CALCUL"/>
      <sheetName val="TbList"/>
      <sheetName val="Units"/>
      <sheetName val="二级明细-生产"/>
      <sheetName val="工装夹检具"/>
      <sheetName val="series pricing"/>
      <sheetName val="生产领料汇总表"/>
      <sheetName val="部门折旧"/>
      <sheetName val="月度抄表"/>
      <sheetName val="低压抄表"/>
      <sheetName val="Currency"/>
      <sheetName val="VQS⑦-⑭"/>
      <sheetName val="VQS⑮"/>
      <sheetName val="APEAL詳細項目"/>
      <sheetName val="TOC"/>
      <sheetName val="iqs_data"/>
      <sheetName val="iqs_index"/>
      <sheetName val="01"/>
      <sheetName val="新中部位"/>
      <sheetName val="Fab Output Plan"/>
      <sheetName val="社保公积金比例"/>
      <sheetName val="填表说明"/>
      <sheetName val="PL"/>
      <sheetName val="BS"/>
      <sheetName val="全体ｸﾞﾗﾌ"/>
      <sheetName val="temp - a xia"/>
      <sheetName val="square1"/>
      <sheetName val="PARAMETRES"/>
      <sheetName val="MPL 技連"/>
      <sheetName val="342A Block"/>
      <sheetName val="能耗测算标准-厂务"/>
      <sheetName val="EV Project Schedule Rev.01"/>
      <sheetName val="Share Prices"/>
      <sheetName val="CU"/>
      <sheetName val="1"/>
      <sheetName val="10 - MSA"/>
      <sheetName val="Deckblatt"/>
      <sheetName val="HowTo"/>
      <sheetName val="能源报表"/>
      <sheetName val="投资条款汇总"/>
      <sheetName val="QR20-1101"/>
      <sheetName val="補助"/>
      <sheetName val="MASTER"/>
      <sheetName val="XL4Poppy"/>
      <sheetName val="Admin"/>
      <sheetName val="関連ファイル読込"/>
      <sheetName val="試作営見"/>
      <sheetName val="表紙"/>
      <sheetName val="見積依頼書"/>
      <sheetName val="総合B"/>
      <sheetName val="日程"/>
    </sheetNames>
    <sheetDataSet>
      <sheetData sheetId="0" refreshError="1">
        <row r="2">
          <cell r="C2" t="str">
            <v>郑佳欣</v>
          </cell>
          <cell r="D2" t="str">
            <v>女</v>
          </cell>
          <cell r="E2">
            <v>31482</v>
          </cell>
          <cell r="F2" t="str">
            <v>410526198603112364</v>
          </cell>
        </row>
        <row r="3">
          <cell r="C3" t="str">
            <v>余仪长</v>
          </cell>
          <cell r="D3" t="str">
            <v>男</v>
          </cell>
          <cell r="E3">
            <v>31202</v>
          </cell>
          <cell r="F3" t="str">
            <v>362137198506201934</v>
          </cell>
        </row>
        <row r="4">
          <cell r="C4" t="str">
            <v>高亚振</v>
          </cell>
          <cell r="D4" t="str">
            <v>女</v>
          </cell>
          <cell r="E4">
            <v>30474</v>
          </cell>
          <cell r="F4" t="str">
            <v>411303830607392</v>
          </cell>
        </row>
        <row r="5">
          <cell r="C5" t="str">
            <v>余小芬</v>
          </cell>
          <cell r="D5" t="str">
            <v>女</v>
          </cell>
          <cell r="E5">
            <v>31676</v>
          </cell>
          <cell r="F5" t="str">
            <v>360735198609211921</v>
          </cell>
        </row>
        <row r="6">
          <cell r="C6" t="str">
            <v>邵会萍</v>
          </cell>
          <cell r="D6" t="str">
            <v>女</v>
          </cell>
          <cell r="E6">
            <v>30226</v>
          </cell>
          <cell r="F6" t="str">
            <v>610528198210028647</v>
          </cell>
        </row>
        <row r="7">
          <cell r="C7" t="str">
            <v>卜许敏</v>
          </cell>
          <cell r="D7" t="str">
            <v>女</v>
          </cell>
          <cell r="E7">
            <v>29518</v>
          </cell>
          <cell r="F7" t="str">
            <v>410223801024502</v>
          </cell>
        </row>
        <row r="8">
          <cell r="C8" t="str">
            <v>胡少婵</v>
          </cell>
          <cell r="D8" t="str">
            <v>女</v>
          </cell>
          <cell r="E8">
            <v>30801</v>
          </cell>
          <cell r="F8" t="str">
            <v>410526198404292382</v>
          </cell>
        </row>
        <row r="9">
          <cell r="C9" t="str">
            <v>陈小丽</v>
          </cell>
          <cell r="D9" t="str">
            <v>女</v>
          </cell>
          <cell r="E9">
            <v>31007</v>
          </cell>
          <cell r="F9" t="str">
            <v>411324198411210928</v>
          </cell>
        </row>
        <row r="10">
          <cell r="C10" t="str">
            <v>余成玉</v>
          </cell>
          <cell r="D10" t="str">
            <v>女</v>
          </cell>
          <cell r="E10">
            <v>31477</v>
          </cell>
          <cell r="F10" t="str">
            <v>421181198603061929</v>
          </cell>
        </row>
        <row r="11">
          <cell r="C11" t="str">
            <v>彭凤杰</v>
          </cell>
          <cell r="D11" t="str">
            <v>女</v>
          </cell>
          <cell r="E11">
            <v>29264</v>
          </cell>
          <cell r="F11" t="str">
            <v>412721800213182</v>
          </cell>
        </row>
        <row r="12">
          <cell r="C12" t="str">
            <v>李永霞</v>
          </cell>
          <cell r="D12" t="str">
            <v>女</v>
          </cell>
          <cell r="E12">
            <v>31722</v>
          </cell>
          <cell r="F12" t="str">
            <v>412721198611061422</v>
          </cell>
        </row>
        <row r="13">
          <cell r="C13" t="str">
            <v>闫会霞</v>
          </cell>
          <cell r="D13" t="str">
            <v>女</v>
          </cell>
          <cell r="E13">
            <v>31453</v>
          </cell>
          <cell r="F13" t="str">
            <v>412721198602101867</v>
          </cell>
        </row>
        <row r="14">
          <cell r="C14" t="str">
            <v>肖银华</v>
          </cell>
          <cell r="D14" t="str">
            <v>女</v>
          </cell>
          <cell r="E14">
            <v>30848</v>
          </cell>
          <cell r="F14" t="str">
            <v>412722840615252</v>
          </cell>
        </row>
        <row r="15">
          <cell r="C15" t="str">
            <v>李合平</v>
          </cell>
          <cell r="D15" t="str">
            <v>女</v>
          </cell>
          <cell r="E15">
            <v>29758</v>
          </cell>
          <cell r="F15" t="str">
            <v>430122810621552</v>
          </cell>
        </row>
        <row r="16">
          <cell r="C16" t="str">
            <v>高玉丽</v>
          </cell>
          <cell r="D16" t="str">
            <v>女</v>
          </cell>
          <cell r="E16">
            <v>31100</v>
          </cell>
          <cell r="F16" t="str">
            <v>410223198502226068</v>
          </cell>
        </row>
        <row r="17">
          <cell r="C17" t="str">
            <v>秦彩利</v>
          </cell>
          <cell r="D17" t="str">
            <v>女</v>
          </cell>
          <cell r="E17">
            <v>31242</v>
          </cell>
          <cell r="F17" t="str">
            <v>610426198507140025</v>
          </cell>
        </row>
        <row r="18">
          <cell r="C18" t="str">
            <v>张娟娟</v>
          </cell>
          <cell r="D18" t="str">
            <v>女</v>
          </cell>
          <cell r="E18">
            <v>30958</v>
          </cell>
          <cell r="F18" t="str">
            <v>610426198410030022</v>
          </cell>
        </row>
        <row r="19">
          <cell r="C19" t="str">
            <v>张秋亭</v>
          </cell>
          <cell r="D19" t="str">
            <v>女</v>
          </cell>
          <cell r="E19">
            <v>31237</v>
          </cell>
          <cell r="F19" t="str">
            <v>610426198507090021</v>
          </cell>
        </row>
        <row r="20">
          <cell r="C20" t="str">
            <v>余爽</v>
          </cell>
          <cell r="D20" t="str">
            <v>女</v>
          </cell>
          <cell r="E20">
            <v>31689</v>
          </cell>
          <cell r="F20" t="str">
            <v>411303198610043921</v>
          </cell>
        </row>
        <row r="21">
          <cell r="C21" t="str">
            <v>刘林艳</v>
          </cell>
          <cell r="D21" t="str">
            <v>女</v>
          </cell>
          <cell r="E21">
            <v>30232</v>
          </cell>
          <cell r="F21" t="str">
            <v>430522821008882</v>
          </cell>
        </row>
        <row r="22">
          <cell r="C22" t="str">
            <v>李婷婷</v>
          </cell>
          <cell r="D22" t="str">
            <v>女</v>
          </cell>
          <cell r="E22">
            <v>29536</v>
          </cell>
          <cell r="F22" t="str">
            <v>420684198011115028</v>
          </cell>
        </row>
        <row r="23">
          <cell r="C23" t="str">
            <v>胡翠英</v>
          </cell>
          <cell r="D23" t="str">
            <v>女</v>
          </cell>
          <cell r="E23">
            <v>30025</v>
          </cell>
          <cell r="F23" t="str">
            <v>410526820315234</v>
          </cell>
        </row>
        <row r="24">
          <cell r="C24" t="str">
            <v>周庆国</v>
          </cell>
          <cell r="D24" t="str">
            <v>男</v>
          </cell>
          <cell r="E24">
            <v>28706</v>
          </cell>
          <cell r="F24" t="str">
            <v>421023197808040714</v>
          </cell>
        </row>
        <row r="25">
          <cell r="C25" t="str">
            <v>钱彪</v>
          </cell>
          <cell r="D25" t="str">
            <v>男</v>
          </cell>
          <cell r="E25">
            <v>27221</v>
          </cell>
          <cell r="F25" t="str">
            <v>36220219740711151</v>
          </cell>
        </row>
        <row r="26">
          <cell r="C26" t="str">
            <v>付艳玲</v>
          </cell>
          <cell r="D26" t="str">
            <v>女</v>
          </cell>
          <cell r="E26">
            <v>30700</v>
          </cell>
          <cell r="F26" t="str">
            <v>420621198401198943</v>
          </cell>
        </row>
        <row r="27">
          <cell r="C27" t="str">
            <v>李娜</v>
          </cell>
          <cell r="D27" t="str">
            <v>女</v>
          </cell>
          <cell r="E27">
            <v>30222</v>
          </cell>
          <cell r="F27" t="str">
            <v>420621198209288623</v>
          </cell>
        </row>
        <row r="28">
          <cell r="C28" t="str">
            <v>杨宁宁</v>
          </cell>
          <cell r="D28" t="str">
            <v>女</v>
          </cell>
          <cell r="E28">
            <v>30607</v>
          </cell>
          <cell r="F28" t="str">
            <v>610424831018286</v>
          </cell>
        </row>
        <row r="29">
          <cell r="C29" t="str">
            <v>王静</v>
          </cell>
          <cell r="D29" t="str">
            <v>女</v>
          </cell>
          <cell r="E29">
            <v>31393</v>
          </cell>
          <cell r="F29" t="str">
            <v>411303198512124226</v>
          </cell>
        </row>
        <row r="30">
          <cell r="C30" t="str">
            <v>宋丽娜</v>
          </cell>
          <cell r="D30" t="str">
            <v>女</v>
          </cell>
          <cell r="E30">
            <v>31544</v>
          </cell>
          <cell r="F30" t="str">
            <v>41102419860512166</v>
          </cell>
        </row>
        <row r="31">
          <cell r="C31" t="str">
            <v>郭会琴</v>
          </cell>
          <cell r="D31" t="str">
            <v>女</v>
          </cell>
          <cell r="E31">
            <v>31153</v>
          </cell>
          <cell r="F31" t="str">
            <v>412721198506143821</v>
          </cell>
        </row>
        <row r="32">
          <cell r="C32" t="str">
            <v>靳利远</v>
          </cell>
          <cell r="D32" t="str">
            <v>女</v>
          </cell>
          <cell r="E32">
            <v>31380</v>
          </cell>
          <cell r="F32" t="str">
            <v>412721198511294288</v>
          </cell>
        </row>
        <row r="33">
          <cell r="C33" t="str">
            <v>潘玲玲</v>
          </cell>
          <cell r="D33" t="str">
            <v>女</v>
          </cell>
          <cell r="E33">
            <v>31489</v>
          </cell>
          <cell r="F33" t="str">
            <v>411024198603181643</v>
          </cell>
        </row>
        <row r="34">
          <cell r="C34" t="str">
            <v>宋利敬</v>
          </cell>
          <cell r="D34" t="str">
            <v>女</v>
          </cell>
          <cell r="E34">
            <v>31451</v>
          </cell>
          <cell r="F34" t="str">
            <v>411024198602081624</v>
          </cell>
        </row>
        <row r="35">
          <cell r="C35" t="str">
            <v>吴飞飞</v>
          </cell>
          <cell r="D35" t="str">
            <v>女</v>
          </cell>
          <cell r="E35">
            <v>31486</v>
          </cell>
          <cell r="F35" t="str">
            <v>412721198603153845</v>
          </cell>
        </row>
        <row r="36">
          <cell r="C36" t="str">
            <v>张亚丽</v>
          </cell>
          <cell r="D36" t="str">
            <v>女</v>
          </cell>
          <cell r="E36">
            <v>31712</v>
          </cell>
          <cell r="F36" t="str">
            <v>412721198610273845</v>
          </cell>
        </row>
        <row r="37">
          <cell r="C37" t="str">
            <v>张春娜</v>
          </cell>
          <cell r="D37" t="str">
            <v>女</v>
          </cell>
          <cell r="E37">
            <v>31459</v>
          </cell>
          <cell r="F37" t="str">
            <v>412721198602163064</v>
          </cell>
        </row>
        <row r="38">
          <cell r="C38" t="str">
            <v>张丹</v>
          </cell>
          <cell r="D38" t="str">
            <v>女</v>
          </cell>
          <cell r="E38">
            <v>31707</v>
          </cell>
          <cell r="F38" t="str">
            <v>412721198610223864</v>
          </cell>
        </row>
        <row r="39">
          <cell r="C39" t="str">
            <v>王盼</v>
          </cell>
          <cell r="D39" t="str">
            <v>女</v>
          </cell>
          <cell r="E39">
            <v>31071</v>
          </cell>
          <cell r="F39" t="str">
            <v>412721198501240649</v>
          </cell>
        </row>
        <row r="40">
          <cell r="C40" t="str">
            <v>卢卫捧</v>
          </cell>
          <cell r="D40" t="str">
            <v>女</v>
          </cell>
          <cell r="E40">
            <v>30691</v>
          </cell>
          <cell r="F40" t="str">
            <v>412721198401105829</v>
          </cell>
        </row>
        <row r="41">
          <cell r="C41" t="str">
            <v>周永丽</v>
          </cell>
          <cell r="D41" t="str">
            <v>女</v>
          </cell>
          <cell r="E41">
            <v>31653</v>
          </cell>
          <cell r="F41" t="str">
            <v>412721198608293046</v>
          </cell>
        </row>
        <row r="42">
          <cell r="C42" t="str">
            <v>靳书平</v>
          </cell>
          <cell r="D42" t="str">
            <v>女</v>
          </cell>
          <cell r="E42">
            <v>31026</v>
          </cell>
          <cell r="F42" t="str">
            <v>410223198412105561</v>
          </cell>
        </row>
        <row r="43">
          <cell r="C43" t="str">
            <v>张红霞</v>
          </cell>
          <cell r="D43" t="str">
            <v>女</v>
          </cell>
          <cell r="E43">
            <v>29858</v>
          </cell>
          <cell r="F43" t="str">
            <v>410223198109292085</v>
          </cell>
        </row>
        <row r="44">
          <cell r="C44" t="str">
            <v>张卫琴</v>
          </cell>
          <cell r="D44" t="str">
            <v>女</v>
          </cell>
          <cell r="E44">
            <v>31166</v>
          </cell>
          <cell r="F44" t="str">
            <v>412721198504293869</v>
          </cell>
        </row>
        <row r="45">
          <cell r="C45" t="str">
            <v>王亚丽</v>
          </cell>
          <cell r="D45" t="str">
            <v>女</v>
          </cell>
          <cell r="E45">
            <v>31690</v>
          </cell>
          <cell r="F45" t="str">
            <v>412721198610053869</v>
          </cell>
        </row>
        <row r="46">
          <cell r="C46" t="str">
            <v>李树叶</v>
          </cell>
          <cell r="D46" t="str">
            <v>女</v>
          </cell>
          <cell r="E46">
            <v>31048</v>
          </cell>
          <cell r="F46" t="str">
            <v>412721198501013841</v>
          </cell>
        </row>
        <row r="47">
          <cell r="C47" t="str">
            <v>李俊峰</v>
          </cell>
          <cell r="D47" t="str">
            <v>女</v>
          </cell>
          <cell r="E47">
            <v>31449</v>
          </cell>
          <cell r="F47" t="str">
            <v>412721198602063848</v>
          </cell>
        </row>
        <row r="48">
          <cell r="C48" t="str">
            <v>齐曼</v>
          </cell>
          <cell r="D48" t="str">
            <v>女</v>
          </cell>
          <cell r="E48">
            <v>31055</v>
          </cell>
          <cell r="F48" t="str">
            <v>412721198501083444</v>
          </cell>
        </row>
        <row r="49">
          <cell r="C49" t="str">
            <v>袁艳芳</v>
          </cell>
          <cell r="D49" t="str">
            <v>女</v>
          </cell>
          <cell r="E49">
            <v>30229</v>
          </cell>
          <cell r="F49" t="str">
            <v>411024821005002</v>
          </cell>
        </row>
        <row r="50">
          <cell r="C50" t="str">
            <v>周培培</v>
          </cell>
          <cell r="D50" t="str">
            <v>女</v>
          </cell>
          <cell r="E50">
            <v>31575</v>
          </cell>
          <cell r="F50" t="str">
            <v>412721198606123043</v>
          </cell>
        </row>
        <row r="51">
          <cell r="C51" t="str">
            <v>李芳</v>
          </cell>
          <cell r="D51" t="str">
            <v>女</v>
          </cell>
          <cell r="E51">
            <v>31469</v>
          </cell>
          <cell r="F51" t="str">
            <v>412721198602263444</v>
          </cell>
        </row>
        <row r="52">
          <cell r="C52" t="str">
            <v>刘素红</v>
          </cell>
          <cell r="D52" t="str">
            <v>女</v>
          </cell>
          <cell r="E52">
            <v>30146</v>
          </cell>
          <cell r="F52" t="str">
            <v>411024820714008</v>
          </cell>
        </row>
        <row r="53">
          <cell r="C53" t="str">
            <v>何彦平</v>
          </cell>
          <cell r="D53" t="str">
            <v>女</v>
          </cell>
          <cell r="E53">
            <v>31183</v>
          </cell>
          <cell r="F53" t="str">
            <v>410223198505165547</v>
          </cell>
        </row>
        <row r="54">
          <cell r="C54" t="str">
            <v>陈萍</v>
          </cell>
          <cell r="D54" t="str">
            <v>女</v>
          </cell>
          <cell r="E54">
            <v>30903</v>
          </cell>
          <cell r="F54" t="str">
            <v>412721198408093867</v>
          </cell>
        </row>
        <row r="55">
          <cell r="C55" t="str">
            <v>李玲玲</v>
          </cell>
          <cell r="D55" t="str">
            <v>女</v>
          </cell>
          <cell r="E55">
            <v>30837</v>
          </cell>
          <cell r="F55" t="str">
            <v>41022319840604554X</v>
          </cell>
        </row>
        <row r="56">
          <cell r="C56" t="str">
            <v>孙华敏</v>
          </cell>
          <cell r="D56" t="str">
            <v>女</v>
          </cell>
          <cell r="E56">
            <v>30942</v>
          </cell>
          <cell r="F56" t="str">
            <v>412721198409173420</v>
          </cell>
        </row>
        <row r="57">
          <cell r="C57" t="str">
            <v>潘艳杰</v>
          </cell>
          <cell r="D57" t="str">
            <v>女</v>
          </cell>
          <cell r="E57">
            <v>30374</v>
          </cell>
          <cell r="F57" t="str">
            <v>412721830227508</v>
          </cell>
        </row>
        <row r="58">
          <cell r="C58" t="str">
            <v>王丽艳</v>
          </cell>
          <cell r="D58" t="str">
            <v>女</v>
          </cell>
          <cell r="E58">
            <v>31112</v>
          </cell>
          <cell r="F58" t="str">
            <v>412721198503060641</v>
          </cell>
        </row>
        <row r="59">
          <cell r="C59" t="str">
            <v>高利敏</v>
          </cell>
          <cell r="D59" t="str">
            <v>女</v>
          </cell>
          <cell r="E59">
            <v>31070</v>
          </cell>
          <cell r="F59" t="str">
            <v>412721198501233844</v>
          </cell>
        </row>
        <row r="60">
          <cell r="C60" t="str">
            <v>张瑞杰</v>
          </cell>
          <cell r="D60" t="str">
            <v>女</v>
          </cell>
          <cell r="E60">
            <v>30967</v>
          </cell>
          <cell r="F60" t="str">
            <v>410223198410122085</v>
          </cell>
        </row>
        <row r="61">
          <cell r="C61" t="str">
            <v>罗招萍</v>
          </cell>
          <cell r="D61" t="str">
            <v>女</v>
          </cell>
          <cell r="E61">
            <v>31616</v>
          </cell>
          <cell r="F61" t="str">
            <v>522627198607234827</v>
          </cell>
        </row>
        <row r="62">
          <cell r="C62" t="str">
            <v>卢晓丽</v>
          </cell>
          <cell r="D62" t="str">
            <v>女</v>
          </cell>
          <cell r="E62">
            <v>31364</v>
          </cell>
          <cell r="F62" t="str">
            <v>412721198511135826</v>
          </cell>
        </row>
        <row r="63">
          <cell r="C63" t="str">
            <v>田纪红</v>
          </cell>
          <cell r="D63" t="str">
            <v>女</v>
          </cell>
          <cell r="E63">
            <v>31755</v>
          </cell>
          <cell r="F63" t="str">
            <v>412721198612093821</v>
          </cell>
        </row>
        <row r="64">
          <cell r="C64" t="str">
            <v>郭艳丽</v>
          </cell>
          <cell r="D64" t="str">
            <v>女</v>
          </cell>
          <cell r="E64">
            <v>31163</v>
          </cell>
          <cell r="F64" t="str">
            <v>412721198504265446</v>
          </cell>
        </row>
        <row r="65">
          <cell r="C65" t="str">
            <v>周金萍</v>
          </cell>
          <cell r="D65" t="str">
            <v>女</v>
          </cell>
          <cell r="E65">
            <v>29480</v>
          </cell>
          <cell r="F65" t="str">
            <v>511222800916002</v>
          </cell>
        </row>
        <row r="66">
          <cell r="C66" t="str">
            <v>梁红梅</v>
          </cell>
          <cell r="D66" t="str">
            <v>女</v>
          </cell>
          <cell r="E66">
            <v>29039</v>
          </cell>
          <cell r="F66" t="str">
            <v>450122790703454</v>
          </cell>
        </row>
        <row r="67">
          <cell r="C67" t="str">
            <v>祝必凤</v>
          </cell>
          <cell r="D67" t="str">
            <v>女</v>
          </cell>
          <cell r="E67">
            <v>30627</v>
          </cell>
          <cell r="F67" t="str">
            <v>430623198311074845</v>
          </cell>
        </row>
        <row r="68">
          <cell r="C68" t="str">
            <v>廖佩霞</v>
          </cell>
          <cell r="D68" t="str">
            <v>女</v>
          </cell>
          <cell r="E68">
            <v>28397</v>
          </cell>
          <cell r="F68" t="str">
            <v>430122770929604</v>
          </cell>
        </row>
        <row r="69">
          <cell r="C69" t="str">
            <v>刘勤</v>
          </cell>
          <cell r="D69" t="str">
            <v>女</v>
          </cell>
          <cell r="E69">
            <v>28452</v>
          </cell>
          <cell r="F69" t="str">
            <v>512926771123056</v>
          </cell>
        </row>
        <row r="70">
          <cell r="C70" t="str">
            <v>张淑萍</v>
          </cell>
          <cell r="D70" t="str">
            <v>女</v>
          </cell>
          <cell r="E70">
            <v>30185</v>
          </cell>
          <cell r="F70" t="str">
            <v>445222820622006</v>
          </cell>
        </row>
        <row r="71">
          <cell r="C71" t="str">
            <v>王博</v>
          </cell>
          <cell r="D71" t="str">
            <v>女</v>
          </cell>
          <cell r="E71">
            <v>30464</v>
          </cell>
          <cell r="F71" t="str">
            <v>421126198305282227</v>
          </cell>
        </row>
        <row r="72">
          <cell r="C72" t="str">
            <v>龚秋</v>
          </cell>
          <cell r="D72" t="str">
            <v>女</v>
          </cell>
          <cell r="E72">
            <v>31219</v>
          </cell>
          <cell r="F72" t="str">
            <v>432522198506210026</v>
          </cell>
        </row>
        <row r="73">
          <cell r="C73" t="str">
            <v>李志红</v>
          </cell>
          <cell r="D73" t="str">
            <v>女</v>
          </cell>
          <cell r="E73">
            <v>30914</v>
          </cell>
          <cell r="F73" t="str">
            <v>430923198408200023</v>
          </cell>
        </row>
        <row r="74">
          <cell r="C74" t="str">
            <v>郭亚勤</v>
          </cell>
          <cell r="D74" t="str">
            <v>女</v>
          </cell>
          <cell r="E74">
            <v>31104</v>
          </cell>
          <cell r="F74" t="str">
            <v>422129198502260529</v>
          </cell>
        </row>
        <row r="75">
          <cell r="C75" t="str">
            <v>姚超</v>
          </cell>
          <cell r="D75" t="str">
            <v>女</v>
          </cell>
          <cell r="E75">
            <v>29484</v>
          </cell>
          <cell r="F75" t="str">
            <v>420625198009206828</v>
          </cell>
        </row>
        <row r="76">
          <cell r="C76" t="str">
            <v>郑艳杰</v>
          </cell>
          <cell r="D76" t="str">
            <v>女</v>
          </cell>
          <cell r="E76">
            <v>29790</v>
          </cell>
          <cell r="F76" t="str">
            <v>412727810723802</v>
          </cell>
        </row>
        <row r="77">
          <cell r="C77" t="str">
            <v>罗兰华</v>
          </cell>
          <cell r="D77" t="str">
            <v>女</v>
          </cell>
          <cell r="E77">
            <v>30079</v>
          </cell>
          <cell r="F77" t="str">
            <v>430381820508232</v>
          </cell>
        </row>
        <row r="78">
          <cell r="C78" t="str">
            <v>姚莹莹</v>
          </cell>
          <cell r="D78" t="str">
            <v>女</v>
          </cell>
          <cell r="E78">
            <v>31413</v>
          </cell>
          <cell r="F78" t="str">
            <v>420625198601016847</v>
          </cell>
        </row>
        <row r="79">
          <cell r="C79" t="str">
            <v>张菊莲</v>
          </cell>
          <cell r="D79" t="str">
            <v>女</v>
          </cell>
          <cell r="E79">
            <v>28843</v>
          </cell>
          <cell r="F79" t="str">
            <v>360421781219102</v>
          </cell>
        </row>
        <row r="80">
          <cell r="C80" t="str">
            <v>彭银艳</v>
          </cell>
          <cell r="D80" t="str">
            <v>女</v>
          </cell>
          <cell r="E80">
            <v>31238</v>
          </cell>
          <cell r="F80" t="str">
            <v>412727198507100725</v>
          </cell>
        </row>
        <row r="81">
          <cell r="C81" t="str">
            <v>丁慧</v>
          </cell>
          <cell r="D81" t="str">
            <v>女</v>
          </cell>
          <cell r="E81">
            <v>31079</v>
          </cell>
          <cell r="F81" t="str">
            <v>36220119850201024X</v>
          </cell>
        </row>
        <row r="82">
          <cell r="C82" t="str">
            <v>莫晓芳</v>
          </cell>
          <cell r="D82" t="str">
            <v>女</v>
          </cell>
          <cell r="E82">
            <v>31451</v>
          </cell>
          <cell r="F82" t="str">
            <v>432522198602084082</v>
          </cell>
        </row>
        <row r="83">
          <cell r="C83" t="str">
            <v>彭利</v>
          </cell>
          <cell r="D83" t="str">
            <v>女</v>
          </cell>
          <cell r="E83">
            <v>30124</v>
          </cell>
          <cell r="F83" t="str">
            <v>430124820622402</v>
          </cell>
        </row>
        <row r="84">
          <cell r="C84" t="str">
            <v>危绪结</v>
          </cell>
          <cell r="D84" t="str">
            <v>男</v>
          </cell>
          <cell r="E84">
            <v>29978</v>
          </cell>
          <cell r="F84" t="str">
            <v>342921198201272318</v>
          </cell>
        </row>
        <row r="85">
          <cell r="C85" t="str">
            <v>胡宇</v>
          </cell>
          <cell r="D85" t="str">
            <v>男</v>
          </cell>
          <cell r="E85">
            <v>31079</v>
          </cell>
          <cell r="F85" t="str">
            <v>362201198502015411</v>
          </cell>
        </row>
        <row r="86">
          <cell r="C86" t="str">
            <v>彭喜</v>
          </cell>
          <cell r="D86" t="str">
            <v>女</v>
          </cell>
          <cell r="E86">
            <v>31327</v>
          </cell>
          <cell r="F86" t="str">
            <v>432522198510074581</v>
          </cell>
        </row>
        <row r="87">
          <cell r="C87" t="str">
            <v>刘成惠</v>
          </cell>
          <cell r="D87" t="str">
            <v>女</v>
          </cell>
          <cell r="E87">
            <v>30192</v>
          </cell>
          <cell r="F87" t="str">
            <v>410726820829164</v>
          </cell>
        </row>
        <row r="88">
          <cell r="C88" t="str">
            <v>付六梅</v>
          </cell>
          <cell r="D88" t="str">
            <v>女</v>
          </cell>
          <cell r="E88">
            <v>29675</v>
          </cell>
          <cell r="F88" t="str">
            <v>360502198103303628</v>
          </cell>
        </row>
        <row r="89">
          <cell r="C89" t="str">
            <v>龙娟</v>
          </cell>
          <cell r="D89" t="str">
            <v>女</v>
          </cell>
          <cell r="E89">
            <v>31718</v>
          </cell>
          <cell r="F89" t="str">
            <v>362227198611020360</v>
          </cell>
        </row>
        <row r="90">
          <cell r="C90" t="str">
            <v>彭秧</v>
          </cell>
          <cell r="D90" t="str">
            <v>女</v>
          </cell>
          <cell r="E90">
            <v>30774</v>
          </cell>
          <cell r="F90" t="str">
            <v>430681198404024322</v>
          </cell>
        </row>
        <row r="91">
          <cell r="C91" t="str">
            <v>付艳青</v>
          </cell>
          <cell r="D91" t="str">
            <v>女</v>
          </cell>
          <cell r="E91">
            <v>31693</v>
          </cell>
          <cell r="F91" t="str">
            <v>430525198610084127</v>
          </cell>
        </row>
        <row r="92">
          <cell r="C92" t="str">
            <v>阳琪</v>
          </cell>
          <cell r="D92" t="str">
            <v>女</v>
          </cell>
          <cell r="E92">
            <v>30982</v>
          </cell>
          <cell r="F92" t="str">
            <v>362227198410270320</v>
          </cell>
        </row>
        <row r="93">
          <cell r="C93" t="str">
            <v>欧冬梅</v>
          </cell>
          <cell r="D93" t="str">
            <v>女</v>
          </cell>
          <cell r="E93">
            <v>30233</v>
          </cell>
          <cell r="F93" t="str">
            <v>450122198210095022</v>
          </cell>
        </row>
        <row r="94">
          <cell r="C94" t="str">
            <v>关寿福</v>
          </cell>
          <cell r="D94" t="str">
            <v>男</v>
          </cell>
          <cell r="E94">
            <v>29026</v>
          </cell>
          <cell r="F94" t="str">
            <v>452503790620477</v>
          </cell>
        </row>
        <row r="95">
          <cell r="C95" t="str">
            <v>陈利红</v>
          </cell>
          <cell r="D95" t="str">
            <v>女</v>
          </cell>
          <cell r="E95">
            <v>29276</v>
          </cell>
          <cell r="F95" t="str">
            <v>429006800225002</v>
          </cell>
        </row>
        <row r="96">
          <cell r="C96" t="str">
            <v>丁平香</v>
          </cell>
          <cell r="D96" t="str">
            <v>女</v>
          </cell>
          <cell r="E96">
            <v>31274</v>
          </cell>
          <cell r="F96" t="str">
            <v>36222719850815036X</v>
          </cell>
        </row>
        <row r="97">
          <cell r="C97" t="str">
            <v>龙小平</v>
          </cell>
          <cell r="D97" t="str">
            <v>女</v>
          </cell>
          <cell r="E97">
            <v>30576</v>
          </cell>
          <cell r="F97" t="str">
            <v>362430830917004</v>
          </cell>
        </row>
        <row r="98">
          <cell r="C98" t="str">
            <v>杨琴</v>
          </cell>
          <cell r="D98" t="str">
            <v>女</v>
          </cell>
          <cell r="E98">
            <v>31799</v>
          </cell>
          <cell r="F98" t="str">
            <v>431229198701222644</v>
          </cell>
        </row>
        <row r="99">
          <cell r="C99" t="str">
            <v>马中玉</v>
          </cell>
          <cell r="D99" t="str">
            <v>女</v>
          </cell>
          <cell r="E99">
            <v>29950</v>
          </cell>
          <cell r="F99" t="str">
            <v>411324811230098</v>
          </cell>
        </row>
        <row r="100">
          <cell r="C100" t="str">
            <v>司马亚林</v>
          </cell>
          <cell r="D100" t="str">
            <v>女</v>
          </cell>
          <cell r="E100">
            <v>31371</v>
          </cell>
          <cell r="F100" t="str">
            <v>430521198511204984</v>
          </cell>
        </row>
        <row r="101">
          <cell r="C101" t="str">
            <v>仇立红</v>
          </cell>
          <cell r="D101" t="str">
            <v>女</v>
          </cell>
          <cell r="E101">
            <v>31035</v>
          </cell>
          <cell r="F101" t="str">
            <v>430521198412193888</v>
          </cell>
        </row>
        <row r="102">
          <cell r="C102" t="str">
            <v>胡宝峰</v>
          </cell>
          <cell r="D102" t="str">
            <v>女</v>
          </cell>
          <cell r="E102">
            <v>30536</v>
          </cell>
          <cell r="F102" t="str">
            <v>411324830808092</v>
          </cell>
        </row>
        <row r="103">
          <cell r="C103" t="str">
            <v>陈蓓</v>
          </cell>
          <cell r="D103" t="str">
            <v>女</v>
          </cell>
          <cell r="E103">
            <v>30205</v>
          </cell>
          <cell r="F103" t="str">
            <v>430911198209112121</v>
          </cell>
        </row>
        <row r="104">
          <cell r="C104" t="str">
            <v>郑显芝</v>
          </cell>
          <cell r="D104" t="str">
            <v>女</v>
          </cell>
          <cell r="E104">
            <v>28227</v>
          </cell>
          <cell r="F104" t="str">
            <v>510322770412230</v>
          </cell>
        </row>
        <row r="105">
          <cell r="C105" t="str">
            <v>孙旭旭</v>
          </cell>
          <cell r="D105" t="str">
            <v>女</v>
          </cell>
          <cell r="E105">
            <v>31394</v>
          </cell>
          <cell r="F105" t="str">
            <v>411324198512130548</v>
          </cell>
        </row>
        <row r="106">
          <cell r="C106" t="str">
            <v>袁玉娜</v>
          </cell>
          <cell r="D106" t="str">
            <v>女</v>
          </cell>
          <cell r="E106">
            <v>30430</v>
          </cell>
          <cell r="F106" t="str">
            <v>411303830424392</v>
          </cell>
        </row>
        <row r="107">
          <cell r="C107" t="str">
            <v>胡哲</v>
          </cell>
          <cell r="D107" t="str">
            <v>女</v>
          </cell>
          <cell r="E107">
            <v>31491</v>
          </cell>
          <cell r="F107" t="str">
            <v>411303198603203747</v>
          </cell>
        </row>
        <row r="108">
          <cell r="C108" t="str">
            <v>刘海娇</v>
          </cell>
          <cell r="D108" t="str">
            <v>女</v>
          </cell>
          <cell r="E108">
            <v>28934</v>
          </cell>
          <cell r="F108" t="str">
            <v>430426790320766</v>
          </cell>
        </row>
        <row r="109">
          <cell r="C109" t="str">
            <v>王子林</v>
          </cell>
          <cell r="D109" t="str">
            <v>女</v>
          </cell>
          <cell r="E109">
            <v>30326</v>
          </cell>
          <cell r="F109" t="str">
            <v>513023198301103745</v>
          </cell>
        </row>
        <row r="110">
          <cell r="C110" t="str">
            <v>边东歌</v>
          </cell>
          <cell r="D110" t="str">
            <v>女</v>
          </cell>
          <cell r="E110">
            <v>28893</v>
          </cell>
          <cell r="F110" t="str">
            <v>610421197902075028</v>
          </cell>
        </row>
        <row r="111">
          <cell r="C111" t="str">
            <v>张玲玲</v>
          </cell>
          <cell r="D111" t="str">
            <v>女</v>
          </cell>
          <cell r="E111">
            <v>30616</v>
          </cell>
          <cell r="F111" t="str">
            <v>429001198310274242</v>
          </cell>
        </row>
        <row r="112">
          <cell r="C112" t="str">
            <v>宋红焕</v>
          </cell>
          <cell r="D112" t="str">
            <v>女</v>
          </cell>
          <cell r="E112">
            <v>29518</v>
          </cell>
          <cell r="F112" t="str">
            <v>411303801024284</v>
          </cell>
        </row>
        <row r="113">
          <cell r="C113" t="str">
            <v>刘捧</v>
          </cell>
          <cell r="D113" t="str">
            <v>女</v>
          </cell>
          <cell r="E113">
            <v>28983</v>
          </cell>
          <cell r="F113" t="str">
            <v>410222197905081528</v>
          </cell>
        </row>
        <row r="114">
          <cell r="C114" t="str">
            <v>陈春平</v>
          </cell>
          <cell r="D114" t="str">
            <v>女</v>
          </cell>
          <cell r="E114">
            <v>31072</v>
          </cell>
          <cell r="F114" t="str">
            <v>360735198501251948</v>
          </cell>
        </row>
        <row r="115">
          <cell r="C115" t="str">
            <v>刘玉恋</v>
          </cell>
          <cell r="D115" t="str">
            <v>女</v>
          </cell>
          <cell r="E115">
            <v>29216</v>
          </cell>
          <cell r="F115" t="str">
            <v>452327197912272820</v>
          </cell>
        </row>
        <row r="116">
          <cell r="C116" t="str">
            <v>贾梨</v>
          </cell>
          <cell r="D116" t="str">
            <v>女</v>
          </cell>
          <cell r="E116">
            <v>30757</v>
          </cell>
          <cell r="F116" t="str">
            <v>610431198403164226</v>
          </cell>
        </row>
        <row r="117">
          <cell r="C117" t="str">
            <v>史艳香</v>
          </cell>
          <cell r="D117" t="str">
            <v>女</v>
          </cell>
          <cell r="E117">
            <v>28389</v>
          </cell>
          <cell r="F117" t="str">
            <v>362430770921202</v>
          </cell>
        </row>
        <row r="118">
          <cell r="C118" t="str">
            <v>王娜</v>
          </cell>
          <cell r="D118" t="str">
            <v>女</v>
          </cell>
          <cell r="E118">
            <v>30996</v>
          </cell>
          <cell r="F118" t="str">
            <v>411324841110582</v>
          </cell>
        </row>
        <row r="119">
          <cell r="C119" t="str">
            <v>刘燕</v>
          </cell>
          <cell r="D119" t="str">
            <v>女</v>
          </cell>
          <cell r="E119">
            <v>30882</v>
          </cell>
          <cell r="F119" t="str">
            <v>360722198407195749</v>
          </cell>
        </row>
        <row r="120">
          <cell r="C120" t="str">
            <v>白宽</v>
          </cell>
          <cell r="D120" t="str">
            <v>女</v>
          </cell>
          <cell r="E120">
            <v>30621</v>
          </cell>
          <cell r="F120" t="str">
            <v>410222831101452</v>
          </cell>
        </row>
        <row r="121">
          <cell r="C121" t="str">
            <v>王巧利</v>
          </cell>
          <cell r="D121" t="str">
            <v>女</v>
          </cell>
          <cell r="E121">
            <v>31662</v>
          </cell>
          <cell r="F121" t="str">
            <v>43252219860907408X</v>
          </cell>
        </row>
        <row r="122">
          <cell r="C122" t="str">
            <v>王晓钦</v>
          </cell>
          <cell r="D122" t="str">
            <v>女</v>
          </cell>
          <cell r="E122">
            <v>29300</v>
          </cell>
          <cell r="F122" t="str">
            <v>411324800320522</v>
          </cell>
        </row>
        <row r="123">
          <cell r="C123" t="str">
            <v>王艳</v>
          </cell>
          <cell r="D123" t="str">
            <v>女</v>
          </cell>
          <cell r="E123">
            <v>31619</v>
          </cell>
          <cell r="F123" t="str">
            <v>432522198607264066</v>
          </cell>
        </row>
        <row r="124">
          <cell r="C124" t="str">
            <v>曾松锋</v>
          </cell>
          <cell r="D124" t="str">
            <v>女</v>
          </cell>
          <cell r="E124">
            <v>31592</v>
          </cell>
          <cell r="F124" t="str">
            <v>432522198606294060</v>
          </cell>
        </row>
        <row r="125">
          <cell r="C125" t="str">
            <v>郭娜</v>
          </cell>
          <cell r="D125" t="str">
            <v>女</v>
          </cell>
          <cell r="E125">
            <v>30665</v>
          </cell>
          <cell r="F125" t="str">
            <v>411302198312155427</v>
          </cell>
        </row>
        <row r="126">
          <cell r="C126" t="str">
            <v>李景</v>
          </cell>
          <cell r="D126" t="str">
            <v>女</v>
          </cell>
          <cell r="E126">
            <v>31553</v>
          </cell>
          <cell r="F126" t="str">
            <v>430181198605210327</v>
          </cell>
        </row>
        <row r="127">
          <cell r="C127" t="str">
            <v>方妙</v>
          </cell>
          <cell r="D127" t="str">
            <v>女</v>
          </cell>
          <cell r="E127">
            <v>30792</v>
          </cell>
          <cell r="F127" t="str">
            <v>430581198404200546</v>
          </cell>
        </row>
        <row r="128">
          <cell r="C128" t="str">
            <v>刘满泉</v>
          </cell>
          <cell r="D128" t="str">
            <v>女</v>
          </cell>
          <cell r="E128">
            <v>30957</v>
          </cell>
          <cell r="F128" t="str">
            <v>432524198410024125</v>
          </cell>
        </row>
        <row r="129">
          <cell r="C129" t="str">
            <v>王娜</v>
          </cell>
          <cell r="D129" t="str">
            <v>女</v>
          </cell>
          <cell r="E129">
            <v>31770</v>
          </cell>
          <cell r="F129" t="str">
            <v>41038119861224256X</v>
          </cell>
        </row>
        <row r="130">
          <cell r="C130" t="str">
            <v>王卫卫</v>
          </cell>
          <cell r="D130" t="str">
            <v>女</v>
          </cell>
          <cell r="E130">
            <v>31295</v>
          </cell>
          <cell r="F130" t="str">
            <v>410381198509052565</v>
          </cell>
        </row>
        <row r="131">
          <cell r="C131" t="str">
            <v>王海燕</v>
          </cell>
          <cell r="D131" t="str">
            <v>女</v>
          </cell>
          <cell r="E131">
            <v>30096</v>
          </cell>
          <cell r="F131" t="str">
            <v>422129198205251343</v>
          </cell>
        </row>
        <row r="132">
          <cell r="C132" t="str">
            <v>龙少荣</v>
          </cell>
          <cell r="D132" t="str">
            <v>女</v>
          </cell>
          <cell r="E132">
            <v>31225</v>
          </cell>
          <cell r="F132" t="str">
            <v>362227198506270923</v>
          </cell>
        </row>
        <row r="133">
          <cell r="C133" t="str">
            <v>黄燕妮</v>
          </cell>
          <cell r="D133" t="str">
            <v>女</v>
          </cell>
          <cell r="E133">
            <v>29234</v>
          </cell>
          <cell r="F133" t="str">
            <v>511221800114774</v>
          </cell>
        </row>
        <row r="134">
          <cell r="C134" t="str">
            <v>韩红娟</v>
          </cell>
          <cell r="D134" t="str">
            <v>女</v>
          </cell>
          <cell r="E134">
            <v>30962</v>
          </cell>
          <cell r="F134" t="str">
            <v>410122198410074747</v>
          </cell>
        </row>
        <row r="135">
          <cell r="C135" t="str">
            <v>杨瑛</v>
          </cell>
          <cell r="D135" t="str">
            <v>男</v>
          </cell>
          <cell r="E135">
            <v>30563</v>
          </cell>
          <cell r="F135" t="str">
            <v>360302830904302</v>
          </cell>
        </row>
        <row r="136">
          <cell r="C136" t="str">
            <v>李春燕</v>
          </cell>
          <cell r="D136" t="str">
            <v>女</v>
          </cell>
          <cell r="E136">
            <v>29224</v>
          </cell>
          <cell r="F136" t="str">
            <v>432927800104154</v>
          </cell>
        </row>
        <row r="137">
          <cell r="C137" t="str">
            <v>刘向</v>
          </cell>
          <cell r="D137" t="str">
            <v>女</v>
          </cell>
          <cell r="E137">
            <v>30671</v>
          </cell>
          <cell r="F137" t="str">
            <v>511223198312216883</v>
          </cell>
        </row>
        <row r="138">
          <cell r="C138" t="str">
            <v>龙军</v>
          </cell>
          <cell r="D138" t="str">
            <v>男</v>
          </cell>
          <cell r="E138">
            <v>30826</v>
          </cell>
          <cell r="F138" t="str">
            <v>36220119840524161X</v>
          </cell>
        </row>
        <row r="139">
          <cell r="C139" t="str">
            <v>韩小宁</v>
          </cell>
          <cell r="D139" t="str">
            <v>女</v>
          </cell>
          <cell r="E139">
            <v>31481</v>
          </cell>
          <cell r="F139" t="str">
            <v>410122198603104720</v>
          </cell>
        </row>
        <row r="140">
          <cell r="C140" t="str">
            <v>焦加珍</v>
          </cell>
          <cell r="D140" t="str">
            <v>女</v>
          </cell>
          <cell r="E140">
            <v>29437</v>
          </cell>
          <cell r="F140" t="str">
            <v>420620800804674</v>
          </cell>
        </row>
        <row r="141">
          <cell r="C141" t="str">
            <v>李月丽</v>
          </cell>
          <cell r="D141" t="str">
            <v>女</v>
          </cell>
          <cell r="E141">
            <v>29183</v>
          </cell>
          <cell r="F141" t="str">
            <v>412724791124744</v>
          </cell>
        </row>
        <row r="142">
          <cell r="C142" t="str">
            <v>刘超艳</v>
          </cell>
          <cell r="D142" t="str">
            <v>女</v>
          </cell>
          <cell r="E142">
            <v>31046</v>
          </cell>
          <cell r="F142" t="str">
            <v>610124198412303929</v>
          </cell>
        </row>
        <row r="143">
          <cell r="C143" t="str">
            <v>肖满兰</v>
          </cell>
          <cell r="D143" t="str">
            <v>女</v>
          </cell>
          <cell r="E143">
            <v>30621</v>
          </cell>
          <cell r="F143" t="str">
            <v>362426198311017324</v>
          </cell>
        </row>
        <row r="144">
          <cell r="C144" t="str">
            <v>徐小恋</v>
          </cell>
          <cell r="D144" t="str">
            <v>女</v>
          </cell>
          <cell r="E144">
            <v>31004</v>
          </cell>
          <cell r="F144" t="str">
            <v>513030198411188624</v>
          </cell>
        </row>
        <row r="145">
          <cell r="C145" t="str">
            <v>段有元</v>
          </cell>
          <cell r="D145" t="str">
            <v>女</v>
          </cell>
          <cell r="E145">
            <v>29619</v>
          </cell>
          <cell r="F145" t="str">
            <v>430381810202924</v>
          </cell>
        </row>
        <row r="146">
          <cell r="C146" t="str">
            <v>舒仁容</v>
          </cell>
          <cell r="D146" t="str">
            <v>女</v>
          </cell>
          <cell r="E146">
            <v>28980</v>
          </cell>
          <cell r="F146" t="str">
            <v>513024790505982</v>
          </cell>
        </row>
        <row r="147">
          <cell r="C147" t="str">
            <v>崔玲玲</v>
          </cell>
          <cell r="D147" t="str">
            <v>女</v>
          </cell>
          <cell r="E147">
            <v>30261</v>
          </cell>
          <cell r="F147" t="str">
            <v>422801198211061222</v>
          </cell>
        </row>
        <row r="148">
          <cell r="C148" t="str">
            <v>雷凤春</v>
          </cell>
          <cell r="D148" t="str">
            <v>女</v>
          </cell>
          <cell r="E148">
            <v>29601</v>
          </cell>
          <cell r="F148" t="str">
            <v>452226810115062</v>
          </cell>
        </row>
        <row r="149">
          <cell r="C149" t="str">
            <v>张丽</v>
          </cell>
          <cell r="D149" t="str">
            <v>女</v>
          </cell>
          <cell r="E149">
            <v>30361</v>
          </cell>
          <cell r="F149" t="str">
            <v>429004198302145925</v>
          </cell>
        </row>
        <row r="150">
          <cell r="C150" t="str">
            <v>李利平</v>
          </cell>
          <cell r="D150" t="str">
            <v>女</v>
          </cell>
          <cell r="E150">
            <v>30012</v>
          </cell>
          <cell r="F150" t="str">
            <v>410222820302204</v>
          </cell>
        </row>
        <row r="151">
          <cell r="C151" t="str">
            <v>郑为贤</v>
          </cell>
          <cell r="D151" t="str">
            <v>女</v>
          </cell>
          <cell r="E151">
            <v>31589</v>
          </cell>
          <cell r="F151" t="str">
            <v>532101198606263029</v>
          </cell>
        </row>
        <row r="152">
          <cell r="C152" t="str">
            <v>蔡小明</v>
          </cell>
          <cell r="D152" t="str">
            <v>女</v>
          </cell>
          <cell r="E152">
            <v>29133</v>
          </cell>
          <cell r="F152" t="str">
            <v>421125197910050626</v>
          </cell>
        </row>
        <row r="153">
          <cell r="C153" t="str">
            <v>汪苹</v>
          </cell>
          <cell r="D153" t="str">
            <v>女</v>
          </cell>
          <cell r="E153">
            <v>31129</v>
          </cell>
          <cell r="F153" t="str">
            <v>421125198503230384</v>
          </cell>
        </row>
        <row r="154">
          <cell r="C154" t="str">
            <v>王小林</v>
          </cell>
          <cell r="D154" t="str">
            <v>女</v>
          </cell>
          <cell r="E154">
            <v>30761</v>
          </cell>
          <cell r="F154" t="str">
            <v>42112519840320332X</v>
          </cell>
        </row>
        <row r="155">
          <cell r="C155" t="str">
            <v>许美容</v>
          </cell>
          <cell r="D155" t="str">
            <v>女</v>
          </cell>
          <cell r="E155">
            <v>30226</v>
          </cell>
          <cell r="F155" t="str">
            <v>430724821002462</v>
          </cell>
        </row>
        <row r="156">
          <cell r="C156" t="str">
            <v>侯细凤</v>
          </cell>
          <cell r="D156" t="str">
            <v>女</v>
          </cell>
          <cell r="E156">
            <v>31096</v>
          </cell>
          <cell r="F156" t="str">
            <v>421125198502180346</v>
          </cell>
        </row>
        <row r="157">
          <cell r="C157" t="str">
            <v>王素勤</v>
          </cell>
          <cell r="D157" t="str">
            <v>女</v>
          </cell>
          <cell r="E157">
            <v>30006</v>
          </cell>
          <cell r="F157" t="str">
            <v>412722820224202</v>
          </cell>
        </row>
        <row r="158">
          <cell r="C158" t="str">
            <v>杨彩琴</v>
          </cell>
          <cell r="D158" t="str">
            <v>女</v>
          </cell>
          <cell r="E158">
            <v>30909</v>
          </cell>
          <cell r="F158" t="str">
            <v>42112519840815036X</v>
          </cell>
        </row>
        <row r="159">
          <cell r="C159" t="str">
            <v>张慧</v>
          </cell>
          <cell r="D159" t="str">
            <v>女</v>
          </cell>
          <cell r="E159">
            <v>31402</v>
          </cell>
          <cell r="F159" t="str">
            <v>421125198512210326</v>
          </cell>
        </row>
        <row r="160">
          <cell r="C160" t="str">
            <v>郭丹丹</v>
          </cell>
          <cell r="D160" t="str">
            <v>女</v>
          </cell>
          <cell r="E160">
            <v>31005</v>
          </cell>
          <cell r="F160" t="str">
            <v>412722198411194948</v>
          </cell>
        </row>
        <row r="161">
          <cell r="C161" t="str">
            <v>沈小兰</v>
          </cell>
          <cell r="D161" t="str">
            <v>女</v>
          </cell>
          <cell r="E161">
            <v>31315</v>
          </cell>
          <cell r="F161" t="str">
            <v>421125198509250327</v>
          </cell>
        </row>
        <row r="162">
          <cell r="C162" t="str">
            <v>徐倩</v>
          </cell>
          <cell r="D162" t="str">
            <v>女</v>
          </cell>
          <cell r="E162">
            <v>29864</v>
          </cell>
          <cell r="F162" t="str">
            <v>420802811005004</v>
          </cell>
        </row>
        <row r="163">
          <cell r="C163" t="str">
            <v>徐家朋</v>
          </cell>
          <cell r="D163" t="str">
            <v>女</v>
          </cell>
          <cell r="E163">
            <v>31385</v>
          </cell>
          <cell r="F163" t="str">
            <v>421125198512043724</v>
          </cell>
        </row>
        <row r="164">
          <cell r="C164" t="str">
            <v>彭凤娟</v>
          </cell>
          <cell r="D164" t="str">
            <v>女</v>
          </cell>
          <cell r="E164">
            <v>31569</v>
          </cell>
          <cell r="F164" t="str">
            <v>412721198606061882</v>
          </cell>
        </row>
        <row r="165">
          <cell r="C165" t="str">
            <v>何小丽</v>
          </cell>
          <cell r="D165" t="str">
            <v>女</v>
          </cell>
          <cell r="E165">
            <v>29914</v>
          </cell>
          <cell r="F165" t="str">
            <v>360502811124362</v>
          </cell>
        </row>
        <row r="166">
          <cell r="C166" t="str">
            <v>陈宝玲</v>
          </cell>
          <cell r="D166" t="str">
            <v>女</v>
          </cell>
          <cell r="E166">
            <v>29352</v>
          </cell>
          <cell r="F166" t="str">
            <v>410223198005111526</v>
          </cell>
        </row>
        <row r="167">
          <cell r="C167" t="str">
            <v>李珍</v>
          </cell>
          <cell r="D167" t="str">
            <v>女</v>
          </cell>
          <cell r="E167">
            <v>29606</v>
          </cell>
          <cell r="F167" t="str">
            <v>421125198101207624</v>
          </cell>
        </row>
        <row r="168">
          <cell r="C168" t="str">
            <v>东小霞</v>
          </cell>
          <cell r="D168" t="str">
            <v>女</v>
          </cell>
          <cell r="E168">
            <v>29904</v>
          </cell>
          <cell r="F168" t="str">
            <v>422127811114032</v>
          </cell>
        </row>
        <row r="169">
          <cell r="C169" t="str">
            <v>闵静</v>
          </cell>
          <cell r="D169" t="str">
            <v>女</v>
          </cell>
          <cell r="E169">
            <v>31319</v>
          </cell>
          <cell r="F169" t="str">
            <v>42112519850929272X</v>
          </cell>
        </row>
        <row r="170">
          <cell r="C170" t="str">
            <v>要盼盼</v>
          </cell>
          <cell r="D170" t="str">
            <v>女</v>
          </cell>
          <cell r="E170">
            <v>31157</v>
          </cell>
          <cell r="F170" t="str">
            <v>410223198504205025</v>
          </cell>
        </row>
        <row r="171">
          <cell r="C171" t="str">
            <v>潘兰兰</v>
          </cell>
          <cell r="D171" t="str">
            <v>女</v>
          </cell>
          <cell r="E171">
            <v>31398</v>
          </cell>
          <cell r="F171" t="str">
            <v>421125198512170344</v>
          </cell>
        </row>
        <row r="172">
          <cell r="C172" t="str">
            <v>郭慧丽</v>
          </cell>
          <cell r="D172" t="str">
            <v>女</v>
          </cell>
          <cell r="E172">
            <v>30179</v>
          </cell>
          <cell r="F172" t="str">
            <v>41272219820816492X</v>
          </cell>
        </row>
        <row r="173">
          <cell r="C173" t="str">
            <v>刘小玲</v>
          </cell>
          <cell r="D173" t="str">
            <v>女</v>
          </cell>
          <cell r="E173">
            <v>31141</v>
          </cell>
          <cell r="F173" t="str">
            <v>412722198504044922</v>
          </cell>
        </row>
        <row r="174">
          <cell r="C174" t="str">
            <v>钟武英</v>
          </cell>
          <cell r="D174" t="str">
            <v>女</v>
          </cell>
          <cell r="E174">
            <v>29348</v>
          </cell>
          <cell r="F174" t="str">
            <v>511322198005071783</v>
          </cell>
        </row>
        <row r="175">
          <cell r="C175" t="str">
            <v>蔚华玲</v>
          </cell>
          <cell r="D175" t="str">
            <v>女</v>
          </cell>
          <cell r="E175">
            <v>31301</v>
          </cell>
          <cell r="F175" t="str">
            <v>412722198509114926</v>
          </cell>
        </row>
        <row r="176">
          <cell r="C176" t="str">
            <v>马艳</v>
          </cell>
          <cell r="D176" t="str">
            <v>女</v>
          </cell>
          <cell r="E176">
            <v>30512</v>
          </cell>
          <cell r="F176" t="str">
            <v>41272219830715492X</v>
          </cell>
        </row>
        <row r="177">
          <cell r="C177" t="str">
            <v>刘彩云</v>
          </cell>
          <cell r="D177" t="str">
            <v>女</v>
          </cell>
          <cell r="E177">
            <v>31726</v>
          </cell>
          <cell r="F177" t="str">
            <v>41272219861110496X</v>
          </cell>
        </row>
        <row r="178">
          <cell r="C178" t="str">
            <v>周平</v>
          </cell>
          <cell r="D178" t="str">
            <v>女</v>
          </cell>
          <cell r="E178">
            <v>30490</v>
          </cell>
          <cell r="F178" t="str">
            <v>411302830622572</v>
          </cell>
        </row>
        <row r="179">
          <cell r="C179" t="str">
            <v>常海燕</v>
          </cell>
          <cell r="D179" t="str">
            <v>女</v>
          </cell>
          <cell r="E179">
            <v>29760</v>
          </cell>
          <cell r="F179" t="str">
            <v>411327810623312</v>
          </cell>
        </row>
        <row r="180">
          <cell r="C180" t="str">
            <v>张裕</v>
          </cell>
          <cell r="D180" t="str">
            <v>女</v>
          </cell>
          <cell r="E180">
            <v>30782</v>
          </cell>
          <cell r="F180" t="str">
            <v>421125198404104024</v>
          </cell>
        </row>
        <row r="181">
          <cell r="C181" t="str">
            <v>赖门玲</v>
          </cell>
          <cell r="D181" t="str">
            <v>女</v>
          </cell>
          <cell r="E181">
            <v>30196</v>
          </cell>
          <cell r="F181" t="str">
            <v>513029820902314</v>
          </cell>
        </row>
        <row r="182">
          <cell r="C182" t="str">
            <v xml:space="preserve"> 何倩</v>
          </cell>
          <cell r="D182" t="str">
            <v>女</v>
          </cell>
          <cell r="E182">
            <v>31116</v>
          </cell>
          <cell r="F182" t="str">
            <v>430722198503103689</v>
          </cell>
        </row>
        <row r="183">
          <cell r="C183" t="str">
            <v xml:space="preserve"> 何敏</v>
          </cell>
          <cell r="D183" t="str">
            <v>女</v>
          </cell>
          <cell r="E183">
            <v>30883</v>
          </cell>
          <cell r="F183" t="str">
            <v>522121198407203246</v>
          </cell>
        </row>
        <row r="184">
          <cell r="C184" t="str">
            <v>王新艳</v>
          </cell>
          <cell r="D184" t="str">
            <v>女</v>
          </cell>
          <cell r="E184">
            <v>31087</v>
          </cell>
          <cell r="F184" t="str">
            <v>610403198502092023</v>
          </cell>
        </row>
        <row r="185">
          <cell r="C185" t="str">
            <v>董小燕</v>
          </cell>
          <cell r="D185" t="str">
            <v>女</v>
          </cell>
          <cell r="E185">
            <v>31423</v>
          </cell>
          <cell r="F185" t="str">
            <v>340822198601110747</v>
          </cell>
        </row>
        <row r="186">
          <cell r="C186" t="str">
            <v>李芳</v>
          </cell>
          <cell r="D186" t="str">
            <v>女</v>
          </cell>
          <cell r="E186">
            <v>30144</v>
          </cell>
          <cell r="F186" t="str">
            <v>410203820712154</v>
          </cell>
        </row>
        <row r="187">
          <cell r="C187" t="str">
            <v>黄珊</v>
          </cell>
          <cell r="D187" t="str">
            <v>女</v>
          </cell>
          <cell r="E187">
            <v>31257</v>
          </cell>
          <cell r="F187" t="str">
            <v>420621198507298643</v>
          </cell>
        </row>
        <row r="188">
          <cell r="C188" t="str">
            <v>杨金凤</v>
          </cell>
          <cell r="D188" t="str">
            <v>女</v>
          </cell>
          <cell r="E188">
            <v>31367</v>
          </cell>
          <cell r="F188" t="str">
            <v>42112619851116474X</v>
          </cell>
        </row>
        <row r="189">
          <cell r="C189" t="str">
            <v>师小丹</v>
          </cell>
          <cell r="D189" t="str">
            <v>女</v>
          </cell>
          <cell r="E189">
            <v>31746</v>
          </cell>
          <cell r="F189" t="str">
            <v>410223198611308089</v>
          </cell>
        </row>
        <row r="190">
          <cell r="C190" t="str">
            <v>吉梅丽</v>
          </cell>
          <cell r="D190" t="str">
            <v>女</v>
          </cell>
          <cell r="E190">
            <v>30972</v>
          </cell>
          <cell r="F190" t="str">
            <v>420684198410171529</v>
          </cell>
        </row>
        <row r="191">
          <cell r="C191" t="str">
            <v>刘秀芳</v>
          </cell>
          <cell r="D191" t="str">
            <v>女</v>
          </cell>
          <cell r="E191">
            <v>31550</v>
          </cell>
          <cell r="F191" t="str">
            <v>410223198605180525</v>
          </cell>
        </row>
        <row r="192">
          <cell r="C192" t="str">
            <v>肖伟玲</v>
          </cell>
          <cell r="D192" t="str">
            <v>女</v>
          </cell>
          <cell r="E192">
            <v>31739</v>
          </cell>
          <cell r="F192" t="str">
            <v>410223198611238069</v>
          </cell>
        </row>
        <row r="193">
          <cell r="C193" t="str">
            <v>路丹</v>
          </cell>
          <cell r="D193" t="str">
            <v>女</v>
          </cell>
          <cell r="E193">
            <v>31322</v>
          </cell>
          <cell r="F193" t="str">
            <v>41022319851002006X</v>
          </cell>
        </row>
        <row r="194">
          <cell r="C194" t="str">
            <v>杨萍</v>
          </cell>
          <cell r="D194" t="str">
            <v>女</v>
          </cell>
          <cell r="E194">
            <v>31639</v>
          </cell>
          <cell r="F194" t="str">
            <v>340822198608150725</v>
          </cell>
        </row>
        <row r="195">
          <cell r="C195" t="str">
            <v>李艳</v>
          </cell>
          <cell r="D195" t="str">
            <v>女</v>
          </cell>
          <cell r="E195">
            <v>31649</v>
          </cell>
          <cell r="F195" t="str">
            <v>342923198608251220</v>
          </cell>
        </row>
        <row r="196">
          <cell r="C196" t="str">
            <v>陆加凤</v>
          </cell>
          <cell r="D196" t="str">
            <v>女</v>
          </cell>
          <cell r="E196">
            <v>31024</v>
          </cell>
          <cell r="F196" t="str">
            <v>430722198412082288</v>
          </cell>
        </row>
        <row r="197">
          <cell r="C197" t="str">
            <v>刘巧荣</v>
          </cell>
          <cell r="D197" t="str">
            <v>女</v>
          </cell>
          <cell r="E197">
            <v>29827</v>
          </cell>
          <cell r="F197" t="str">
            <v>410122810829472</v>
          </cell>
        </row>
        <row r="198">
          <cell r="C198" t="str">
            <v>杨艳霞</v>
          </cell>
          <cell r="D198" t="str">
            <v>女</v>
          </cell>
          <cell r="E198">
            <v>31590</v>
          </cell>
          <cell r="F198" t="str">
            <v>420621198606278920</v>
          </cell>
        </row>
        <row r="199">
          <cell r="C199" t="str">
            <v>王姣</v>
          </cell>
          <cell r="D199" t="str">
            <v>女</v>
          </cell>
          <cell r="E199">
            <v>31588</v>
          </cell>
          <cell r="F199" t="str">
            <v>420621198606258641</v>
          </cell>
        </row>
        <row r="200">
          <cell r="C200" t="str">
            <v>马小叶</v>
          </cell>
          <cell r="D200" t="str">
            <v>女</v>
          </cell>
          <cell r="E200">
            <v>30048</v>
          </cell>
          <cell r="F200" t="str">
            <v>410223820407052</v>
          </cell>
        </row>
        <row r="201">
          <cell r="C201" t="str">
            <v>史小珍</v>
          </cell>
          <cell r="D201" t="str">
            <v>女</v>
          </cell>
          <cell r="E201">
            <v>31486</v>
          </cell>
          <cell r="F201" t="str">
            <v>410223198603150541</v>
          </cell>
        </row>
        <row r="202">
          <cell r="C202" t="str">
            <v>孟洁</v>
          </cell>
          <cell r="D202" t="str">
            <v>女</v>
          </cell>
          <cell r="E202">
            <v>30759</v>
          </cell>
          <cell r="F202" t="str">
            <v>410122198403184729</v>
          </cell>
        </row>
        <row r="203">
          <cell r="C203" t="str">
            <v>师会霞</v>
          </cell>
          <cell r="D203" t="str">
            <v>女</v>
          </cell>
          <cell r="E203">
            <v>30405</v>
          </cell>
          <cell r="F203" t="str">
            <v>410223198303308028</v>
          </cell>
        </row>
        <row r="204">
          <cell r="C204" t="str">
            <v>曹静</v>
          </cell>
          <cell r="D204" t="str">
            <v>女</v>
          </cell>
          <cell r="E204">
            <v>30218</v>
          </cell>
          <cell r="F204" t="str">
            <v>420621198209248621</v>
          </cell>
        </row>
        <row r="205">
          <cell r="C205" t="str">
            <v>卢金兰</v>
          </cell>
          <cell r="D205" t="str">
            <v>女</v>
          </cell>
          <cell r="E205">
            <v>30618</v>
          </cell>
          <cell r="F205" t="str">
            <v>42062119831029864X</v>
          </cell>
        </row>
        <row r="206">
          <cell r="C206" t="str">
            <v>段文向</v>
          </cell>
          <cell r="D206" t="str">
            <v>女</v>
          </cell>
          <cell r="E206">
            <v>29080</v>
          </cell>
          <cell r="F206" t="str">
            <v>412921790813362</v>
          </cell>
        </row>
        <row r="207">
          <cell r="C207" t="str">
            <v>张利</v>
          </cell>
          <cell r="D207" t="str">
            <v>女</v>
          </cell>
          <cell r="E207">
            <v>30374</v>
          </cell>
          <cell r="F207" t="str">
            <v>410223198302276060</v>
          </cell>
        </row>
        <row r="208">
          <cell r="C208" t="str">
            <v>陈国云</v>
          </cell>
          <cell r="D208" t="str">
            <v>女</v>
          </cell>
          <cell r="E208">
            <v>30778</v>
          </cell>
          <cell r="F208" t="str">
            <v>420621198404068968</v>
          </cell>
        </row>
        <row r="209">
          <cell r="C209" t="str">
            <v>王秋菊</v>
          </cell>
          <cell r="D209" t="str">
            <v>女</v>
          </cell>
          <cell r="E209">
            <v>31638</v>
          </cell>
          <cell r="F209" t="str">
            <v>411326198608143629</v>
          </cell>
        </row>
        <row r="210">
          <cell r="C210" t="str">
            <v>黄杰</v>
          </cell>
          <cell r="D210" t="str">
            <v>女</v>
          </cell>
          <cell r="E210">
            <v>30552</v>
          </cell>
          <cell r="F210" t="str">
            <v>420623198308241524</v>
          </cell>
        </row>
        <row r="211">
          <cell r="C211" t="str">
            <v>张治华</v>
          </cell>
          <cell r="D211" t="str">
            <v>女</v>
          </cell>
          <cell r="E211">
            <v>31424</v>
          </cell>
          <cell r="F211" t="str">
            <v>410223198601126046</v>
          </cell>
        </row>
        <row r="212">
          <cell r="C212" t="str">
            <v>彭霞</v>
          </cell>
          <cell r="D212" t="str">
            <v>女</v>
          </cell>
          <cell r="E212">
            <v>29998</v>
          </cell>
          <cell r="F212" t="str">
            <v>430511820216752</v>
          </cell>
        </row>
        <row r="213">
          <cell r="C213" t="str">
            <v>易香燕</v>
          </cell>
          <cell r="D213" t="str">
            <v>女</v>
          </cell>
          <cell r="E213">
            <v>31072</v>
          </cell>
          <cell r="F213" t="str">
            <v>42068419850125504X</v>
          </cell>
        </row>
        <row r="214">
          <cell r="C214" t="str">
            <v>王春燕</v>
          </cell>
          <cell r="D214" t="str">
            <v>女</v>
          </cell>
          <cell r="E214">
            <v>31239</v>
          </cell>
          <cell r="F214" t="str">
            <v>420621198507118622</v>
          </cell>
        </row>
        <row r="215">
          <cell r="C215" t="str">
            <v>肖艳平</v>
          </cell>
          <cell r="D215" t="str">
            <v>女</v>
          </cell>
          <cell r="E215">
            <v>31211</v>
          </cell>
          <cell r="F215" t="str">
            <v>420621198506138920</v>
          </cell>
        </row>
        <row r="216">
          <cell r="C216" t="str">
            <v>赵永霞</v>
          </cell>
          <cell r="D216" t="str">
            <v>女</v>
          </cell>
          <cell r="E216">
            <v>30754</v>
          </cell>
          <cell r="F216" t="str">
            <v>410223198403136024</v>
          </cell>
        </row>
        <row r="217">
          <cell r="C217" t="str">
            <v>张艳丽</v>
          </cell>
          <cell r="D217" t="str">
            <v>女</v>
          </cell>
          <cell r="E217">
            <v>30871</v>
          </cell>
          <cell r="F217" t="str">
            <v>410223198407086044</v>
          </cell>
        </row>
        <row r="218">
          <cell r="C218" t="str">
            <v>张敏</v>
          </cell>
          <cell r="D218" t="str">
            <v>女</v>
          </cell>
          <cell r="E218">
            <v>31070</v>
          </cell>
          <cell r="F218" t="str">
            <v>410224198501230766</v>
          </cell>
        </row>
        <row r="219">
          <cell r="C219" t="str">
            <v>王舒婷</v>
          </cell>
          <cell r="D219" t="str">
            <v>女</v>
          </cell>
          <cell r="E219">
            <v>30435</v>
          </cell>
          <cell r="F219" t="str">
            <v>362233198304291627</v>
          </cell>
        </row>
        <row r="220">
          <cell r="C220" t="str">
            <v>刘小瑞</v>
          </cell>
          <cell r="D220" t="str">
            <v>女</v>
          </cell>
          <cell r="E220">
            <v>31495</v>
          </cell>
          <cell r="F220" t="str">
            <v>410223198603240520</v>
          </cell>
        </row>
        <row r="221">
          <cell r="C221" t="str">
            <v>何仙仙</v>
          </cell>
          <cell r="D221" t="str">
            <v>女</v>
          </cell>
          <cell r="E221">
            <v>31598</v>
          </cell>
          <cell r="F221" t="str">
            <v>420621198607058647</v>
          </cell>
        </row>
        <row r="222">
          <cell r="C222" t="str">
            <v>刘海霞</v>
          </cell>
          <cell r="D222" t="str">
            <v>女</v>
          </cell>
          <cell r="E222">
            <v>29849</v>
          </cell>
          <cell r="F222" t="str">
            <v>412721810920424</v>
          </cell>
        </row>
        <row r="223">
          <cell r="C223" t="str">
            <v>曾凡娇</v>
          </cell>
          <cell r="D223" t="str">
            <v>女</v>
          </cell>
          <cell r="E223">
            <v>31359</v>
          </cell>
          <cell r="F223" t="str">
            <v>420621198511088665</v>
          </cell>
        </row>
        <row r="224">
          <cell r="C224" t="str">
            <v xml:space="preserve">孙小娜 </v>
          </cell>
          <cell r="D224" t="str">
            <v>女</v>
          </cell>
          <cell r="E224">
            <v>31087</v>
          </cell>
          <cell r="F224" t="str">
            <v>410223198502091060</v>
          </cell>
        </row>
        <row r="225">
          <cell r="C225" t="str">
            <v>任玉娇</v>
          </cell>
          <cell r="D225" t="str">
            <v>女</v>
          </cell>
          <cell r="E225">
            <v>31683</v>
          </cell>
          <cell r="F225" t="str">
            <v>420621198609288665</v>
          </cell>
        </row>
        <row r="226">
          <cell r="C226" t="str">
            <v>师改平</v>
          </cell>
          <cell r="D226" t="str">
            <v>女</v>
          </cell>
          <cell r="E226">
            <v>31245</v>
          </cell>
          <cell r="F226" t="str">
            <v>410223198507178026</v>
          </cell>
        </row>
        <row r="227">
          <cell r="C227" t="str">
            <v>刘小霞</v>
          </cell>
          <cell r="D227" t="str">
            <v>女</v>
          </cell>
          <cell r="E227">
            <v>30814</v>
          </cell>
          <cell r="F227" t="str">
            <v>41012219840512472X</v>
          </cell>
        </row>
        <row r="228">
          <cell r="C228" t="str">
            <v>梁盈</v>
          </cell>
          <cell r="D228" t="str">
            <v>女</v>
          </cell>
          <cell r="E228">
            <v>31637</v>
          </cell>
          <cell r="F228" t="str">
            <v>420621198608138665</v>
          </cell>
        </row>
        <row r="229">
          <cell r="C229" t="str">
            <v>徐征</v>
          </cell>
          <cell r="D229" t="str">
            <v>女</v>
          </cell>
          <cell r="E229">
            <v>31433</v>
          </cell>
          <cell r="F229" t="str">
            <v>420621198601218646</v>
          </cell>
        </row>
        <row r="230">
          <cell r="C230" t="str">
            <v>尹娥</v>
          </cell>
          <cell r="D230" t="str">
            <v>女</v>
          </cell>
          <cell r="E230">
            <v>30401</v>
          </cell>
          <cell r="F230" t="str">
            <v>420621198303268645</v>
          </cell>
        </row>
        <row r="231">
          <cell r="C231" t="str">
            <v>李娟</v>
          </cell>
          <cell r="D231" t="str">
            <v>女</v>
          </cell>
          <cell r="E231">
            <v>31438</v>
          </cell>
          <cell r="F231" t="str">
            <v>612324198601264028</v>
          </cell>
        </row>
        <row r="232">
          <cell r="C232" t="str">
            <v>杨云霞</v>
          </cell>
          <cell r="D232" t="str">
            <v>女</v>
          </cell>
          <cell r="E232">
            <v>29986</v>
          </cell>
          <cell r="F232" t="str">
            <v>41102419820204324X</v>
          </cell>
        </row>
        <row r="233">
          <cell r="C233" t="str">
            <v>祁艳霞</v>
          </cell>
          <cell r="D233" t="str">
            <v>女</v>
          </cell>
          <cell r="E233">
            <v>30365</v>
          </cell>
          <cell r="F233" t="str">
            <v>412722830910492</v>
          </cell>
        </row>
        <row r="234">
          <cell r="C234" t="str">
            <v>张新华</v>
          </cell>
          <cell r="D234" t="str">
            <v>女</v>
          </cell>
          <cell r="E234">
            <v>27479</v>
          </cell>
          <cell r="F234" t="str">
            <v>341022750326432</v>
          </cell>
        </row>
        <row r="235">
          <cell r="C235" t="str">
            <v>郑爱琴</v>
          </cell>
          <cell r="D235" t="str">
            <v>女</v>
          </cell>
          <cell r="E235">
            <v>30012</v>
          </cell>
          <cell r="F235" t="str">
            <v>410503820302104</v>
          </cell>
        </row>
        <row r="236">
          <cell r="C236" t="str">
            <v>黄利琴</v>
          </cell>
          <cell r="D236" t="str">
            <v>女</v>
          </cell>
          <cell r="E236">
            <v>30398</v>
          </cell>
          <cell r="F236" t="str">
            <v>430181198303237428</v>
          </cell>
        </row>
        <row r="237">
          <cell r="C237" t="str">
            <v>耿慧娜</v>
          </cell>
          <cell r="D237" t="str">
            <v>女</v>
          </cell>
          <cell r="E237">
            <v>29445</v>
          </cell>
          <cell r="F237" t="str">
            <v>411024198008123289</v>
          </cell>
        </row>
        <row r="238">
          <cell r="C238" t="str">
            <v>田华</v>
          </cell>
          <cell r="D238" t="str">
            <v>女</v>
          </cell>
          <cell r="E238">
            <v>29857</v>
          </cell>
          <cell r="F238" t="str">
            <v>420623198109281523</v>
          </cell>
        </row>
        <row r="239">
          <cell r="C239" t="str">
            <v>李云霞</v>
          </cell>
          <cell r="D239" t="str">
            <v>男</v>
          </cell>
          <cell r="E239">
            <v>28299</v>
          </cell>
          <cell r="F239" t="str">
            <v>430602770623051</v>
          </cell>
        </row>
        <row r="240">
          <cell r="C240" t="str">
            <v>蒋维</v>
          </cell>
          <cell r="D240" t="str">
            <v>女</v>
          </cell>
          <cell r="E240">
            <v>30945</v>
          </cell>
          <cell r="F240" t="str">
            <v>450325198409201304</v>
          </cell>
        </row>
        <row r="241">
          <cell r="C241" t="str">
            <v>马丽霞</v>
          </cell>
          <cell r="D241" t="str">
            <v>女</v>
          </cell>
          <cell r="E241">
            <v>30818</v>
          </cell>
          <cell r="F241" t="str">
            <v>61232419840516402X</v>
          </cell>
        </row>
        <row r="242">
          <cell r="C242" t="str">
            <v>何卫华</v>
          </cell>
          <cell r="D242" t="str">
            <v>男</v>
          </cell>
          <cell r="E242">
            <v>28396</v>
          </cell>
          <cell r="F242" t="str">
            <v>430602770928151</v>
          </cell>
        </row>
        <row r="243">
          <cell r="C243" t="str">
            <v>崔淑娟</v>
          </cell>
          <cell r="D243" t="str">
            <v>女</v>
          </cell>
          <cell r="E243">
            <v>30056</v>
          </cell>
          <cell r="F243" t="str">
            <v>411024820415322</v>
          </cell>
        </row>
        <row r="244">
          <cell r="C244" t="str">
            <v>张艳芳</v>
          </cell>
          <cell r="D244" t="str">
            <v>女</v>
          </cell>
          <cell r="E244">
            <v>31168</v>
          </cell>
          <cell r="F244" t="str">
            <v>411024198505012547</v>
          </cell>
        </row>
        <row r="245">
          <cell r="C245" t="str">
            <v>陈永霞</v>
          </cell>
          <cell r="D245" t="str">
            <v>女</v>
          </cell>
          <cell r="E245">
            <v>29531</v>
          </cell>
          <cell r="F245" t="str">
            <v>411102198011060060</v>
          </cell>
        </row>
        <row r="246">
          <cell r="C246" t="str">
            <v>牛瑞瑞</v>
          </cell>
          <cell r="D246" t="str">
            <v>女</v>
          </cell>
          <cell r="E246">
            <v>30170</v>
          </cell>
          <cell r="F246" t="str">
            <v>410224198208071620</v>
          </cell>
        </row>
        <row r="247">
          <cell r="C247" t="str">
            <v>蒋连香</v>
          </cell>
          <cell r="D247" t="str">
            <v>女</v>
          </cell>
          <cell r="E247">
            <v>31174</v>
          </cell>
          <cell r="F247" t="str">
            <v>450325198505070324</v>
          </cell>
        </row>
        <row r="248">
          <cell r="C248" t="str">
            <v>唐妮琼</v>
          </cell>
          <cell r="D248" t="str">
            <v>女</v>
          </cell>
          <cell r="E248">
            <v>30067</v>
          </cell>
          <cell r="F248" t="str">
            <v>452324820426124</v>
          </cell>
        </row>
        <row r="249">
          <cell r="C249" t="str">
            <v>谢闫</v>
          </cell>
          <cell r="D249" t="str">
            <v>女</v>
          </cell>
          <cell r="E249">
            <v>31215</v>
          </cell>
          <cell r="F249" t="str">
            <v>421125198506176125</v>
          </cell>
        </row>
        <row r="250">
          <cell r="C250" t="str">
            <v>牛琳利</v>
          </cell>
          <cell r="D250" t="str">
            <v>女</v>
          </cell>
          <cell r="E250">
            <v>28693</v>
          </cell>
          <cell r="F250" t="str">
            <v>410224780722162</v>
          </cell>
        </row>
        <row r="251">
          <cell r="C251" t="str">
            <v>武艳</v>
          </cell>
          <cell r="D251" t="str">
            <v>女</v>
          </cell>
          <cell r="E251">
            <v>30855</v>
          </cell>
          <cell r="F251" t="str">
            <v>412722198406223548</v>
          </cell>
        </row>
        <row r="252">
          <cell r="C252" t="str">
            <v>武锦锦</v>
          </cell>
          <cell r="D252" t="str">
            <v>女</v>
          </cell>
          <cell r="E252">
            <v>30516</v>
          </cell>
          <cell r="F252" t="str">
            <v>412722830719352</v>
          </cell>
        </row>
        <row r="253">
          <cell r="C253" t="str">
            <v>牛兰芳</v>
          </cell>
          <cell r="D253" t="str">
            <v>女</v>
          </cell>
          <cell r="E253">
            <v>29531</v>
          </cell>
          <cell r="F253" t="str">
            <v>411024801106254</v>
          </cell>
        </row>
        <row r="254">
          <cell r="C254" t="str">
            <v>聂小红</v>
          </cell>
          <cell r="D254" t="str">
            <v>女</v>
          </cell>
          <cell r="E254">
            <v>31662</v>
          </cell>
          <cell r="F254" t="str">
            <v>362424198609076420</v>
          </cell>
        </row>
        <row r="255">
          <cell r="C255" t="str">
            <v>卓毓琴</v>
          </cell>
          <cell r="D255" t="str">
            <v>女</v>
          </cell>
          <cell r="E255">
            <v>29423</v>
          </cell>
          <cell r="F255" t="str">
            <v>362103800721002</v>
          </cell>
        </row>
        <row r="256">
          <cell r="C256" t="str">
            <v>孙彦红</v>
          </cell>
          <cell r="D256" t="str">
            <v>女</v>
          </cell>
          <cell r="E256">
            <v>31672</v>
          </cell>
          <cell r="F256" t="str">
            <v>412722198609171549</v>
          </cell>
        </row>
        <row r="257">
          <cell r="C257" t="str">
            <v>蔡昭晶</v>
          </cell>
          <cell r="D257" t="str">
            <v>女</v>
          </cell>
          <cell r="E257">
            <v>31248</v>
          </cell>
          <cell r="F257" t="str">
            <v>460200198507201403</v>
          </cell>
        </row>
        <row r="258">
          <cell r="C258" t="str">
            <v>王小莉</v>
          </cell>
          <cell r="D258" t="str">
            <v>女</v>
          </cell>
          <cell r="E258">
            <v>31532</v>
          </cell>
          <cell r="F258" t="str">
            <v>411024198604303227</v>
          </cell>
        </row>
        <row r="259">
          <cell r="C259" t="str">
            <v>李娟</v>
          </cell>
          <cell r="D259" t="str">
            <v>女</v>
          </cell>
          <cell r="E259">
            <v>31438</v>
          </cell>
          <cell r="F259" t="str">
            <v>612324198601264028</v>
          </cell>
        </row>
        <row r="260">
          <cell r="C260" t="str">
            <v>胡华勇</v>
          </cell>
          <cell r="D260" t="str">
            <v>男</v>
          </cell>
          <cell r="E260">
            <v>29114</v>
          </cell>
          <cell r="F260" t="str">
            <v>430602197909161015</v>
          </cell>
        </row>
        <row r="261">
          <cell r="C261" t="str">
            <v>滕娅敏</v>
          </cell>
          <cell r="D261" t="str">
            <v>女</v>
          </cell>
          <cell r="E261">
            <v>30209</v>
          </cell>
          <cell r="F261" t="str">
            <v>411024820915260</v>
          </cell>
        </row>
        <row r="262">
          <cell r="C262" t="str">
            <v>李艳芳</v>
          </cell>
          <cell r="D262" t="str">
            <v>女</v>
          </cell>
          <cell r="E262">
            <v>29922</v>
          </cell>
          <cell r="F262" t="str">
            <v>412722198112021545</v>
          </cell>
        </row>
        <row r="263">
          <cell r="C263" t="str">
            <v>曾苏远</v>
          </cell>
          <cell r="D263" t="str">
            <v>男</v>
          </cell>
          <cell r="E263">
            <v>31372</v>
          </cell>
          <cell r="F263" t="str">
            <v>441621198511215315</v>
          </cell>
        </row>
        <row r="264">
          <cell r="C264" t="str">
            <v>刘培</v>
          </cell>
          <cell r="D264" t="str">
            <v>女</v>
          </cell>
          <cell r="E264">
            <v>30696</v>
          </cell>
          <cell r="F264" t="str">
            <v>411024198401152529</v>
          </cell>
        </row>
        <row r="265">
          <cell r="C265" t="str">
            <v>刘侃</v>
          </cell>
          <cell r="D265" t="str">
            <v>男</v>
          </cell>
          <cell r="E265">
            <v>31481</v>
          </cell>
          <cell r="F265" t="str">
            <v>430681198603109337</v>
          </cell>
        </row>
        <row r="266">
          <cell r="C266" t="str">
            <v>蒋润秀</v>
          </cell>
          <cell r="D266" t="str">
            <v>女</v>
          </cell>
          <cell r="E266">
            <v>30980</v>
          </cell>
          <cell r="F266" t="str">
            <v>450325198410250402</v>
          </cell>
        </row>
        <row r="267">
          <cell r="C267" t="str">
            <v>易芳</v>
          </cell>
          <cell r="D267" t="str">
            <v>女</v>
          </cell>
          <cell r="E267">
            <v>30615</v>
          </cell>
          <cell r="F267" t="str">
            <v>430681198310269345</v>
          </cell>
        </row>
        <row r="268">
          <cell r="C268" t="str">
            <v>董辛欣</v>
          </cell>
          <cell r="D268" t="str">
            <v>女</v>
          </cell>
          <cell r="E268">
            <v>30717</v>
          </cell>
          <cell r="F268" t="str">
            <v>411303840205452</v>
          </cell>
        </row>
        <row r="269">
          <cell r="C269" t="str">
            <v>李香丽</v>
          </cell>
          <cell r="D269" t="str">
            <v>女</v>
          </cell>
          <cell r="E269">
            <v>31369</v>
          </cell>
          <cell r="F269" t="str">
            <v>411302198511181329</v>
          </cell>
        </row>
        <row r="270">
          <cell r="C270" t="str">
            <v>马兵</v>
          </cell>
          <cell r="D270" t="str">
            <v>女</v>
          </cell>
          <cell r="E270">
            <v>30901</v>
          </cell>
          <cell r="F270" t="str">
            <v>411324840807582</v>
          </cell>
        </row>
        <row r="271">
          <cell r="C271" t="str">
            <v>尚妍</v>
          </cell>
          <cell r="D271" t="str">
            <v>女</v>
          </cell>
          <cell r="E271">
            <v>30083</v>
          </cell>
          <cell r="F271" t="str">
            <v>411324820512112</v>
          </cell>
        </row>
        <row r="272">
          <cell r="C272" t="str">
            <v>陈波</v>
          </cell>
          <cell r="D272" t="str">
            <v>女</v>
          </cell>
          <cell r="E272">
            <v>28670</v>
          </cell>
          <cell r="F272" t="str">
            <v>430321780802355</v>
          </cell>
        </row>
        <row r="273">
          <cell r="C273" t="str">
            <v>王胜</v>
          </cell>
          <cell r="D273" t="str">
            <v>女</v>
          </cell>
          <cell r="E273">
            <v>30921</v>
          </cell>
          <cell r="F273" t="str">
            <v>421123198408270019</v>
          </cell>
        </row>
        <row r="274">
          <cell r="C274" t="str">
            <v>尧勇田</v>
          </cell>
          <cell r="D274" t="str">
            <v>男</v>
          </cell>
          <cell r="E274">
            <v>27330</v>
          </cell>
          <cell r="F274" t="str">
            <v>362502197410285834</v>
          </cell>
        </row>
        <row r="275">
          <cell r="C275" t="str">
            <v>王海霞</v>
          </cell>
          <cell r="D275" t="str">
            <v>女</v>
          </cell>
          <cell r="E275">
            <v>31481</v>
          </cell>
          <cell r="F275" t="str">
            <v>411324198603105903</v>
          </cell>
        </row>
        <row r="276">
          <cell r="C276" t="str">
            <v>彭耐选</v>
          </cell>
          <cell r="D276" t="str">
            <v>女</v>
          </cell>
          <cell r="E276">
            <v>30998</v>
          </cell>
          <cell r="F276" t="str">
            <v>41132419841112582X</v>
          </cell>
        </row>
        <row r="277">
          <cell r="C277" t="str">
            <v>肖永霞</v>
          </cell>
          <cell r="D277" t="str">
            <v>女</v>
          </cell>
          <cell r="E277">
            <v>29874</v>
          </cell>
          <cell r="F277" t="str">
            <v>412723811015294</v>
          </cell>
        </row>
        <row r="278">
          <cell r="C278" t="str">
            <v>陶林</v>
          </cell>
          <cell r="D278" t="str">
            <v>女</v>
          </cell>
          <cell r="E278">
            <v>31366</v>
          </cell>
          <cell r="F278" t="str">
            <v>430527198511154823</v>
          </cell>
        </row>
        <row r="279">
          <cell r="C279" t="str">
            <v>邓晓情</v>
          </cell>
          <cell r="D279" t="str">
            <v>女</v>
          </cell>
          <cell r="E279">
            <v>30590</v>
          </cell>
          <cell r="F279" t="str">
            <v>421181198310011725</v>
          </cell>
        </row>
        <row r="280">
          <cell r="C280" t="str">
            <v>刘慧娟</v>
          </cell>
          <cell r="D280" t="str">
            <v>女</v>
          </cell>
          <cell r="E280">
            <v>31772</v>
          </cell>
          <cell r="F280" t="str">
            <v>421181198612261324</v>
          </cell>
        </row>
        <row r="281">
          <cell r="C281" t="str">
            <v>石爱凤</v>
          </cell>
          <cell r="D281" t="str">
            <v>女</v>
          </cell>
          <cell r="E281">
            <v>30574</v>
          </cell>
          <cell r="F281" t="str">
            <v>452702198309152663</v>
          </cell>
        </row>
        <row r="282">
          <cell r="C282" t="str">
            <v>王世娥</v>
          </cell>
          <cell r="D282" t="str">
            <v>女</v>
          </cell>
          <cell r="E282">
            <v>29926</v>
          </cell>
          <cell r="F282" t="str">
            <v>411303811206428</v>
          </cell>
        </row>
        <row r="283">
          <cell r="C283" t="str">
            <v>罗丽华</v>
          </cell>
          <cell r="D283" t="str">
            <v>女</v>
          </cell>
          <cell r="E283">
            <v>30798</v>
          </cell>
          <cell r="F283" t="str">
            <v>430124198404261243</v>
          </cell>
        </row>
        <row r="284">
          <cell r="C284" t="str">
            <v>杨燕</v>
          </cell>
          <cell r="D284" t="str">
            <v>女</v>
          </cell>
          <cell r="E284">
            <v>31575</v>
          </cell>
          <cell r="F284" t="str">
            <v>411324198606120922</v>
          </cell>
        </row>
        <row r="285">
          <cell r="C285" t="str">
            <v>陆燕瑞</v>
          </cell>
          <cell r="D285" t="str">
            <v>女</v>
          </cell>
          <cell r="E285">
            <v>31505</v>
          </cell>
          <cell r="F285" t="str">
            <v>411324198604030966</v>
          </cell>
        </row>
        <row r="286">
          <cell r="C286" t="str">
            <v>张礼琼</v>
          </cell>
          <cell r="D286" t="str">
            <v>女</v>
          </cell>
          <cell r="E286">
            <v>29375</v>
          </cell>
          <cell r="F286" t="str">
            <v>510230800603232</v>
          </cell>
        </row>
        <row r="287">
          <cell r="C287" t="str">
            <v>胡营年</v>
          </cell>
          <cell r="D287" t="str">
            <v>女</v>
          </cell>
          <cell r="E287">
            <v>31110</v>
          </cell>
          <cell r="F287" t="str">
            <v>411303198503043547</v>
          </cell>
        </row>
        <row r="288">
          <cell r="C288" t="str">
            <v>樊光香</v>
          </cell>
          <cell r="D288" t="str">
            <v>女</v>
          </cell>
          <cell r="E288">
            <v>29544</v>
          </cell>
          <cell r="F288" t="str">
            <v>412924801119062</v>
          </cell>
        </row>
        <row r="289">
          <cell r="C289" t="str">
            <v>曾琼燕</v>
          </cell>
          <cell r="D289" t="str">
            <v>女</v>
          </cell>
          <cell r="E289">
            <v>31016</v>
          </cell>
          <cell r="F289" t="str">
            <v>440981198411301760</v>
          </cell>
        </row>
        <row r="290">
          <cell r="C290" t="str">
            <v>传永会</v>
          </cell>
          <cell r="D290" t="str">
            <v>女</v>
          </cell>
          <cell r="E290">
            <v>30838</v>
          </cell>
          <cell r="F290" t="str">
            <v>512301197406057223</v>
          </cell>
        </row>
        <row r="291">
          <cell r="C291" t="str">
            <v>常亚娟</v>
          </cell>
          <cell r="D291" t="str">
            <v>女</v>
          </cell>
          <cell r="E291">
            <v>31762</v>
          </cell>
          <cell r="F291" t="str">
            <v>411123198612166540</v>
          </cell>
        </row>
        <row r="292">
          <cell r="C292" t="str">
            <v>李海艳</v>
          </cell>
          <cell r="D292" t="str">
            <v>女</v>
          </cell>
          <cell r="E292">
            <v>29026</v>
          </cell>
          <cell r="F292" t="str">
            <v>429001790620742</v>
          </cell>
        </row>
        <row r="293">
          <cell r="C293" t="str">
            <v xml:space="preserve">李琼 </v>
          </cell>
          <cell r="D293" t="str">
            <v>女</v>
          </cell>
          <cell r="E293">
            <v>29203</v>
          </cell>
          <cell r="F293" t="str">
            <v>429001197912142824</v>
          </cell>
        </row>
        <row r="294">
          <cell r="C294" t="str">
            <v>苟婉娟</v>
          </cell>
          <cell r="D294" t="str">
            <v>女</v>
          </cell>
          <cell r="E294">
            <v>30221</v>
          </cell>
          <cell r="F294" t="str">
            <v>610426198209272927</v>
          </cell>
        </row>
        <row r="295">
          <cell r="C295" t="str">
            <v>顾燕</v>
          </cell>
          <cell r="D295" t="str">
            <v>女</v>
          </cell>
          <cell r="E295">
            <v>31312</v>
          </cell>
          <cell r="F295" t="str">
            <v>360426198509222022</v>
          </cell>
        </row>
        <row r="296">
          <cell r="C296" t="str">
            <v>闵茶秀</v>
          </cell>
          <cell r="D296" t="str">
            <v>女</v>
          </cell>
          <cell r="E296">
            <v>30961</v>
          </cell>
          <cell r="F296" t="str">
            <v>36220419841006336X</v>
          </cell>
        </row>
        <row r="297">
          <cell r="C297" t="str">
            <v>汪琴</v>
          </cell>
          <cell r="D297" t="str">
            <v>女</v>
          </cell>
          <cell r="E297">
            <v>30926</v>
          </cell>
          <cell r="F297" t="str">
            <v>429004198409013148</v>
          </cell>
        </row>
        <row r="298">
          <cell r="C298" t="str">
            <v>雷艳会</v>
          </cell>
          <cell r="D298" t="str">
            <v>女</v>
          </cell>
          <cell r="E298">
            <v>30371</v>
          </cell>
          <cell r="F298" t="str">
            <v>410324830224312</v>
          </cell>
        </row>
        <row r="299">
          <cell r="C299" t="str">
            <v>王世华</v>
          </cell>
          <cell r="D299" t="str">
            <v>女</v>
          </cell>
          <cell r="E299">
            <v>30239</v>
          </cell>
          <cell r="F299" t="str">
            <v>411303821015400</v>
          </cell>
        </row>
        <row r="300">
          <cell r="C300" t="str">
            <v>马其选</v>
          </cell>
          <cell r="D300" t="str">
            <v>女</v>
          </cell>
          <cell r="E300">
            <v>30257</v>
          </cell>
          <cell r="F300" t="str">
            <v>411324198211020927</v>
          </cell>
        </row>
        <row r="301">
          <cell r="C301" t="str">
            <v>柯纷红</v>
          </cell>
          <cell r="D301" t="str">
            <v>女</v>
          </cell>
          <cell r="E301">
            <v>30228</v>
          </cell>
          <cell r="F301" t="str">
            <v>420281821004244</v>
          </cell>
        </row>
        <row r="302">
          <cell r="C302" t="str">
            <v>王利娜</v>
          </cell>
          <cell r="D302" t="str">
            <v>女</v>
          </cell>
          <cell r="E302">
            <v>30930</v>
          </cell>
          <cell r="F302" t="str">
            <v>411002198409053527</v>
          </cell>
        </row>
        <row r="303">
          <cell r="C303" t="str">
            <v>王小丽</v>
          </cell>
          <cell r="D303" t="str">
            <v>女</v>
          </cell>
          <cell r="E303">
            <v>31340</v>
          </cell>
          <cell r="F303" t="str">
            <v>513022851020606</v>
          </cell>
        </row>
        <row r="304">
          <cell r="C304" t="str">
            <v>李兴芳</v>
          </cell>
          <cell r="D304" t="str">
            <v>女</v>
          </cell>
          <cell r="E304">
            <v>30166</v>
          </cell>
          <cell r="F304" t="str">
            <v>51302219820803606X</v>
          </cell>
        </row>
        <row r="305">
          <cell r="C305" t="str">
            <v>刘德湘</v>
          </cell>
          <cell r="D305" t="str">
            <v>女</v>
          </cell>
          <cell r="E305">
            <v>31157</v>
          </cell>
          <cell r="F305" t="str">
            <v>411303198504203522</v>
          </cell>
        </row>
        <row r="306">
          <cell r="C306" t="str">
            <v>杨利娟</v>
          </cell>
          <cell r="D306" t="str">
            <v>女</v>
          </cell>
          <cell r="E306">
            <v>29630</v>
          </cell>
          <cell r="F306" t="str">
            <v>430124810213916</v>
          </cell>
        </row>
        <row r="307">
          <cell r="C307" t="str">
            <v>欧慧</v>
          </cell>
          <cell r="D307" t="str">
            <v>女</v>
          </cell>
          <cell r="E307">
            <v>30594</v>
          </cell>
          <cell r="F307" t="str">
            <v>432924198310050109</v>
          </cell>
        </row>
        <row r="308">
          <cell r="C308" t="str">
            <v>赵华枝</v>
          </cell>
          <cell r="D308" t="str">
            <v>女</v>
          </cell>
          <cell r="E308">
            <v>30175</v>
          </cell>
          <cell r="F308" t="str">
            <v>412722820812492</v>
          </cell>
        </row>
        <row r="309">
          <cell r="C309" t="str">
            <v>覃小兰</v>
          </cell>
          <cell r="D309" t="str">
            <v>女</v>
          </cell>
          <cell r="E309">
            <v>30531</v>
          </cell>
          <cell r="F309" t="str">
            <v>452523830803352</v>
          </cell>
        </row>
        <row r="310">
          <cell r="C310" t="str">
            <v>申卫云</v>
          </cell>
          <cell r="D310" t="str">
            <v>女</v>
          </cell>
          <cell r="E310">
            <v>30816</v>
          </cell>
          <cell r="F310" t="str">
            <v>411123198405146520</v>
          </cell>
        </row>
        <row r="311">
          <cell r="C311" t="str">
            <v>杨芬</v>
          </cell>
          <cell r="D311" t="str">
            <v>女</v>
          </cell>
          <cell r="E311">
            <v>30563</v>
          </cell>
          <cell r="F311" t="str">
            <v>411303198309043922</v>
          </cell>
        </row>
        <row r="312">
          <cell r="C312" t="str">
            <v>张小灵</v>
          </cell>
          <cell r="D312" t="str">
            <v>女</v>
          </cell>
          <cell r="E312">
            <v>29863</v>
          </cell>
          <cell r="F312" t="str">
            <v>412723811004252</v>
          </cell>
        </row>
        <row r="313">
          <cell r="C313" t="str">
            <v>魏凡</v>
          </cell>
          <cell r="D313" t="str">
            <v>女</v>
          </cell>
          <cell r="E313">
            <v>31496</v>
          </cell>
          <cell r="F313" t="str">
            <v>411324198603255821</v>
          </cell>
        </row>
        <row r="314">
          <cell r="C314" t="str">
            <v>杜变变</v>
          </cell>
          <cell r="D314" t="str">
            <v>女</v>
          </cell>
          <cell r="E314">
            <v>31543</v>
          </cell>
          <cell r="F314" t="str">
            <v>411324198605115849</v>
          </cell>
        </row>
        <row r="315">
          <cell r="C315" t="str">
            <v>杨腊芝</v>
          </cell>
          <cell r="D315" t="str">
            <v>女</v>
          </cell>
          <cell r="E315">
            <v>30701</v>
          </cell>
          <cell r="F315" t="str">
            <v>429001198401206122</v>
          </cell>
        </row>
        <row r="316">
          <cell r="C316" t="str">
            <v>王娥</v>
          </cell>
          <cell r="D316" t="str">
            <v>女</v>
          </cell>
          <cell r="E316">
            <v>31636</v>
          </cell>
          <cell r="F316" t="str">
            <v>411324198608120926</v>
          </cell>
        </row>
        <row r="317">
          <cell r="C317" t="str">
            <v>龙任翠</v>
          </cell>
          <cell r="D317" t="str">
            <v>女</v>
          </cell>
          <cell r="E317">
            <v>28474</v>
          </cell>
          <cell r="F317" t="str">
            <v>432924771215563</v>
          </cell>
        </row>
        <row r="318">
          <cell r="C318" t="str">
            <v>王中原</v>
          </cell>
          <cell r="D318" t="str">
            <v>女</v>
          </cell>
          <cell r="E318">
            <v>30927</v>
          </cell>
          <cell r="F318" t="str">
            <v>411324840902092</v>
          </cell>
        </row>
        <row r="319">
          <cell r="C319" t="str">
            <v>黄华萍</v>
          </cell>
          <cell r="D319" t="str">
            <v>女</v>
          </cell>
          <cell r="E319">
            <v>30969</v>
          </cell>
          <cell r="F319" t="str">
            <v>420821198410142547</v>
          </cell>
        </row>
        <row r="320">
          <cell r="C320" t="str">
            <v>陆利娜</v>
          </cell>
          <cell r="D320" t="str">
            <v>女</v>
          </cell>
          <cell r="E320">
            <v>30244</v>
          </cell>
          <cell r="F320" t="str">
            <v>10224821020102</v>
          </cell>
        </row>
        <row r="321">
          <cell r="C321" t="str">
            <v>袁芳</v>
          </cell>
          <cell r="D321" t="str">
            <v>女</v>
          </cell>
          <cell r="E321">
            <v>30962</v>
          </cell>
          <cell r="F321" t="str">
            <v>430621198412075027</v>
          </cell>
        </row>
        <row r="322">
          <cell r="C322" t="str">
            <v>尹瑞</v>
          </cell>
          <cell r="D322" t="str">
            <v>女</v>
          </cell>
          <cell r="E322">
            <v>30849</v>
          </cell>
          <cell r="F322" t="str">
            <v>41272119840616182X</v>
          </cell>
        </row>
        <row r="323">
          <cell r="C323" t="str">
            <v>肖银凤</v>
          </cell>
          <cell r="D323" t="str">
            <v>女</v>
          </cell>
          <cell r="E323">
            <v>30403</v>
          </cell>
          <cell r="F323" t="str">
            <v>412722198303280080</v>
          </cell>
        </row>
        <row r="324">
          <cell r="C324" t="str">
            <v>严莉娜</v>
          </cell>
          <cell r="D324" t="str">
            <v>女</v>
          </cell>
          <cell r="E324">
            <v>30428</v>
          </cell>
          <cell r="F324" t="str">
            <v>412721830422182</v>
          </cell>
        </row>
        <row r="325">
          <cell r="C325" t="str">
            <v>蒲玉霞</v>
          </cell>
          <cell r="D325" t="str">
            <v>女</v>
          </cell>
          <cell r="E325">
            <v>29805</v>
          </cell>
          <cell r="F325" t="str">
            <v>412721810807182</v>
          </cell>
        </row>
        <row r="326">
          <cell r="C326" t="str">
            <v>许艳红</v>
          </cell>
          <cell r="D326" t="str">
            <v>女</v>
          </cell>
          <cell r="E326">
            <v>31209</v>
          </cell>
          <cell r="F326" t="str">
            <v>411024198506111643</v>
          </cell>
        </row>
        <row r="327">
          <cell r="C327" t="str">
            <v>胡英</v>
          </cell>
          <cell r="D327" t="str">
            <v>女</v>
          </cell>
          <cell r="E327">
            <v>29038</v>
          </cell>
          <cell r="F327" t="str">
            <v>430611197907025526</v>
          </cell>
        </row>
        <row r="328">
          <cell r="C328" t="str">
            <v>张会娜</v>
          </cell>
          <cell r="D328" t="str">
            <v>女</v>
          </cell>
          <cell r="E328">
            <v>30012</v>
          </cell>
          <cell r="F328" t="str">
            <v>412721198203022627</v>
          </cell>
        </row>
        <row r="329">
          <cell r="C329" t="str">
            <v>何星云</v>
          </cell>
          <cell r="D329" t="str">
            <v>女</v>
          </cell>
          <cell r="E329">
            <v>31009</v>
          </cell>
          <cell r="F329" t="str">
            <v>412721198411235424</v>
          </cell>
        </row>
        <row r="330">
          <cell r="C330" t="str">
            <v>彭春丽</v>
          </cell>
          <cell r="D330" t="str">
            <v>女</v>
          </cell>
          <cell r="E330">
            <v>28861</v>
          </cell>
          <cell r="F330" t="str">
            <v>412722790106104</v>
          </cell>
        </row>
        <row r="331">
          <cell r="C331" t="str">
            <v>满言兰</v>
          </cell>
          <cell r="D331" t="str">
            <v>女</v>
          </cell>
          <cell r="E331">
            <v>28544</v>
          </cell>
          <cell r="F331" t="str">
            <v>422828780223152</v>
          </cell>
        </row>
        <row r="332">
          <cell r="C332" t="str">
            <v>李秋颂</v>
          </cell>
          <cell r="D332" t="str">
            <v>女</v>
          </cell>
          <cell r="E332">
            <v>31144</v>
          </cell>
          <cell r="F332" t="str">
            <v>421125198504070343</v>
          </cell>
        </row>
        <row r="333">
          <cell r="C333" t="str">
            <v>徐可</v>
          </cell>
          <cell r="D333" t="str">
            <v>女</v>
          </cell>
          <cell r="E333">
            <v>30108</v>
          </cell>
          <cell r="F333" t="str">
            <v>421125198206068309</v>
          </cell>
        </row>
        <row r="334">
          <cell r="C334" t="str">
            <v>张艳</v>
          </cell>
          <cell r="D334" t="str">
            <v>女</v>
          </cell>
          <cell r="E334">
            <v>30848</v>
          </cell>
          <cell r="F334" t="str">
            <v>420322198406153963</v>
          </cell>
        </row>
        <row r="335">
          <cell r="C335" t="str">
            <v>龚利平</v>
          </cell>
          <cell r="D335" t="str">
            <v>女</v>
          </cell>
          <cell r="E335">
            <v>30376</v>
          </cell>
          <cell r="F335" t="str">
            <v>421125830301004</v>
          </cell>
        </row>
        <row r="336">
          <cell r="C336" t="str">
            <v>李多多</v>
          </cell>
          <cell r="D336" t="str">
            <v>女</v>
          </cell>
          <cell r="E336">
            <v>30968</v>
          </cell>
          <cell r="F336" t="str">
            <v>421125198410138263</v>
          </cell>
        </row>
        <row r="337">
          <cell r="C337" t="str">
            <v>李秀珍</v>
          </cell>
          <cell r="D337" t="str">
            <v>女</v>
          </cell>
          <cell r="E337">
            <v>28688</v>
          </cell>
          <cell r="F337" t="str">
            <v>422127780717008</v>
          </cell>
        </row>
        <row r="338">
          <cell r="C338" t="str">
            <v>康黎黎</v>
          </cell>
          <cell r="D338" t="str">
            <v>女</v>
          </cell>
          <cell r="E338">
            <v>31028</v>
          </cell>
          <cell r="F338" t="str">
            <v>420621198412128668</v>
          </cell>
        </row>
        <row r="339">
          <cell r="C339" t="str">
            <v>王玉姣</v>
          </cell>
          <cell r="D339" t="str">
            <v>女</v>
          </cell>
          <cell r="E339">
            <v>31179</v>
          </cell>
          <cell r="F339" t="str">
            <v>421125198505127022</v>
          </cell>
        </row>
        <row r="340">
          <cell r="C340" t="str">
            <v>张思雨</v>
          </cell>
          <cell r="D340" t="str">
            <v>女</v>
          </cell>
          <cell r="E340">
            <v>31684</v>
          </cell>
          <cell r="F340" t="str">
            <v>421125198609296488</v>
          </cell>
        </row>
        <row r="341">
          <cell r="C341" t="str">
            <v>张无霄</v>
          </cell>
          <cell r="D341" t="str">
            <v>女</v>
          </cell>
          <cell r="E341">
            <v>30696</v>
          </cell>
          <cell r="F341" t="str">
            <v>421125198401150084</v>
          </cell>
        </row>
        <row r="342">
          <cell r="C342" t="str">
            <v>王鹏丽</v>
          </cell>
          <cell r="D342" t="str">
            <v>女</v>
          </cell>
          <cell r="E342">
            <v>31274</v>
          </cell>
          <cell r="F342" t="str">
            <v>652722198508150241</v>
          </cell>
        </row>
        <row r="343">
          <cell r="C343" t="str">
            <v>董艳艳</v>
          </cell>
          <cell r="D343" t="str">
            <v>女</v>
          </cell>
          <cell r="E343">
            <v>31627</v>
          </cell>
          <cell r="F343" t="str">
            <v>412721198608031820</v>
          </cell>
        </row>
        <row r="344">
          <cell r="C344" t="str">
            <v>温剑方</v>
          </cell>
          <cell r="D344" t="str">
            <v>女</v>
          </cell>
          <cell r="E344">
            <v>30542</v>
          </cell>
          <cell r="F344" t="str">
            <v>441602198308140435</v>
          </cell>
        </row>
        <row r="345">
          <cell r="C345" t="str">
            <v>刘兰</v>
          </cell>
          <cell r="D345" t="str">
            <v>女</v>
          </cell>
          <cell r="E345">
            <v>30622</v>
          </cell>
          <cell r="F345" t="str">
            <v>410224831102102</v>
          </cell>
        </row>
        <row r="346">
          <cell r="C346" t="str">
            <v>吴思</v>
          </cell>
          <cell r="D346" t="str">
            <v>女</v>
          </cell>
          <cell r="E346">
            <v>31580</v>
          </cell>
          <cell r="F346" t="str">
            <v>43012119860617574X</v>
          </cell>
        </row>
        <row r="347">
          <cell r="C347" t="str">
            <v>苟转丽</v>
          </cell>
          <cell r="D347" t="str">
            <v>女</v>
          </cell>
          <cell r="E347">
            <v>30677</v>
          </cell>
          <cell r="F347" t="str">
            <v>610426198312272925</v>
          </cell>
        </row>
        <row r="348">
          <cell r="C348" t="str">
            <v>严金霞</v>
          </cell>
          <cell r="D348" t="str">
            <v>女</v>
          </cell>
          <cell r="E348">
            <v>30121</v>
          </cell>
          <cell r="F348" t="str">
            <v>412721820619184</v>
          </cell>
        </row>
        <row r="349">
          <cell r="C349" t="str">
            <v>王红娜</v>
          </cell>
          <cell r="D349" t="str">
            <v>女</v>
          </cell>
          <cell r="E349">
            <v>30972</v>
          </cell>
          <cell r="F349" t="str">
            <v>412722841017252</v>
          </cell>
        </row>
        <row r="350">
          <cell r="C350" t="str">
            <v>王娜</v>
          </cell>
          <cell r="D350" t="str">
            <v>女</v>
          </cell>
          <cell r="E350">
            <v>31502</v>
          </cell>
          <cell r="F350" t="str">
            <v>362201198603310620</v>
          </cell>
        </row>
        <row r="351">
          <cell r="C351" t="str">
            <v>李梅</v>
          </cell>
          <cell r="D351" t="str">
            <v>女</v>
          </cell>
          <cell r="E351">
            <v>31692</v>
          </cell>
          <cell r="F351" t="str">
            <v>612321198610070728</v>
          </cell>
        </row>
        <row r="352">
          <cell r="C352" t="str">
            <v>吴冬艳</v>
          </cell>
          <cell r="D352" t="str">
            <v>女</v>
          </cell>
          <cell r="E352">
            <v>31395</v>
          </cell>
          <cell r="F352" t="str">
            <v>362201198512142828</v>
          </cell>
        </row>
        <row r="353">
          <cell r="C353" t="str">
            <v>宋彩云</v>
          </cell>
          <cell r="D353" t="str">
            <v>女</v>
          </cell>
          <cell r="E353">
            <v>30308</v>
          </cell>
          <cell r="F353" t="str">
            <v>412722198212234046</v>
          </cell>
        </row>
        <row r="354">
          <cell r="C354" t="str">
            <v>王晓娟</v>
          </cell>
          <cell r="D354" t="str">
            <v>女</v>
          </cell>
          <cell r="E354">
            <v>30207</v>
          </cell>
          <cell r="F354" t="str">
            <v>410422820913654</v>
          </cell>
        </row>
        <row r="355">
          <cell r="C355" t="str">
            <v>周艳</v>
          </cell>
          <cell r="D355" t="str">
            <v>女</v>
          </cell>
          <cell r="E355">
            <v>29806</v>
          </cell>
          <cell r="F355" t="str">
            <v>429001198108087427</v>
          </cell>
        </row>
        <row r="356">
          <cell r="C356" t="str">
            <v>王瑞丽</v>
          </cell>
          <cell r="D356" t="str">
            <v>女</v>
          </cell>
          <cell r="E356">
            <v>29351</v>
          </cell>
          <cell r="F356" t="str">
            <v>412721800510182</v>
          </cell>
        </row>
        <row r="357">
          <cell r="C357" t="str">
            <v>贾应</v>
          </cell>
          <cell r="D357" t="str">
            <v>女</v>
          </cell>
          <cell r="E357">
            <v>31618</v>
          </cell>
          <cell r="F357" t="str">
            <v>412721198607251821</v>
          </cell>
        </row>
        <row r="358">
          <cell r="C358" t="str">
            <v>陈艳杰</v>
          </cell>
          <cell r="D358" t="str">
            <v>女</v>
          </cell>
          <cell r="E358">
            <v>31717</v>
          </cell>
          <cell r="F358" t="str">
            <v>412721198611011863</v>
          </cell>
        </row>
        <row r="359">
          <cell r="C359" t="str">
            <v>刘红云</v>
          </cell>
          <cell r="D359" t="str">
            <v>女</v>
          </cell>
          <cell r="E359">
            <v>28840</v>
          </cell>
          <cell r="F359" t="str">
            <v>430523197812168022</v>
          </cell>
        </row>
        <row r="360">
          <cell r="C360" t="str">
            <v xml:space="preserve">张立勤   </v>
          </cell>
          <cell r="D360" t="str">
            <v>女</v>
          </cell>
          <cell r="E360">
            <v>31151</v>
          </cell>
          <cell r="F360" t="str">
            <v>412724198504147043</v>
          </cell>
        </row>
        <row r="361">
          <cell r="C361" t="str">
            <v>王素停</v>
          </cell>
          <cell r="D361" t="str">
            <v>女</v>
          </cell>
          <cell r="E361">
            <v>30878</v>
          </cell>
          <cell r="F361" t="str">
            <v>410198407156049</v>
          </cell>
        </row>
        <row r="362">
          <cell r="C362" t="str">
            <v>姚美平</v>
          </cell>
          <cell r="D362" t="str">
            <v>女</v>
          </cell>
          <cell r="E362">
            <v>31719</v>
          </cell>
          <cell r="F362" t="str">
            <v>450330198611030781</v>
          </cell>
        </row>
        <row r="363">
          <cell r="C363" t="str">
            <v>黄惠梅</v>
          </cell>
          <cell r="D363" t="str">
            <v>女</v>
          </cell>
          <cell r="E363">
            <v>29492</v>
          </cell>
          <cell r="F363" t="str">
            <v>441827800928642</v>
          </cell>
        </row>
        <row r="364">
          <cell r="C364" t="str">
            <v>姚时梅</v>
          </cell>
          <cell r="D364" t="str">
            <v>女</v>
          </cell>
          <cell r="E364">
            <v>31183</v>
          </cell>
          <cell r="F364" t="str">
            <v>450330198505160726</v>
          </cell>
        </row>
        <row r="365">
          <cell r="C365" t="str">
            <v>王东美</v>
          </cell>
          <cell r="D365" t="str">
            <v>女</v>
          </cell>
          <cell r="E365">
            <v>31321</v>
          </cell>
          <cell r="F365" t="str">
            <v>412722198510011043</v>
          </cell>
        </row>
        <row r="366">
          <cell r="C366" t="str">
            <v>翟秀</v>
          </cell>
          <cell r="D366" t="str">
            <v>女</v>
          </cell>
          <cell r="E366">
            <v>30716</v>
          </cell>
          <cell r="F366" t="str">
            <v>421125198402040629</v>
          </cell>
        </row>
        <row r="367">
          <cell r="C367" t="str">
            <v>赵末春</v>
          </cell>
          <cell r="D367" t="str">
            <v>女</v>
          </cell>
          <cell r="E367">
            <v>27529</v>
          </cell>
          <cell r="F367" t="str">
            <v>430626197505152420</v>
          </cell>
        </row>
        <row r="368">
          <cell r="C368" t="str">
            <v>鲍丽荣</v>
          </cell>
          <cell r="D368" t="str">
            <v>女</v>
          </cell>
          <cell r="E368">
            <v>30995</v>
          </cell>
          <cell r="F368" t="str">
            <v>362227198411090049</v>
          </cell>
        </row>
        <row r="369">
          <cell r="C369" t="str">
            <v>苏亚娟</v>
          </cell>
          <cell r="D369" t="str">
            <v>女</v>
          </cell>
          <cell r="E369">
            <v>30425</v>
          </cell>
          <cell r="F369" t="str">
            <v>410222198404195564</v>
          </cell>
        </row>
        <row r="370">
          <cell r="C370" t="str">
            <v>王锦茹</v>
          </cell>
          <cell r="D370" t="str">
            <v>女</v>
          </cell>
          <cell r="E370">
            <v>31417</v>
          </cell>
          <cell r="F370" t="str">
            <v>610528198601055722</v>
          </cell>
        </row>
        <row r="371">
          <cell r="C371" t="str">
            <v>余灿</v>
          </cell>
          <cell r="D371" t="str">
            <v>女</v>
          </cell>
          <cell r="E371">
            <v>31403</v>
          </cell>
          <cell r="F371" t="str">
            <v>421125198512221367</v>
          </cell>
        </row>
        <row r="372">
          <cell r="C372" t="str">
            <v>杨雪</v>
          </cell>
          <cell r="D372" t="str">
            <v>女</v>
          </cell>
          <cell r="E372">
            <v>31696</v>
          </cell>
          <cell r="F372" t="str">
            <v>411224198610116429</v>
          </cell>
        </row>
        <row r="373">
          <cell r="C373" t="str">
            <v>邓素侠</v>
          </cell>
          <cell r="D373" t="str">
            <v>女</v>
          </cell>
          <cell r="E373">
            <v>30638</v>
          </cell>
          <cell r="F373" t="str">
            <v>340304198311181248</v>
          </cell>
        </row>
        <row r="374">
          <cell r="C374" t="str">
            <v>刘文飞</v>
          </cell>
          <cell r="D374" t="str">
            <v>女</v>
          </cell>
          <cell r="E374">
            <v>30456</v>
          </cell>
          <cell r="F374" t="str">
            <v>430181198305207409</v>
          </cell>
        </row>
        <row r="375">
          <cell r="C375" t="str">
            <v>张桂丽</v>
          </cell>
          <cell r="D375" t="str">
            <v>女</v>
          </cell>
          <cell r="E375">
            <v>30496</v>
          </cell>
          <cell r="F375" t="str">
            <v>411322198306295349</v>
          </cell>
        </row>
        <row r="376">
          <cell r="C376" t="str">
            <v>胡润萍</v>
          </cell>
          <cell r="D376" t="str">
            <v>女</v>
          </cell>
          <cell r="E376">
            <v>30983</v>
          </cell>
          <cell r="F376" t="str">
            <v>430181198410287367</v>
          </cell>
        </row>
        <row r="377">
          <cell r="C377" t="str">
            <v>孔秀清</v>
          </cell>
          <cell r="D377" t="str">
            <v>女</v>
          </cell>
          <cell r="E377">
            <v>30774</v>
          </cell>
          <cell r="F377" t="str">
            <v>350825198404021324</v>
          </cell>
        </row>
        <row r="378">
          <cell r="C378" t="str">
            <v>陈小平</v>
          </cell>
          <cell r="D378" t="str">
            <v>女</v>
          </cell>
          <cell r="E378">
            <v>31531</v>
          </cell>
          <cell r="F378" t="str">
            <v>362201198604295426</v>
          </cell>
        </row>
        <row r="379">
          <cell r="C379" t="str">
            <v>曾琪</v>
          </cell>
          <cell r="D379" t="str">
            <v>女</v>
          </cell>
          <cell r="E379">
            <v>30593</v>
          </cell>
          <cell r="F379" t="str">
            <v>422325198310043242</v>
          </cell>
        </row>
        <row r="380">
          <cell r="C380" t="str">
            <v>杨兰</v>
          </cell>
          <cell r="D380" t="str">
            <v>女</v>
          </cell>
          <cell r="E380">
            <v>31457</v>
          </cell>
          <cell r="F380" t="str">
            <v>610528198602148648</v>
          </cell>
        </row>
        <row r="381">
          <cell r="C381" t="str">
            <v>尚亚丽</v>
          </cell>
          <cell r="D381" t="str">
            <v>女</v>
          </cell>
          <cell r="E381">
            <v>29983</v>
          </cell>
          <cell r="F381" t="str">
            <v>411121198202013522</v>
          </cell>
        </row>
        <row r="382">
          <cell r="C382" t="str">
            <v>吕细贵</v>
          </cell>
          <cell r="D382" t="str">
            <v>女</v>
          </cell>
          <cell r="E382">
            <v>30402</v>
          </cell>
          <cell r="F382" t="str">
            <v>422127830327232</v>
          </cell>
        </row>
        <row r="383">
          <cell r="C383" t="str">
            <v>裴耐青</v>
          </cell>
          <cell r="D383" t="str">
            <v>女</v>
          </cell>
          <cell r="E383">
            <v>31062</v>
          </cell>
          <cell r="F383" t="str">
            <v>41102419850115162X</v>
          </cell>
        </row>
        <row r="384">
          <cell r="C384" t="str">
            <v>王文静</v>
          </cell>
          <cell r="D384" t="str">
            <v>女</v>
          </cell>
          <cell r="E384">
            <v>30881</v>
          </cell>
          <cell r="F384" t="str">
            <v>412721198407183860</v>
          </cell>
        </row>
        <row r="385">
          <cell r="C385" t="str">
            <v>甘信萍</v>
          </cell>
          <cell r="D385" t="str">
            <v>女</v>
          </cell>
          <cell r="E385">
            <v>28392</v>
          </cell>
          <cell r="F385" t="str">
            <v>360302770924301</v>
          </cell>
        </row>
        <row r="386">
          <cell r="C386" t="str">
            <v>白俊慧</v>
          </cell>
          <cell r="D386" t="str">
            <v>女</v>
          </cell>
          <cell r="E386">
            <v>31208</v>
          </cell>
          <cell r="F386" t="str">
            <v>412721198506103862</v>
          </cell>
        </row>
        <row r="387">
          <cell r="C387" t="str">
            <v>丁耀红</v>
          </cell>
          <cell r="D387" t="str">
            <v>女</v>
          </cell>
          <cell r="E387">
            <v>28974</v>
          </cell>
          <cell r="F387" t="str">
            <v>412721197904293820</v>
          </cell>
        </row>
        <row r="388">
          <cell r="C388" t="str">
            <v>周景娜</v>
          </cell>
          <cell r="D388" t="str">
            <v>女</v>
          </cell>
          <cell r="E388">
            <v>30756</v>
          </cell>
          <cell r="F388" t="str">
            <v>411024198403151669</v>
          </cell>
        </row>
        <row r="389">
          <cell r="C389" t="str">
            <v>王莉君</v>
          </cell>
          <cell r="D389" t="str">
            <v>女</v>
          </cell>
          <cell r="E389">
            <v>31374</v>
          </cell>
          <cell r="F389" t="str">
            <v>412721198511233821</v>
          </cell>
        </row>
        <row r="390">
          <cell r="C390" t="str">
            <v>魏红</v>
          </cell>
          <cell r="D390" t="str">
            <v>女</v>
          </cell>
          <cell r="E390">
            <v>30693</v>
          </cell>
          <cell r="F390" t="str">
            <v>421125198401123326</v>
          </cell>
        </row>
        <row r="391">
          <cell r="C391" t="str">
            <v>李善英</v>
          </cell>
          <cell r="D391" t="str">
            <v>女</v>
          </cell>
          <cell r="E391">
            <v>29871</v>
          </cell>
          <cell r="F391" t="str">
            <v>432925811012094</v>
          </cell>
        </row>
        <row r="392">
          <cell r="C392" t="str">
            <v>蒙娜秀</v>
          </cell>
          <cell r="D392" t="str">
            <v>女</v>
          </cell>
          <cell r="E392">
            <v>30168</v>
          </cell>
          <cell r="F392" t="str">
            <v>452628198208052725</v>
          </cell>
        </row>
        <row r="393">
          <cell r="C393" t="str">
            <v>潘敏</v>
          </cell>
          <cell r="D393" t="str">
            <v>女</v>
          </cell>
          <cell r="E393">
            <v>30865</v>
          </cell>
          <cell r="F393" t="str">
            <v>522422198407020469</v>
          </cell>
        </row>
        <row r="394">
          <cell r="C394" t="str">
            <v>钟练菊</v>
          </cell>
          <cell r="D394" t="str">
            <v>女</v>
          </cell>
          <cell r="E394">
            <v>28074</v>
          </cell>
          <cell r="F394" t="str">
            <v>430626197611102128</v>
          </cell>
        </row>
        <row r="395">
          <cell r="C395" t="str">
            <v>李丽</v>
          </cell>
          <cell r="D395" t="str">
            <v>女</v>
          </cell>
          <cell r="E395">
            <v>30253</v>
          </cell>
          <cell r="F395" t="str">
            <v>420281821029002</v>
          </cell>
        </row>
        <row r="396">
          <cell r="C396" t="str">
            <v>容芬兰</v>
          </cell>
          <cell r="D396" t="str">
            <v>女</v>
          </cell>
          <cell r="E396">
            <v>29743</v>
          </cell>
          <cell r="F396" t="str">
            <v>432923198106063424</v>
          </cell>
        </row>
        <row r="397">
          <cell r="C397" t="str">
            <v>陈小燕</v>
          </cell>
          <cell r="D397" t="str">
            <v>女</v>
          </cell>
          <cell r="E397">
            <v>30817</v>
          </cell>
          <cell r="F397" t="str">
            <v>362228198405150048</v>
          </cell>
        </row>
        <row r="398">
          <cell r="C398" t="str">
            <v>王红丽</v>
          </cell>
          <cell r="D398" t="str">
            <v>女</v>
          </cell>
          <cell r="E398">
            <v>31650</v>
          </cell>
          <cell r="F398" t="str">
            <v>412722198608261067</v>
          </cell>
        </row>
        <row r="399">
          <cell r="C399" t="str">
            <v>袁明</v>
          </cell>
          <cell r="D399" t="str">
            <v>女</v>
          </cell>
          <cell r="E399">
            <v>31380</v>
          </cell>
          <cell r="F399" t="str">
            <v>430527198511296020</v>
          </cell>
        </row>
        <row r="400">
          <cell r="C400" t="str">
            <v>胡满珍</v>
          </cell>
          <cell r="E400">
            <v>30240</v>
          </cell>
          <cell r="F400" t="str">
            <v>430626821016364</v>
          </cell>
        </row>
        <row r="401">
          <cell r="C401" t="str">
            <v>陈超延</v>
          </cell>
          <cell r="E401">
            <v>31261</v>
          </cell>
          <cell r="F401" t="str">
            <v>440221198508021912</v>
          </cell>
        </row>
        <row r="402">
          <cell r="C402" t="str">
            <v>赵化青</v>
          </cell>
          <cell r="E402">
            <v>31734</v>
          </cell>
          <cell r="F402" t="str">
            <v>61052819861118662x</v>
          </cell>
        </row>
        <row r="403">
          <cell r="C403" t="str">
            <v>周芬芬</v>
          </cell>
          <cell r="E403">
            <v>31297</v>
          </cell>
          <cell r="F403" t="str">
            <v>420881198509073728</v>
          </cell>
        </row>
        <row r="404">
          <cell r="C404" t="str">
            <v>罗菲菲</v>
          </cell>
          <cell r="E404">
            <v>31695</v>
          </cell>
          <cell r="F404" t="str">
            <v>610528198610105744</v>
          </cell>
        </row>
        <row r="405">
          <cell r="C405" t="str">
            <v>王晓谊</v>
          </cell>
          <cell r="E405">
            <v>30701</v>
          </cell>
          <cell r="F405" t="str">
            <v>610502198401208225</v>
          </cell>
        </row>
        <row r="406">
          <cell r="C406" t="str">
            <v>范亚娟</v>
          </cell>
          <cell r="E406">
            <v>30324</v>
          </cell>
          <cell r="F406" t="str">
            <v>512324830108120</v>
          </cell>
        </row>
        <row r="407">
          <cell r="C407" t="str">
            <v>皮小霞</v>
          </cell>
          <cell r="E407">
            <v>31117</v>
          </cell>
          <cell r="F407" t="str">
            <v>420821198503116065</v>
          </cell>
        </row>
        <row r="408">
          <cell r="C408" t="str">
            <v>王媛</v>
          </cell>
          <cell r="E408">
            <v>30575</v>
          </cell>
          <cell r="F408" t="str">
            <v>610422198309161727</v>
          </cell>
        </row>
        <row r="409">
          <cell r="C409" t="str">
            <v>张生龙</v>
          </cell>
          <cell r="E409">
            <v>30123</v>
          </cell>
          <cell r="F409" t="str">
            <v>420381198206214653</v>
          </cell>
        </row>
        <row r="410">
          <cell r="C410" t="str">
            <v>温其钊</v>
          </cell>
          <cell r="E410">
            <v>31440</v>
          </cell>
          <cell r="F410" t="str">
            <v>450722198601280412</v>
          </cell>
        </row>
        <row r="411">
          <cell r="C411" t="str">
            <v>张锡伟</v>
          </cell>
          <cell r="E411">
            <v>29160</v>
          </cell>
          <cell r="F411" t="str">
            <v>230123791101127</v>
          </cell>
        </row>
        <row r="412">
          <cell r="C412" t="str">
            <v>胡洪平</v>
          </cell>
          <cell r="E412">
            <v>29212</v>
          </cell>
          <cell r="F412" t="str">
            <v>512926197912230738</v>
          </cell>
        </row>
        <row r="413">
          <cell r="C413" t="str">
            <v>刘振华</v>
          </cell>
          <cell r="E413">
            <v>27337</v>
          </cell>
          <cell r="F413" t="str">
            <v>422128197411010079</v>
          </cell>
        </row>
        <row r="414">
          <cell r="C414" t="str">
            <v>孙香华</v>
          </cell>
          <cell r="E414">
            <v>31257</v>
          </cell>
          <cell r="F414" t="str">
            <v>432522198507294065</v>
          </cell>
        </row>
        <row r="415">
          <cell r="C415" t="str">
            <v>曾凡平</v>
          </cell>
          <cell r="E415">
            <v>31187</v>
          </cell>
          <cell r="F415" t="str">
            <v>432522198505204062</v>
          </cell>
        </row>
        <row r="416">
          <cell r="C416" t="str">
            <v>刘亚芬</v>
          </cell>
          <cell r="E416">
            <v>29155</v>
          </cell>
          <cell r="F416" t="str">
            <v>612323791027284</v>
          </cell>
        </row>
        <row r="417">
          <cell r="C417" t="str">
            <v>陈莲花</v>
          </cell>
          <cell r="E417">
            <v>31524</v>
          </cell>
          <cell r="F417" t="str">
            <v>430421198604227901</v>
          </cell>
        </row>
        <row r="418">
          <cell r="C418" t="str">
            <v>谭永红</v>
          </cell>
          <cell r="E418">
            <v>31467</v>
          </cell>
          <cell r="F418" t="str">
            <v>43252219860224412X</v>
          </cell>
        </row>
        <row r="419">
          <cell r="C419" t="str">
            <v>邓佩</v>
          </cell>
          <cell r="E419">
            <v>31749</v>
          </cell>
          <cell r="F419" t="str">
            <v>432522198612034062</v>
          </cell>
        </row>
        <row r="420">
          <cell r="C420" t="str">
            <v>彭红梅</v>
          </cell>
          <cell r="E420">
            <v>29194</v>
          </cell>
          <cell r="F420" t="str">
            <v>430421791205788</v>
          </cell>
        </row>
        <row r="421">
          <cell r="C421" t="str">
            <v>陈彩葵</v>
          </cell>
          <cell r="E421">
            <v>31615</v>
          </cell>
          <cell r="F421" t="str">
            <v>432522198607224064</v>
          </cell>
        </row>
        <row r="422">
          <cell r="C422" t="str">
            <v>彭志文</v>
          </cell>
          <cell r="E422">
            <v>31404</v>
          </cell>
          <cell r="F422" t="str">
            <v>432522198512234067</v>
          </cell>
        </row>
        <row r="423">
          <cell r="C423" t="str">
            <v>曾梦丽</v>
          </cell>
          <cell r="E423">
            <v>31287</v>
          </cell>
          <cell r="F423" t="str">
            <v>432522198508284061</v>
          </cell>
        </row>
        <row r="424">
          <cell r="C424" t="str">
            <v>朱巧云</v>
          </cell>
          <cell r="E424">
            <v>30957</v>
          </cell>
          <cell r="F424" t="str">
            <v>432522198410024165</v>
          </cell>
        </row>
        <row r="425">
          <cell r="C425" t="str">
            <v>李书娜</v>
          </cell>
          <cell r="E425">
            <v>30010</v>
          </cell>
          <cell r="F425" t="str">
            <v>411303820228424</v>
          </cell>
        </row>
        <row r="426">
          <cell r="C426" t="str">
            <v>冯艳云</v>
          </cell>
          <cell r="E426">
            <v>28857</v>
          </cell>
          <cell r="F426" t="str">
            <v>422129790102132</v>
          </cell>
        </row>
        <row r="427">
          <cell r="C427" t="str">
            <v>赵全营</v>
          </cell>
          <cell r="E427">
            <v>29044</v>
          </cell>
          <cell r="F427" t="str">
            <v>422101197907086054</v>
          </cell>
        </row>
        <row r="428">
          <cell r="C428" t="str">
            <v>杜文娟</v>
          </cell>
          <cell r="E428">
            <v>30170</v>
          </cell>
          <cell r="F428" t="str">
            <v>421122198208076346</v>
          </cell>
        </row>
        <row r="429">
          <cell r="C429" t="str">
            <v>岳静静</v>
          </cell>
          <cell r="E429">
            <v>31375</v>
          </cell>
          <cell r="F429" t="str">
            <v>610124198511244522</v>
          </cell>
        </row>
        <row r="430">
          <cell r="C430" t="str">
            <v>游学群</v>
          </cell>
          <cell r="E430">
            <v>30032</v>
          </cell>
          <cell r="F430" t="str">
            <v>430621820322272</v>
          </cell>
        </row>
        <row r="431">
          <cell r="C431" t="str">
            <v>周小英</v>
          </cell>
          <cell r="E431">
            <v>30209</v>
          </cell>
          <cell r="F431" t="str">
            <v>511221820915716</v>
          </cell>
        </row>
        <row r="432">
          <cell r="C432" t="str">
            <v>彭双</v>
          </cell>
          <cell r="E432">
            <v>31734</v>
          </cell>
          <cell r="F432" t="str">
            <v>430281198611186285</v>
          </cell>
        </row>
        <row r="433">
          <cell r="C433" t="str">
            <v>王岚</v>
          </cell>
          <cell r="E433">
            <v>31362</v>
          </cell>
          <cell r="F433" t="str">
            <v>432522198511117424</v>
          </cell>
        </row>
        <row r="434">
          <cell r="C434" t="str">
            <v>张二花</v>
          </cell>
          <cell r="E434">
            <v>30707</v>
          </cell>
          <cell r="F434" t="str">
            <v>372523840126842</v>
          </cell>
        </row>
        <row r="435">
          <cell r="C435" t="str">
            <v>杨梅</v>
          </cell>
          <cell r="E435">
            <v>30857</v>
          </cell>
          <cell r="F435" t="str">
            <v>420526198406240828</v>
          </cell>
        </row>
        <row r="436">
          <cell r="C436" t="str">
            <v>杨春彦</v>
          </cell>
          <cell r="E436">
            <v>31577</v>
          </cell>
          <cell r="F436" t="str">
            <v>411324198606140923</v>
          </cell>
        </row>
        <row r="437">
          <cell r="C437" t="str">
            <v>李兵</v>
          </cell>
          <cell r="E437">
            <v>31744</v>
          </cell>
          <cell r="F437" t="str">
            <v>411303198611284225</v>
          </cell>
        </row>
        <row r="438">
          <cell r="C438" t="str">
            <v>孟小艳</v>
          </cell>
          <cell r="E438">
            <v>30968</v>
          </cell>
          <cell r="F438" t="str">
            <v>610124198410132740</v>
          </cell>
        </row>
        <row r="439">
          <cell r="C439" t="str">
            <v>马小转</v>
          </cell>
          <cell r="E439">
            <v>31275</v>
          </cell>
          <cell r="F439" t="str">
            <v>411324198508160920</v>
          </cell>
        </row>
        <row r="440">
          <cell r="C440" t="str">
            <v>任娟</v>
          </cell>
          <cell r="E440">
            <v>31010</v>
          </cell>
          <cell r="F440" t="str">
            <v>410222198411244520</v>
          </cell>
        </row>
        <row r="441">
          <cell r="C441" t="str">
            <v>李明兰</v>
          </cell>
          <cell r="E441">
            <v>29035</v>
          </cell>
          <cell r="F441" t="str">
            <v>513030790629722</v>
          </cell>
        </row>
        <row r="442">
          <cell r="C442" t="str">
            <v>厉红丽</v>
          </cell>
          <cell r="E442">
            <v>30364</v>
          </cell>
          <cell r="F442" t="str">
            <v>410222830217602</v>
          </cell>
        </row>
        <row r="443">
          <cell r="C443" t="str">
            <v>苗珊</v>
          </cell>
          <cell r="E443">
            <v>31279</v>
          </cell>
          <cell r="F443" t="str">
            <v>411324198508200929</v>
          </cell>
        </row>
        <row r="444">
          <cell r="C444" t="str">
            <v>刘敏莉</v>
          </cell>
          <cell r="E444">
            <v>31394</v>
          </cell>
          <cell r="F444" t="str">
            <v>610124198512134544</v>
          </cell>
        </row>
        <row r="445">
          <cell r="C445" t="str">
            <v>李静平</v>
          </cell>
          <cell r="E445">
            <v>31224</v>
          </cell>
          <cell r="F445" t="str">
            <v>610124198506263921</v>
          </cell>
        </row>
        <row r="446">
          <cell r="C446" t="str">
            <v>李士雯</v>
          </cell>
          <cell r="E446">
            <v>31670</v>
          </cell>
          <cell r="F446" t="str">
            <v>411303198609156769</v>
          </cell>
        </row>
        <row r="447">
          <cell r="C447" t="str">
            <v>吴颜</v>
          </cell>
          <cell r="E447">
            <v>29110</v>
          </cell>
          <cell r="F447" t="str">
            <v>412924197909124225</v>
          </cell>
        </row>
        <row r="448">
          <cell r="C448" t="str">
            <v>李萍</v>
          </cell>
          <cell r="E448">
            <v>29953</v>
          </cell>
          <cell r="F448" t="str">
            <v>360312820102001</v>
          </cell>
        </row>
        <row r="449">
          <cell r="C449" t="str">
            <v>潘成坤</v>
          </cell>
          <cell r="E449">
            <v>28555</v>
          </cell>
          <cell r="F449" t="str">
            <v>522624780306001</v>
          </cell>
        </row>
        <row r="450">
          <cell r="C450" t="str">
            <v>王仕伟</v>
          </cell>
          <cell r="E450">
            <v>31400</v>
          </cell>
          <cell r="F450" t="str">
            <v>430524198512196671</v>
          </cell>
        </row>
        <row r="451">
          <cell r="C451" t="str">
            <v>刘娟娟</v>
          </cell>
          <cell r="E451">
            <v>31691</v>
          </cell>
          <cell r="F451" t="str">
            <v>610426198610060023</v>
          </cell>
        </row>
        <row r="452">
          <cell r="C452" t="str">
            <v>杨岁利</v>
          </cell>
          <cell r="E452">
            <v>28860</v>
          </cell>
          <cell r="F452" t="str">
            <v>610324197901052848</v>
          </cell>
        </row>
        <row r="453">
          <cell r="C453" t="str">
            <v>陈快快</v>
          </cell>
          <cell r="E453">
            <v>31205</v>
          </cell>
          <cell r="F453" t="str">
            <v>610426198506070029</v>
          </cell>
        </row>
        <row r="454">
          <cell r="C454" t="str">
            <v>聂永霞</v>
          </cell>
          <cell r="E454">
            <v>31400</v>
          </cell>
          <cell r="F454" t="str">
            <v>410222198512194526</v>
          </cell>
        </row>
        <row r="455">
          <cell r="C455" t="str">
            <v>于娜</v>
          </cell>
          <cell r="E455">
            <v>30299</v>
          </cell>
          <cell r="F455" t="str">
            <v>410222821214402</v>
          </cell>
        </row>
        <row r="456">
          <cell r="C456" t="str">
            <v>李淑敏</v>
          </cell>
          <cell r="E456">
            <v>30724</v>
          </cell>
          <cell r="F456" t="str">
            <v>61043119840212154X</v>
          </cell>
        </row>
        <row r="457">
          <cell r="C457" t="str">
            <v>孙海娟</v>
          </cell>
          <cell r="E457">
            <v>29619</v>
          </cell>
          <cell r="F457" t="str">
            <v>610528810202122</v>
          </cell>
        </row>
        <row r="458">
          <cell r="C458" t="str">
            <v>成莉侠</v>
          </cell>
          <cell r="E458">
            <v>29356</v>
          </cell>
          <cell r="F458" t="str">
            <v>610324198000515527</v>
          </cell>
        </row>
        <row r="459">
          <cell r="C459" t="str">
            <v>李翠平</v>
          </cell>
          <cell r="E459">
            <v>29043</v>
          </cell>
          <cell r="F459" t="str">
            <v>412902790707454</v>
          </cell>
        </row>
        <row r="460">
          <cell r="C460" t="str">
            <v>吴晓花</v>
          </cell>
          <cell r="E460">
            <v>30550</v>
          </cell>
          <cell r="F460" t="str">
            <v>511321198308222925</v>
          </cell>
        </row>
        <row r="461">
          <cell r="C461" t="str">
            <v>郑亚芹</v>
          </cell>
          <cell r="E461">
            <v>30022</v>
          </cell>
          <cell r="F461" t="str">
            <v>410411198203125588</v>
          </cell>
        </row>
        <row r="462">
          <cell r="C462" t="str">
            <v>戚仁凤</v>
          </cell>
          <cell r="E462">
            <v>30115</v>
          </cell>
          <cell r="F462" t="str">
            <v>420982198206132323</v>
          </cell>
        </row>
        <row r="463">
          <cell r="C463" t="str">
            <v>吴小曼</v>
          </cell>
          <cell r="E463">
            <v>31695</v>
          </cell>
          <cell r="F463" t="str">
            <v>430626198610103027</v>
          </cell>
        </row>
        <row r="464">
          <cell r="C464" t="str">
            <v>杨小苗</v>
          </cell>
          <cell r="E464">
            <v>30808</v>
          </cell>
          <cell r="F464" t="str">
            <v>411381840506482</v>
          </cell>
        </row>
        <row r="465">
          <cell r="C465" t="str">
            <v>艾忠燕</v>
          </cell>
          <cell r="E465">
            <v>30812</v>
          </cell>
          <cell r="F465" t="str">
            <v>51302919840510314X</v>
          </cell>
        </row>
        <row r="466">
          <cell r="C466" t="str">
            <v>雷培焕</v>
          </cell>
          <cell r="E466">
            <v>30651</v>
          </cell>
          <cell r="F466" t="str">
            <v>411023831201502</v>
          </cell>
        </row>
        <row r="467">
          <cell r="C467" t="str">
            <v>殷二梅</v>
          </cell>
          <cell r="E467">
            <v>30873</v>
          </cell>
          <cell r="F467" t="str">
            <v>340123198407102626</v>
          </cell>
        </row>
        <row r="468">
          <cell r="C468" t="str">
            <v>王苹</v>
          </cell>
          <cell r="E468">
            <v>31682</v>
          </cell>
          <cell r="F468" t="str">
            <v>61250119860927602X</v>
          </cell>
        </row>
        <row r="469">
          <cell r="C469" t="str">
            <v>唐相英</v>
          </cell>
          <cell r="E469">
            <v>31372</v>
          </cell>
          <cell r="F469" t="str">
            <v>50023419851121924X</v>
          </cell>
        </row>
        <row r="470">
          <cell r="C470" t="str">
            <v>周海燕</v>
          </cell>
          <cell r="E470">
            <v>30240</v>
          </cell>
          <cell r="F470" t="str">
            <v>513622821016580</v>
          </cell>
        </row>
        <row r="471">
          <cell r="C471" t="str">
            <v>李祥鹏</v>
          </cell>
          <cell r="E471">
            <v>30963</v>
          </cell>
          <cell r="F471" t="str">
            <v>342923198410086020</v>
          </cell>
        </row>
        <row r="472">
          <cell r="C472" t="str">
            <v>吴丽香</v>
          </cell>
          <cell r="E472">
            <v>29345</v>
          </cell>
          <cell r="F472" t="str">
            <v>460003800504182</v>
          </cell>
        </row>
        <row r="473">
          <cell r="C473" t="str">
            <v>蔡小梅</v>
          </cell>
          <cell r="E473">
            <v>27274</v>
          </cell>
          <cell r="F473" t="str">
            <v>422130740402132</v>
          </cell>
        </row>
        <row r="474">
          <cell r="C474" t="str">
            <v>张培彪</v>
          </cell>
          <cell r="E474">
            <v>29314</v>
          </cell>
          <cell r="F474" t="str">
            <v>500233198004035810</v>
          </cell>
        </row>
        <row r="475">
          <cell r="C475" t="str">
            <v>梅太宝</v>
          </cell>
          <cell r="E475">
            <v>28671</v>
          </cell>
          <cell r="F475" t="str">
            <v>610114197806302016</v>
          </cell>
        </row>
        <row r="476">
          <cell r="C476" t="str">
            <v>黄燕琴</v>
          </cell>
          <cell r="E476">
            <v>31400</v>
          </cell>
          <cell r="F476" t="str">
            <v>362502198512195826</v>
          </cell>
        </row>
        <row r="477">
          <cell r="C477" t="str">
            <v>侯翠云</v>
          </cell>
          <cell r="E477">
            <v>30792</v>
          </cell>
          <cell r="F477" t="str">
            <v>513721198404201706</v>
          </cell>
        </row>
        <row r="478">
          <cell r="C478" t="str">
            <v>陈寿辉</v>
          </cell>
          <cell r="E478">
            <v>31090</v>
          </cell>
          <cell r="F478" t="str">
            <v>440902198502122455</v>
          </cell>
        </row>
        <row r="479">
          <cell r="C479" t="str">
            <v>江淑英</v>
          </cell>
          <cell r="E479">
            <v>30581</v>
          </cell>
          <cell r="F479" t="str">
            <v>431023198309228161</v>
          </cell>
        </row>
        <row r="480">
          <cell r="C480" t="str">
            <v>陈苗苗</v>
          </cell>
          <cell r="E480">
            <v>31609</v>
          </cell>
          <cell r="F480" t="str">
            <v>610528198607166626</v>
          </cell>
        </row>
        <row r="481">
          <cell r="C481" t="str">
            <v>彭志红</v>
          </cell>
          <cell r="E481">
            <v>30612</v>
          </cell>
          <cell r="F481" t="str">
            <v>430421198310237880</v>
          </cell>
        </row>
        <row r="482">
          <cell r="C482" t="str">
            <v>张珍</v>
          </cell>
          <cell r="E482">
            <v>30792</v>
          </cell>
          <cell r="F482" t="str">
            <v>41022419840420032X</v>
          </cell>
        </row>
        <row r="483">
          <cell r="C483" t="str">
            <v>徐欠欠</v>
          </cell>
          <cell r="E483">
            <v>31445</v>
          </cell>
          <cell r="F483" t="str">
            <v>410224198602021023</v>
          </cell>
        </row>
        <row r="484">
          <cell r="C484" t="str">
            <v>孙军华</v>
          </cell>
          <cell r="E484">
            <v>30091</v>
          </cell>
          <cell r="F484" t="str">
            <v>410222198205203082</v>
          </cell>
        </row>
        <row r="485">
          <cell r="C485" t="str">
            <v>李苗苗</v>
          </cell>
          <cell r="E485">
            <v>30826</v>
          </cell>
          <cell r="F485" t="str">
            <v>410311198405246024</v>
          </cell>
        </row>
        <row r="486">
          <cell r="C486" t="str">
            <v>张春花</v>
          </cell>
          <cell r="E486">
            <v>31515</v>
          </cell>
          <cell r="F486" t="str">
            <v>513029198604134168</v>
          </cell>
        </row>
        <row r="487">
          <cell r="C487" t="str">
            <v>董贺丽</v>
          </cell>
          <cell r="E487">
            <v>30428</v>
          </cell>
          <cell r="F487" t="str">
            <v>412821830422202</v>
          </cell>
        </row>
        <row r="488">
          <cell r="C488" t="str">
            <v>张红丽</v>
          </cell>
          <cell r="E488">
            <v>29926</v>
          </cell>
          <cell r="F488" t="str">
            <v>410222811206458</v>
          </cell>
        </row>
        <row r="489">
          <cell r="C489" t="str">
            <v>马平</v>
          </cell>
          <cell r="E489">
            <v>31454</v>
          </cell>
          <cell r="F489" t="str">
            <v>421022198602117665</v>
          </cell>
        </row>
        <row r="490">
          <cell r="C490" t="str">
            <v>江林林</v>
          </cell>
          <cell r="E490">
            <v>31043</v>
          </cell>
          <cell r="F490" t="str">
            <v>420821198412276063</v>
          </cell>
        </row>
        <row r="491">
          <cell r="C491" t="str">
            <v>谭欣欣</v>
          </cell>
          <cell r="E491">
            <v>31710</v>
          </cell>
          <cell r="F491" t="str">
            <v>432522198610254088</v>
          </cell>
        </row>
        <row r="492">
          <cell r="C492" t="str">
            <v>冯露菊</v>
          </cell>
          <cell r="E492">
            <v>31384</v>
          </cell>
          <cell r="F492" t="str">
            <v>420683198512036129</v>
          </cell>
        </row>
        <row r="493">
          <cell r="C493" t="str">
            <v>肖兰</v>
          </cell>
          <cell r="E493">
            <v>28704</v>
          </cell>
          <cell r="F493" t="str">
            <v>512924780802002</v>
          </cell>
        </row>
        <row r="494">
          <cell r="C494" t="str">
            <v>彭永红</v>
          </cell>
          <cell r="E494">
            <v>31661</v>
          </cell>
          <cell r="F494" t="str">
            <v>432522198609064105</v>
          </cell>
        </row>
        <row r="495">
          <cell r="C495" t="str">
            <v>杨霞</v>
          </cell>
          <cell r="E495">
            <v>31319</v>
          </cell>
          <cell r="F495" t="str">
            <v>429001198509293387</v>
          </cell>
        </row>
        <row r="496">
          <cell r="C496" t="str">
            <v>周书香</v>
          </cell>
          <cell r="E496">
            <v>30901</v>
          </cell>
          <cell r="F496" t="str">
            <v>429001198408077247</v>
          </cell>
        </row>
        <row r="497">
          <cell r="C497" t="str">
            <v>王英</v>
          </cell>
          <cell r="E497">
            <v>30399</v>
          </cell>
          <cell r="F497" t="str">
            <v>410222830324452</v>
          </cell>
        </row>
        <row r="498">
          <cell r="C498" t="str">
            <v>戴霞</v>
          </cell>
          <cell r="E498">
            <v>30648</v>
          </cell>
          <cell r="F498" t="str">
            <v>610124198311283949</v>
          </cell>
        </row>
        <row r="499">
          <cell r="C499" t="str">
            <v>娄方方</v>
          </cell>
          <cell r="E499">
            <v>30697</v>
          </cell>
          <cell r="F499" t="str">
            <v>410222198401164084</v>
          </cell>
        </row>
        <row r="500">
          <cell r="C500" t="str">
            <v>吴娟</v>
          </cell>
          <cell r="E500">
            <v>28978</v>
          </cell>
          <cell r="F500" t="str">
            <v>43068119790503492X</v>
          </cell>
        </row>
        <row r="501">
          <cell r="C501" t="str">
            <v>张蕾</v>
          </cell>
          <cell r="E501">
            <v>30566</v>
          </cell>
          <cell r="F501" t="str">
            <v>452324198309070947</v>
          </cell>
        </row>
        <row r="502">
          <cell r="C502" t="str">
            <v>张方方</v>
          </cell>
          <cell r="E502">
            <v>30391</v>
          </cell>
          <cell r="F502" t="str">
            <v>410222830316402</v>
          </cell>
        </row>
        <row r="503">
          <cell r="C503" t="str">
            <v>苏雄枚</v>
          </cell>
          <cell r="E503">
            <v>29358</v>
          </cell>
          <cell r="F503" t="str">
            <v>362201800517526</v>
          </cell>
        </row>
        <row r="504">
          <cell r="C504" t="str">
            <v>杨群</v>
          </cell>
          <cell r="E504">
            <v>31189</v>
          </cell>
          <cell r="F504" t="str">
            <v>61232319850522832X</v>
          </cell>
        </row>
        <row r="505">
          <cell r="C505" t="str">
            <v>李艳琼</v>
          </cell>
          <cell r="E505">
            <v>31616</v>
          </cell>
          <cell r="F505" t="str">
            <v>420527198607232644</v>
          </cell>
        </row>
        <row r="506">
          <cell r="C506" t="str">
            <v>刘溪娟</v>
          </cell>
          <cell r="E506">
            <v>30737</v>
          </cell>
          <cell r="F506" t="str">
            <v>422322198402254865</v>
          </cell>
        </row>
        <row r="507">
          <cell r="C507" t="str">
            <v>张腊梅</v>
          </cell>
          <cell r="E507">
            <v>29948</v>
          </cell>
          <cell r="F507" t="str">
            <v>612321811228262</v>
          </cell>
        </row>
        <row r="508">
          <cell r="C508" t="str">
            <v>文华丽</v>
          </cell>
          <cell r="E508">
            <v>29710</v>
          </cell>
          <cell r="F508" t="str">
            <v>421002810504242</v>
          </cell>
        </row>
        <row r="509">
          <cell r="C509" t="str">
            <v>薛笋</v>
          </cell>
          <cell r="E509">
            <v>30155</v>
          </cell>
          <cell r="F509" t="str">
            <v>411381820723046</v>
          </cell>
        </row>
        <row r="510">
          <cell r="C510" t="str">
            <v>曾琪琦</v>
          </cell>
          <cell r="E510">
            <v>31604</v>
          </cell>
          <cell r="F510" t="str">
            <v>43250319860711638X</v>
          </cell>
        </row>
        <row r="511">
          <cell r="C511" t="str">
            <v>梁丽娟</v>
          </cell>
          <cell r="E511">
            <v>30514</v>
          </cell>
          <cell r="F511" t="str">
            <v>452729198307170622</v>
          </cell>
        </row>
        <row r="512">
          <cell r="C512" t="str">
            <v>张引娟</v>
          </cell>
          <cell r="E512">
            <v>29257</v>
          </cell>
          <cell r="F512" t="str">
            <v>612133800206242</v>
          </cell>
        </row>
        <row r="513">
          <cell r="C513" t="str">
            <v>赵光玮</v>
          </cell>
          <cell r="E513">
            <v>30928</v>
          </cell>
          <cell r="F513" t="str">
            <v>341182198409031028</v>
          </cell>
        </row>
        <row r="514">
          <cell r="C514" t="str">
            <v>赵末春</v>
          </cell>
          <cell r="E514">
            <v>27529</v>
          </cell>
          <cell r="F514" t="str">
            <v>430626197505152420</v>
          </cell>
        </row>
        <row r="515">
          <cell r="C515" t="str">
            <v>鲍丽荣</v>
          </cell>
          <cell r="E515">
            <v>30995</v>
          </cell>
          <cell r="F515" t="str">
            <v>362227198411090049</v>
          </cell>
        </row>
        <row r="516">
          <cell r="C516" t="str">
            <v>苏亚娟</v>
          </cell>
          <cell r="E516">
            <v>30425</v>
          </cell>
          <cell r="F516" t="str">
            <v>410222198404195564</v>
          </cell>
        </row>
        <row r="517">
          <cell r="C517" t="str">
            <v>王锦茹</v>
          </cell>
          <cell r="E517">
            <v>31417</v>
          </cell>
          <cell r="F517" t="str">
            <v>610528198601055722</v>
          </cell>
        </row>
        <row r="518">
          <cell r="C518" t="str">
            <v>余灿</v>
          </cell>
          <cell r="E518">
            <v>31403</v>
          </cell>
          <cell r="F518" t="str">
            <v>421125198512221367</v>
          </cell>
        </row>
        <row r="519">
          <cell r="C519" t="str">
            <v>杨雪</v>
          </cell>
          <cell r="E519">
            <v>31696</v>
          </cell>
          <cell r="F519" t="str">
            <v>411224198610116429</v>
          </cell>
        </row>
        <row r="520">
          <cell r="C520" t="str">
            <v>邓素侠</v>
          </cell>
          <cell r="E520">
            <v>30638</v>
          </cell>
          <cell r="F520" t="str">
            <v>340304198311181248</v>
          </cell>
        </row>
        <row r="521">
          <cell r="C521" t="str">
            <v>刘文飞</v>
          </cell>
          <cell r="E521">
            <v>30456</v>
          </cell>
          <cell r="F521" t="str">
            <v>430181198305207409</v>
          </cell>
        </row>
        <row r="522">
          <cell r="C522" t="str">
            <v>张桂丽</v>
          </cell>
          <cell r="E522">
            <v>30496</v>
          </cell>
          <cell r="F522" t="str">
            <v>411322198306295349</v>
          </cell>
        </row>
        <row r="523">
          <cell r="C523" t="str">
            <v>胡润萍</v>
          </cell>
          <cell r="E523">
            <v>30983</v>
          </cell>
          <cell r="F523" t="str">
            <v>430181198410287367</v>
          </cell>
        </row>
        <row r="524">
          <cell r="C524" t="str">
            <v>孔秀清</v>
          </cell>
          <cell r="E524">
            <v>30774</v>
          </cell>
          <cell r="F524" t="str">
            <v>350825198404021324</v>
          </cell>
        </row>
        <row r="525">
          <cell r="C525" t="str">
            <v>陈小平</v>
          </cell>
          <cell r="E525">
            <v>31531</v>
          </cell>
          <cell r="F525" t="str">
            <v>362201198604295426</v>
          </cell>
        </row>
        <row r="526">
          <cell r="C526" t="str">
            <v>曾琪</v>
          </cell>
          <cell r="E526">
            <v>30593</v>
          </cell>
          <cell r="F526" t="str">
            <v>422325198310043242</v>
          </cell>
        </row>
        <row r="527">
          <cell r="C527" t="str">
            <v>杨兰</v>
          </cell>
          <cell r="E527">
            <v>31457</v>
          </cell>
          <cell r="F527" t="str">
            <v>610528198602148648</v>
          </cell>
        </row>
        <row r="528">
          <cell r="C528" t="str">
            <v>尚亚丽</v>
          </cell>
          <cell r="E528">
            <v>29983</v>
          </cell>
          <cell r="F528" t="str">
            <v>411121198202013522</v>
          </cell>
        </row>
        <row r="529">
          <cell r="C529" t="str">
            <v>吕细贵</v>
          </cell>
          <cell r="E529">
            <v>30402</v>
          </cell>
          <cell r="F529" t="str">
            <v>422127830327232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view="pageLayout" topLeftCell="A4" zoomScale="85" zoomScaleNormal="80" zoomScaleSheetLayoutView="130" zoomScalePageLayoutView="85" workbookViewId="0">
      <selection activeCell="D8" sqref="D8:I8"/>
    </sheetView>
  </sheetViews>
  <sheetFormatPr defaultColWidth="9" defaultRowHeight="14" x14ac:dyDescent="0.3"/>
  <cols>
    <col min="1" max="1" width="0.453125" style="21" customWidth="1"/>
    <col min="2" max="2" width="6.08984375" style="22" customWidth="1"/>
    <col min="3" max="3" width="7.08984375" style="21" customWidth="1"/>
    <col min="4" max="5" width="17.90625" style="21" customWidth="1"/>
    <col min="6" max="7" width="10.6328125" style="21" customWidth="1"/>
    <col min="8" max="8" width="16.08984375" style="21" customWidth="1"/>
    <col min="9" max="9" width="8.36328125" style="21" customWidth="1"/>
    <col min="10" max="10" width="14.90625" style="21" customWidth="1"/>
    <col min="11" max="11" width="11.90625" style="21" customWidth="1"/>
    <col min="12" max="16384" width="9" style="21"/>
  </cols>
  <sheetData>
    <row r="1" spans="2:11" ht="40" customHeight="1" x14ac:dyDescent="0.3">
      <c r="B1" s="195" t="s">
        <v>0</v>
      </c>
      <c r="C1" s="196"/>
      <c r="D1" s="196"/>
      <c r="E1" s="196"/>
      <c r="F1" s="196"/>
      <c r="G1" s="196"/>
      <c r="H1" s="196"/>
      <c r="I1" s="196"/>
      <c r="J1" s="196"/>
      <c r="K1" s="197"/>
    </row>
    <row r="2" spans="2:11" ht="40" customHeight="1" x14ac:dyDescent="0.3">
      <c r="B2" s="198" t="s">
        <v>1</v>
      </c>
      <c r="C2" s="198"/>
      <c r="D2" s="199" t="s">
        <v>287</v>
      </c>
      <c r="E2" s="200"/>
      <c r="F2" s="200"/>
      <c r="G2" s="23" t="s">
        <v>2</v>
      </c>
      <c r="H2" s="201" t="s">
        <v>3</v>
      </c>
      <c r="I2" s="201"/>
      <c r="J2" s="202"/>
      <c r="K2" s="202"/>
    </row>
    <row r="3" spans="2:11" ht="40" customHeight="1" x14ac:dyDescent="0.3">
      <c r="B3" s="24"/>
      <c r="C3" s="25"/>
      <c r="D3" s="203" t="s">
        <v>4</v>
      </c>
      <c r="E3" s="203"/>
      <c r="F3" s="203"/>
      <c r="G3" s="203"/>
      <c r="H3" s="203"/>
      <c r="I3" s="203"/>
      <c r="J3" s="203"/>
      <c r="K3" s="37"/>
    </row>
    <row r="4" spans="2:11" ht="40" customHeight="1" x14ac:dyDescent="0.3">
      <c r="B4" s="128" t="s">
        <v>5</v>
      </c>
      <c r="C4" s="26" t="s">
        <v>6</v>
      </c>
      <c r="D4" s="204" t="s">
        <v>7</v>
      </c>
      <c r="E4" s="205"/>
      <c r="F4" s="205"/>
      <c r="G4" s="205"/>
      <c r="H4" s="205"/>
      <c r="I4" s="206"/>
      <c r="J4" s="38" t="s">
        <v>8</v>
      </c>
      <c r="K4" s="38" t="s">
        <v>9</v>
      </c>
    </row>
    <row r="5" spans="2:11" ht="40" customHeight="1" x14ac:dyDescent="0.3">
      <c r="B5" s="126">
        <v>1</v>
      </c>
      <c r="C5" s="127" t="s">
        <v>360</v>
      </c>
      <c r="D5" s="207" t="s">
        <v>361</v>
      </c>
      <c r="E5" s="208"/>
      <c r="F5" s="208"/>
      <c r="G5" s="208"/>
      <c r="H5" s="208"/>
      <c r="I5" s="209"/>
      <c r="J5" s="47" t="s">
        <v>326</v>
      </c>
      <c r="K5" s="40" t="s">
        <v>362</v>
      </c>
    </row>
    <row r="6" spans="2:11" ht="116" customHeight="1" x14ac:dyDescent="0.3">
      <c r="B6" s="192">
        <v>2</v>
      </c>
      <c r="C6" s="193" t="s">
        <v>355</v>
      </c>
      <c r="D6" s="207" t="s">
        <v>376</v>
      </c>
      <c r="E6" s="208"/>
      <c r="F6" s="208"/>
      <c r="G6" s="208"/>
      <c r="H6" s="208"/>
      <c r="I6" s="209"/>
      <c r="J6" s="47" t="s">
        <v>326</v>
      </c>
      <c r="K6" s="40" t="s">
        <v>356</v>
      </c>
    </row>
    <row r="7" spans="2:11" ht="40" customHeight="1" x14ac:dyDescent="0.3">
      <c r="B7" s="192">
        <v>3</v>
      </c>
      <c r="C7" s="28" t="s">
        <v>358</v>
      </c>
      <c r="D7" s="210" t="s">
        <v>359</v>
      </c>
      <c r="E7" s="211"/>
      <c r="F7" s="211"/>
      <c r="G7" s="211"/>
      <c r="H7" s="211"/>
      <c r="I7" s="212"/>
      <c r="J7" s="47" t="s">
        <v>326</v>
      </c>
      <c r="K7" s="40" t="s">
        <v>363</v>
      </c>
    </row>
    <row r="8" spans="2:11" ht="40" customHeight="1" x14ac:dyDescent="0.3">
      <c r="B8" s="27">
        <v>4</v>
      </c>
      <c r="C8" s="28" t="s">
        <v>365</v>
      </c>
      <c r="D8" s="207" t="s">
        <v>375</v>
      </c>
      <c r="E8" s="355"/>
      <c r="F8" s="355"/>
      <c r="G8" s="355"/>
      <c r="H8" s="355"/>
      <c r="I8" s="356"/>
      <c r="J8" s="47" t="s">
        <v>325</v>
      </c>
      <c r="K8" s="40" t="s">
        <v>366</v>
      </c>
    </row>
    <row r="9" spans="2:11" ht="40" customHeight="1" x14ac:dyDescent="0.3">
      <c r="B9" s="27"/>
      <c r="C9" s="29"/>
      <c r="D9" s="219"/>
      <c r="E9" s="220"/>
      <c r="F9" s="220"/>
      <c r="G9" s="220"/>
      <c r="H9" s="220"/>
      <c r="I9" s="221"/>
      <c r="J9" s="28"/>
      <c r="K9" s="39"/>
    </row>
    <row r="10" spans="2:11" ht="40" customHeight="1" x14ac:dyDescent="0.3">
      <c r="B10" s="30"/>
      <c r="C10" s="31"/>
      <c r="D10" s="222"/>
      <c r="E10" s="223"/>
      <c r="F10" s="223"/>
      <c r="G10" s="223"/>
      <c r="H10" s="223"/>
      <c r="I10" s="224"/>
      <c r="J10" s="32"/>
      <c r="K10" s="40"/>
    </row>
    <row r="11" spans="2:11" ht="40" customHeight="1" x14ac:dyDescent="0.3">
      <c r="B11" s="30"/>
      <c r="C11" s="31"/>
      <c r="D11" s="222"/>
      <c r="E11" s="223"/>
      <c r="F11" s="223"/>
      <c r="G11" s="223"/>
      <c r="H11" s="223"/>
      <c r="I11" s="224"/>
      <c r="J11" s="32"/>
      <c r="K11" s="40"/>
    </row>
    <row r="12" spans="2:11" ht="40" customHeight="1" x14ac:dyDescent="0.3">
      <c r="B12" s="30"/>
      <c r="C12" s="32"/>
      <c r="D12" s="222"/>
      <c r="E12" s="223"/>
      <c r="F12" s="223"/>
      <c r="G12" s="223"/>
      <c r="H12" s="223"/>
      <c r="I12" s="224"/>
      <c r="J12" s="32"/>
      <c r="K12" s="40"/>
    </row>
    <row r="13" spans="2:11" ht="40" customHeight="1" x14ac:dyDescent="0.3">
      <c r="B13" s="30"/>
      <c r="C13" s="32"/>
      <c r="D13" s="207"/>
      <c r="E13" s="208"/>
      <c r="F13" s="208"/>
      <c r="G13" s="208"/>
      <c r="H13" s="208"/>
      <c r="I13" s="209"/>
      <c r="J13" s="32"/>
      <c r="K13" s="40"/>
    </row>
    <row r="14" spans="2:11" ht="40" customHeight="1" x14ac:dyDescent="0.3">
      <c r="B14" s="30"/>
      <c r="C14" s="32"/>
      <c r="D14" s="213"/>
      <c r="E14" s="214"/>
      <c r="F14" s="214"/>
      <c r="G14" s="214"/>
      <c r="H14" s="214"/>
      <c r="I14" s="215"/>
      <c r="J14" s="34"/>
      <c r="K14" s="41"/>
    </row>
    <row r="15" spans="2:11" ht="40" customHeight="1" x14ac:dyDescent="0.3">
      <c r="B15" s="33"/>
      <c r="C15" s="34"/>
      <c r="D15" s="216"/>
      <c r="E15" s="217"/>
      <c r="F15" s="217"/>
      <c r="G15" s="217"/>
      <c r="H15" s="217"/>
      <c r="I15" s="218"/>
      <c r="J15" s="34"/>
      <c r="K15" s="41"/>
    </row>
    <row r="16" spans="2:11" ht="32.25" customHeight="1" x14ac:dyDescent="0.3">
      <c r="B16" s="35"/>
      <c r="C16" s="36"/>
      <c r="D16" s="225" t="s">
        <v>11</v>
      </c>
      <c r="E16" s="225"/>
      <c r="F16" s="225"/>
      <c r="G16" s="225"/>
      <c r="H16" s="225"/>
      <c r="I16" s="225"/>
      <c r="J16" s="36"/>
      <c r="K16" s="42"/>
    </row>
    <row r="17" spans="2:11" ht="38.5" customHeight="1" x14ac:dyDescent="0.3">
      <c r="B17" s="226" t="s">
        <v>12</v>
      </c>
      <c r="C17" s="227"/>
      <c r="D17" s="228" t="s">
        <v>13</v>
      </c>
      <c r="E17" s="228"/>
      <c r="F17" s="229" t="s">
        <v>14</v>
      </c>
      <c r="G17" s="230"/>
      <c r="H17" s="230"/>
      <c r="I17" s="231"/>
      <c r="J17" s="125" t="s">
        <v>15</v>
      </c>
      <c r="K17" s="125" t="s">
        <v>312</v>
      </c>
    </row>
    <row r="18" spans="2:11" ht="37" customHeight="1" x14ac:dyDescent="0.3">
      <c r="B18" s="232">
        <v>1</v>
      </c>
      <c r="C18" s="233"/>
      <c r="D18" s="234" t="s">
        <v>310</v>
      </c>
      <c r="E18" s="235"/>
      <c r="F18" s="222" t="s">
        <v>215</v>
      </c>
      <c r="G18" s="223"/>
      <c r="H18" s="223"/>
      <c r="I18" s="224"/>
      <c r="J18" s="129" t="s">
        <v>212</v>
      </c>
      <c r="K18" s="129">
        <v>1</v>
      </c>
    </row>
    <row r="19" spans="2:11" ht="29.25" customHeight="1" x14ac:dyDescent="0.3">
      <c r="B19" s="232">
        <v>2</v>
      </c>
      <c r="C19" s="233"/>
      <c r="D19" s="234" t="s">
        <v>311</v>
      </c>
      <c r="E19" s="235"/>
      <c r="F19" s="222" t="s">
        <v>216</v>
      </c>
      <c r="G19" s="223"/>
      <c r="H19" s="223"/>
      <c r="I19" s="224"/>
      <c r="J19" s="129" t="s">
        <v>212</v>
      </c>
      <c r="K19" s="129">
        <v>1</v>
      </c>
    </row>
    <row r="20" spans="2:11" ht="29.25" customHeight="1" x14ac:dyDescent="0.3">
      <c r="B20" s="239"/>
      <c r="C20" s="239"/>
      <c r="D20" s="240"/>
      <c r="E20" s="240"/>
      <c r="F20" s="240"/>
      <c r="G20" s="240"/>
      <c r="H20" s="240"/>
      <c r="I20" s="240"/>
      <c r="J20" s="241"/>
      <c r="K20" s="241"/>
    </row>
    <row r="21" spans="2:11" ht="29.25" customHeight="1" x14ac:dyDescent="0.3">
      <c r="B21" s="236"/>
      <c r="C21" s="236"/>
      <c r="D21" s="237"/>
      <c r="E21" s="237"/>
      <c r="F21" s="237"/>
      <c r="G21" s="237"/>
      <c r="H21" s="237"/>
      <c r="I21" s="237"/>
      <c r="J21" s="238"/>
      <c r="K21" s="238"/>
    </row>
  </sheetData>
  <mergeCells count="35">
    <mergeCell ref="B21:C21"/>
    <mergeCell ref="D21:E21"/>
    <mergeCell ref="F21:I21"/>
    <mergeCell ref="J21:K21"/>
    <mergeCell ref="B19:C19"/>
    <mergeCell ref="D19:E19"/>
    <mergeCell ref="F19:I19"/>
    <mergeCell ref="B20:C20"/>
    <mergeCell ref="D20:E20"/>
    <mergeCell ref="F20:I20"/>
    <mergeCell ref="J20:K20"/>
    <mergeCell ref="F18:I18"/>
    <mergeCell ref="D16:I16"/>
    <mergeCell ref="B17:C17"/>
    <mergeCell ref="D17:E17"/>
    <mergeCell ref="F17:I17"/>
    <mergeCell ref="B18:C18"/>
    <mergeCell ref="D18:E18"/>
    <mergeCell ref="D14:I14"/>
    <mergeCell ref="D15:I15"/>
    <mergeCell ref="D9:I9"/>
    <mergeCell ref="D10:I10"/>
    <mergeCell ref="D11:I11"/>
    <mergeCell ref="D12:I12"/>
    <mergeCell ref="D13:I13"/>
    <mergeCell ref="D4:I4"/>
    <mergeCell ref="D5:I5"/>
    <mergeCell ref="D6:I6"/>
    <mergeCell ref="D7:I7"/>
    <mergeCell ref="D8:I8"/>
    <mergeCell ref="B1:K1"/>
    <mergeCell ref="B2:C2"/>
    <mergeCell ref="D2:F2"/>
    <mergeCell ref="H2:K2"/>
    <mergeCell ref="D3:J3"/>
  </mergeCells>
  <phoneticPr fontId="28" type="noConversion"/>
  <printOptions horizontalCentered="1" verticalCentered="1"/>
  <pageMargins left="0.19685039370078741" right="0.19685039370078741" top="0.35433070866141736" bottom="0.39370078740157483" header="0.19685039370078741" footer="0.19685039370078741"/>
  <pageSetup paperSize="9" scale="84" fitToHeight="0" orientation="portrait" r:id="rId1"/>
  <headerFooter alignWithMargins="0">
    <oddHeader>&amp;LPM240707-013&amp;C负极合浆工序控制计划&amp;R版本号：B2</oddHeader>
    <oddFooter>&amp;C第 &amp;P 页，共 &amp;N 页</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A35"/>
  <sheetViews>
    <sheetView showGridLines="0" tabSelected="1" topLeftCell="C22" zoomScale="70" zoomScaleNormal="70" zoomScaleSheetLayoutView="85" workbookViewId="0">
      <selection activeCell="M26" sqref="M26"/>
    </sheetView>
  </sheetViews>
  <sheetFormatPr defaultColWidth="9" defaultRowHeight="14" x14ac:dyDescent="0.25"/>
  <cols>
    <col min="1" max="1" width="1.08984375" style="4" customWidth="1"/>
    <col min="2" max="2" width="9.453125" style="4" customWidth="1"/>
    <col min="3" max="3" width="8.453125" style="4" customWidth="1"/>
    <col min="4" max="4" width="18.453125" style="4" customWidth="1"/>
    <col min="5" max="5" width="5.453125" style="4" customWidth="1"/>
    <col min="6" max="6" width="8.453125" style="4" customWidth="1"/>
    <col min="7" max="7" width="8.6328125" style="4" customWidth="1"/>
    <col min="8" max="8" width="9.36328125" style="4" customWidth="1"/>
    <col min="9" max="9" width="24" style="4" customWidth="1"/>
    <col min="10" max="10" width="15.08984375" style="4" customWidth="1"/>
    <col min="11" max="11" width="16.08984375" style="4" customWidth="1"/>
    <col min="12" max="12" width="10.90625" style="4" customWidth="1"/>
    <col min="13" max="13" width="14" style="4" customWidth="1"/>
    <col min="14" max="14" width="10.90625" style="4" customWidth="1"/>
    <col min="15" max="15" width="33.08984375" style="4" customWidth="1"/>
    <col min="16" max="16" width="14.08984375" style="5" customWidth="1"/>
    <col min="17" max="17" width="23.08984375" style="5" customWidth="1"/>
    <col min="18" max="16384" width="9" style="4"/>
  </cols>
  <sheetData>
    <row r="1" spans="2:27" s="1" customFormat="1" ht="10.5" customHeight="1" x14ac:dyDescent="0.25">
      <c r="B1" s="267"/>
      <c r="C1" s="267"/>
      <c r="D1" s="267"/>
      <c r="E1" s="6"/>
      <c r="F1" s="4"/>
      <c r="G1" s="4"/>
      <c r="H1" s="4"/>
      <c r="I1" s="11"/>
      <c r="K1" s="4"/>
      <c r="L1" s="4"/>
      <c r="M1" s="4"/>
      <c r="N1" s="4"/>
      <c r="O1" s="267"/>
      <c r="P1" s="267"/>
      <c r="Q1" s="267"/>
    </row>
    <row r="2" spans="2:27" s="2" customFormat="1" ht="31.5" customHeight="1" x14ac:dyDescent="0.25">
      <c r="B2" s="268" t="s">
        <v>211</v>
      </c>
      <c r="C2" s="268"/>
      <c r="D2" s="268"/>
      <c r="E2" s="268"/>
      <c r="F2" s="268"/>
      <c r="G2" s="268"/>
      <c r="H2" s="268"/>
      <c r="I2" s="268"/>
      <c r="J2" s="268"/>
      <c r="K2" s="260" t="s">
        <v>17</v>
      </c>
      <c r="L2" s="260"/>
      <c r="M2" s="242" t="s">
        <v>327</v>
      </c>
      <c r="N2" s="243"/>
      <c r="O2" s="244"/>
      <c r="P2" s="153" t="s">
        <v>18</v>
      </c>
      <c r="Q2" s="156" t="s">
        <v>346</v>
      </c>
    </row>
    <row r="3" spans="2:27" s="2" customFormat="1" ht="31.5" customHeight="1" x14ac:dyDescent="0.4">
      <c r="B3" s="268"/>
      <c r="C3" s="268"/>
      <c r="D3" s="268"/>
      <c r="E3" s="268"/>
      <c r="F3" s="268"/>
      <c r="G3" s="268"/>
      <c r="H3" s="268"/>
      <c r="I3" s="268"/>
      <c r="J3" s="268"/>
      <c r="K3" s="260" t="s">
        <v>19</v>
      </c>
      <c r="L3" s="260"/>
      <c r="M3" s="245" t="s">
        <v>20</v>
      </c>
      <c r="N3" s="246"/>
      <c r="O3" s="247"/>
      <c r="P3" s="153" t="s">
        <v>21</v>
      </c>
      <c r="Q3" s="157" t="s">
        <v>367</v>
      </c>
      <c r="T3" s="15"/>
      <c r="U3" s="15"/>
      <c r="V3" s="15"/>
      <c r="W3" s="15"/>
      <c r="X3" s="15"/>
      <c r="Y3" s="15"/>
      <c r="Z3" s="15"/>
      <c r="AA3" s="15"/>
    </row>
    <row r="4" spans="2:27" s="2" customFormat="1" ht="32.25" customHeight="1" x14ac:dyDescent="0.4">
      <c r="B4" s="261" t="s">
        <v>170</v>
      </c>
      <c r="C4" s="261"/>
      <c r="D4" s="261"/>
      <c r="E4" s="261" t="s">
        <v>357</v>
      </c>
      <c r="F4" s="261"/>
      <c r="G4" s="261"/>
      <c r="H4" s="261"/>
      <c r="I4" s="261"/>
      <c r="J4" s="261"/>
      <c r="K4" s="260" t="s">
        <v>172</v>
      </c>
      <c r="L4" s="261"/>
      <c r="M4" s="248" t="s">
        <v>217</v>
      </c>
      <c r="N4" s="249"/>
      <c r="O4" s="249"/>
      <c r="P4" s="249"/>
      <c r="Q4" s="250"/>
      <c r="T4" s="16"/>
      <c r="U4" s="15"/>
      <c r="V4" s="15"/>
      <c r="W4" s="15"/>
      <c r="X4" s="15"/>
      <c r="Y4" s="15"/>
      <c r="Z4" s="15"/>
      <c r="AA4" s="15"/>
    </row>
    <row r="5" spans="2:27" s="2" customFormat="1" ht="39.65" customHeight="1" x14ac:dyDescent="0.25">
      <c r="B5" s="155" t="s">
        <v>322</v>
      </c>
      <c r="C5" s="261" t="s">
        <v>331</v>
      </c>
      <c r="D5" s="261"/>
      <c r="E5" s="261" t="s">
        <v>323</v>
      </c>
      <c r="F5" s="263"/>
      <c r="G5" s="263" t="s">
        <v>329</v>
      </c>
      <c r="H5" s="263"/>
      <c r="I5" s="155" t="s">
        <v>324</v>
      </c>
      <c r="J5" s="158" t="s">
        <v>330</v>
      </c>
      <c r="K5" s="159" t="s">
        <v>177</v>
      </c>
      <c r="L5" s="264" t="s">
        <v>167</v>
      </c>
      <c r="M5" s="264"/>
      <c r="N5" s="264"/>
      <c r="O5" s="263"/>
      <c r="P5" s="155" t="s">
        <v>178</v>
      </c>
      <c r="Q5" s="154" t="s">
        <v>167</v>
      </c>
      <c r="T5" s="17"/>
      <c r="U5" s="17"/>
      <c r="V5" s="17"/>
      <c r="W5" s="17"/>
      <c r="X5" s="17"/>
      <c r="Y5" s="17"/>
      <c r="Z5" s="17"/>
      <c r="AA5" s="17"/>
    </row>
    <row r="6" spans="2:27" s="3" customFormat="1" ht="27" customHeight="1" x14ac:dyDescent="0.25">
      <c r="B6" s="261" t="s">
        <v>23</v>
      </c>
      <c r="C6" s="261" t="s">
        <v>24</v>
      </c>
      <c r="D6" s="261" t="s">
        <v>25</v>
      </c>
      <c r="E6" s="271" t="s">
        <v>26</v>
      </c>
      <c r="F6" s="271"/>
      <c r="G6" s="271"/>
      <c r="H6" s="271"/>
      <c r="I6" s="271" t="s">
        <v>27</v>
      </c>
      <c r="J6" s="272"/>
      <c r="K6" s="272"/>
      <c r="L6" s="272"/>
      <c r="M6" s="272"/>
      <c r="N6" s="272"/>
      <c r="O6" s="272"/>
      <c r="P6" s="271" t="s">
        <v>28</v>
      </c>
      <c r="Q6" s="271"/>
      <c r="T6" s="17"/>
      <c r="U6" s="17"/>
      <c r="V6" s="17"/>
      <c r="W6" s="17"/>
      <c r="X6" s="17"/>
      <c r="Y6" s="17"/>
      <c r="Z6" s="17"/>
      <c r="AA6" s="17"/>
    </row>
    <row r="7" spans="2:27" s="3" customFormat="1" ht="27" customHeight="1" x14ac:dyDescent="0.25">
      <c r="B7" s="261"/>
      <c r="C7" s="261"/>
      <c r="D7" s="261"/>
      <c r="E7" s="273" t="s">
        <v>29</v>
      </c>
      <c r="F7" s="280" t="s">
        <v>30</v>
      </c>
      <c r="G7" s="280" t="s">
        <v>31</v>
      </c>
      <c r="H7" s="280" t="s">
        <v>32</v>
      </c>
      <c r="I7" s="280" t="s">
        <v>33</v>
      </c>
      <c r="J7" s="280" t="s">
        <v>34</v>
      </c>
      <c r="K7" s="276" t="s">
        <v>250</v>
      </c>
      <c r="L7" s="277"/>
      <c r="M7" s="276" t="s">
        <v>251</v>
      </c>
      <c r="N7" s="277"/>
      <c r="O7" s="160"/>
      <c r="P7" s="271"/>
      <c r="Q7" s="271"/>
      <c r="T7" s="17"/>
      <c r="U7" s="17"/>
      <c r="V7" s="17"/>
      <c r="W7" s="17"/>
      <c r="X7" s="17"/>
      <c r="Y7" s="17"/>
      <c r="Z7" s="17"/>
      <c r="AA7" s="17"/>
    </row>
    <row r="8" spans="2:27" s="3" customFormat="1" ht="30" customHeight="1" x14ac:dyDescent="0.25">
      <c r="B8" s="261"/>
      <c r="C8" s="261"/>
      <c r="D8" s="261"/>
      <c r="E8" s="274"/>
      <c r="F8" s="281"/>
      <c r="G8" s="281"/>
      <c r="H8" s="281"/>
      <c r="I8" s="281"/>
      <c r="J8" s="281"/>
      <c r="K8" s="271" t="s">
        <v>35</v>
      </c>
      <c r="L8" s="272"/>
      <c r="M8" s="278" t="s">
        <v>252</v>
      </c>
      <c r="N8" s="279"/>
      <c r="O8" s="271" t="s">
        <v>36</v>
      </c>
      <c r="P8" s="271"/>
      <c r="Q8" s="271"/>
      <c r="T8" s="17"/>
      <c r="U8" s="17"/>
      <c r="V8" s="17"/>
      <c r="W8" s="17"/>
      <c r="X8" s="17"/>
      <c r="Y8" s="17"/>
      <c r="Z8" s="17"/>
      <c r="AA8" s="17"/>
    </row>
    <row r="9" spans="2:27" s="3" customFormat="1" ht="34.75" customHeight="1" x14ac:dyDescent="0.25">
      <c r="B9" s="261"/>
      <c r="C9" s="261"/>
      <c r="D9" s="261"/>
      <c r="E9" s="275"/>
      <c r="F9" s="282"/>
      <c r="G9" s="282"/>
      <c r="H9" s="282"/>
      <c r="I9" s="282"/>
      <c r="J9" s="282"/>
      <c r="K9" s="155" t="s">
        <v>37</v>
      </c>
      <c r="L9" s="155" t="s">
        <v>38</v>
      </c>
      <c r="M9" s="155" t="s">
        <v>253</v>
      </c>
      <c r="N9" s="155" t="s">
        <v>254</v>
      </c>
      <c r="O9" s="271"/>
      <c r="P9" s="271"/>
      <c r="Q9" s="271"/>
      <c r="T9" s="17"/>
      <c r="U9" s="17"/>
      <c r="V9" s="17"/>
      <c r="W9" s="17"/>
      <c r="X9" s="17"/>
      <c r="Y9" s="17"/>
      <c r="Z9" s="17"/>
      <c r="AA9" s="17"/>
    </row>
    <row r="10" spans="2:27" s="49" customFormat="1" ht="35.25" customHeight="1" x14ac:dyDescent="0.25">
      <c r="B10" s="161" t="s">
        <v>168</v>
      </c>
      <c r="C10" s="162" t="s">
        <v>39</v>
      </c>
      <c r="D10" s="162" t="s">
        <v>22</v>
      </c>
      <c r="E10" s="162" t="s">
        <v>22</v>
      </c>
      <c r="F10" s="162" t="s">
        <v>102</v>
      </c>
      <c r="G10" s="162" t="s">
        <v>22</v>
      </c>
      <c r="H10" s="162" t="s">
        <v>22</v>
      </c>
      <c r="I10" s="162" t="s">
        <v>213</v>
      </c>
      <c r="J10" s="162" t="s">
        <v>103</v>
      </c>
      <c r="K10" s="162" t="s">
        <v>104</v>
      </c>
      <c r="L10" s="162" t="s">
        <v>51</v>
      </c>
      <c r="M10" s="162" t="s">
        <v>104</v>
      </c>
      <c r="N10" s="162" t="s">
        <v>51</v>
      </c>
      <c r="O10" s="163" t="s">
        <v>347</v>
      </c>
      <c r="P10" s="269" t="s">
        <v>209</v>
      </c>
      <c r="Q10" s="269"/>
      <c r="T10" s="50"/>
      <c r="U10" s="50"/>
      <c r="V10" s="50"/>
      <c r="W10" s="50"/>
      <c r="X10" s="50"/>
      <c r="Y10" s="50"/>
      <c r="Z10" s="50"/>
      <c r="AA10" s="50"/>
    </row>
    <row r="11" spans="2:27" s="137" customFormat="1" ht="40.5" customHeight="1" x14ac:dyDescent="0.25">
      <c r="B11" s="161" t="s">
        <v>164</v>
      </c>
      <c r="C11" s="162" t="s">
        <v>114</v>
      </c>
      <c r="D11" s="162" t="s">
        <v>22</v>
      </c>
      <c r="E11" s="164" t="s">
        <v>22</v>
      </c>
      <c r="F11" s="162" t="s">
        <v>43</v>
      </c>
      <c r="G11" s="162" t="s">
        <v>22</v>
      </c>
      <c r="H11" s="165" t="s">
        <v>22</v>
      </c>
      <c r="I11" s="165" t="s">
        <v>44</v>
      </c>
      <c r="J11" s="165" t="s">
        <v>115</v>
      </c>
      <c r="K11" s="166" t="s">
        <v>291</v>
      </c>
      <c r="L11" s="162" t="s">
        <v>45</v>
      </c>
      <c r="M11" s="166" t="s">
        <v>291</v>
      </c>
      <c r="N11" s="162" t="s">
        <v>45</v>
      </c>
      <c r="O11" s="167" t="s">
        <v>348</v>
      </c>
      <c r="P11" s="269" t="s">
        <v>117</v>
      </c>
      <c r="Q11" s="269"/>
      <c r="T11" s="138"/>
      <c r="U11" s="138"/>
      <c r="V11" s="138"/>
      <c r="W11" s="138"/>
      <c r="X11" s="138"/>
      <c r="Y11" s="138"/>
      <c r="Z11" s="138"/>
      <c r="AA11" s="138"/>
    </row>
    <row r="12" spans="2:27" s="137" customFormat="1" ht="42" customHeight="1" x14ac:dyDescent="0.25">
      <c r="B12" s="161" t="s">
        <v>165</v>
      </c>
      <c r="C12" s="162" t="s">
        <v>40</v>
      </c>
      <c r="D12" s="162" t="s">
        <v>22</v>
      </c>
      <c r="E12" s="164" t="s">
        <v>22</v>
      </c>
      <c r="F12" s="162" t="s">
        <v>41</v>
      </c>
      <c r="G12" s="162" t="s">
        <v>22</v>
      </c>
      <c r="H12" s="165" t="s">
        <v>22</v>
      </c>
      <c r="I12" s="165" t="s">
        <v>42</v>
      </c>
      <c r="J12" s="165" t="s">
        <v>118</v>
      </c>
      <c r="K12" s="168"/>
      <c r="L12" s="169" t="s">
        <v>45</v>
      </c>
      <c r="M12" s="168"/>
      <c r="N12" s="169" t="s">
        <v>45</v>
      </c>
      <c r="O12" s="167" t="s">
        <v>116</v>
      </c>
      <c r="P12" s="269" t="s">
        <v>119</v>
      </c>
      <c r="Q12" s="269"/>
      <c r="T12" s="138"/>
      <c r="U12" s="138"/>
      <c r="V12" s="138"/>
      <c r="W12" s="138"/>
      <c r="X12" s="138"/>
      <c r="Y12" s="138"/>
      <c r="Z12" s="138"/>
      <c r="AA12" s="138"/>
    </row>
    <row r="13" spans="2:27" s="144" customFormat="1" ht="60.75" customHeight="1" x14ac:dyDescent="0.25">
      <c r="B13" s="290" t="s">
        <v>166</v>
      </c>
      <c r="C13" s="291" t="s">
        <v>46</v>
      </c>
      <c r="D13" s="253" t="s">
        <v>22</v>
      </c>
      <c r="E13" s="162" t="s">
        <v>22</v>
      </c>
      <c r="F13" s="162" t="s">
        <v>22</v>
      </c>
      <c r="G13" s="170" t="s">
        <v>105</v>
      </c>
      <c r="H13" s="171" t="s">
        <v>22</v>
      </c>
      <c r="I13" s="165" t="s">
        <v>101</v>
      </c>
      <c r="J13" s="170" t="s">
        <v>47</v>
      </c>
      <c r="K13" s="172" t="s">
        <v>48</v>
      </c>
      <c r="L13" s="171" t="s">
        <v>292</v>
      </c>
      <c r="M13" s="172" t="s">
        <v>22</v>
      </c>
      <c r="N13" s="171" t="s">
        <v>22</v>
      </c>
      <c r="O13" s="173" t="s">
        <v>349</v>
      </c>
      <c r="P13" s="270" t="s">
        <v>49</v>
      </c>
      <c r="Q13" s="270"/>
      <c r="T13" s="145"/>
      <c r="U13" s="145"/>
      <c r="V13" s="145"/>
      <c r="W13" s="145"/>
      <c r="X13" s="145"/>
      <c r="Y13" s="145"/>
      <c r="Z13" s="145"/>
      <c r="AA13" s="145"/>
    </row>
    <row r="14" spans="2:27" s="144" customFormat="1" ht="51.75" customHeight="1" x14ac:dyDescent="0.25">
      <c r="B14" s="290"/>
      <c r="C14" s="291"/>
      <c r="D14" s="253"/>
      <c r="E14" s="162" t="s">
        <v>22</v>
      </c>
      <c r="F14" s="162" t="s">
        <v>22</v>
      </c>
      <c r="G14" s="170" t="s">
        <v>50</v>
      </c>
      <c r="H14" s="171" t="s">
        <v>328</v>
      </c>
      <c r="I14" s="170" t="s">
        <v>341</v>
      </c>
      <c r="J14" s="170" t="s">
        <v>47</v>
      </c>
      <c r="K14" s="172" t="s">
        <v>48</v>
      </c>
      <c r="L14" s="171" t="s">
        <v>292</v>
      </c>
      <c r="M14" s="172" t="s">
        <v>22</v>
      </c>
      <c r="N14" s="171" t="s">
        <v>22</v>
      </c>
      <c r="O14" s="173" t="s">
        <v>120</v>
      </c>
      <c r="P14" s="270" t="s">
        <v>49</v>
      </c>
      <c r="Q14" s="270"/>
      <c r="T14" s="145"/>
      <c r="U14" s="145"/>
      <c r="V14" s="145"/>
      <c r="W14" s="145"/>
      <c r="X14" s="145"/>
      <c r="Y14" s="145"/>
      <c r="Z14" s="145"/>
      <c r="AA14" s="145"/>
    </row>
    <row r="15" spans="2:27" s="144" customFormat="1" ht="62.25" customHeight="1" x14ac:dyDescent="0.25">
      <c r="B15" s="290"/>
      <c r="C15" s="291"/>
      <c r="D15" s="253"/>
      <c r="E15" s="162" t="s">
        <v>22</v>
      </c>
      <c r="F15" s="162" t="s">
        <v>22</v>
      </c>
      <c r="G15" s="162" t="s">
        <v>106</v>
      </c>
      <c r="H15" s="171" t="s">
        <v>22</v>
      </c>
      <c r="I15" s="162" t="s">
        <v>354</v>
      </c>
      <c r="J15" s="174" t="s">
        <v>317</v>
      </c>
      <c r="K15" s="172" t="s">
        <v>22</v>
      </c>
      <c r="L15" s="171" t="s">
        <v>22</v>
      </c>
      <c r="M15" s="172" t="s">
        <v>48</v>
      </c>
      <c r="N15" s="171" t="s">
        <v>51</v>
      </c>
      <c r="O15" s="173" t="s">
        <v>318</v>
      </c>
      <c r="P15" s="270" t="s">
        <v>49</v>
      </c>
      <c r="Q15" s="270"/>
      <c r="R15" s="146"/>
      <c r="T15" s="145"/>
      <c r="U15" s="145"/>
      <c r="V15" s="145"/>
      <c r="W15" s="145"/>
      <c r="X15" s="145"/>
      <c r="Y15" s="145"/>
      <c r="Z15" s="145"/>
      <c r="AA15" s="145"/>
    </row>
    <row r="16" spans="2:27" s="137" customFormat="1" ht="57.65" customHeight="1" x14ac:dyDescent="0.25">
      <c r="B16" s="292" t="s">
        <v>169</v>
      </c>
      <c r="C16" s="254" t="s">
        <v>20</v>
      </c>
      <c r="D16" s="257" t="s">
        <v>179</v>
      </c>
      <c r="E16" s="172" t="s">
        <v>22</v>
      </c>
      <c r="F16" s="172" t="s">
        <v>22</v>
      </c>
      <c r="G16" s="172" t="s">
        <v>52</v>
      </c>
      <c r="H16" s="172" t="s">
        <v>22</v>
      </c>
      <c r="I16" s="172" t="s">
        <v>53</v>
      </c>
      <c r="J16" s="172" t="s">
        <v>54</v>
      </c>
      <c r="K16" s="172" t="s">
        <v>48</v>
      </c>
      <c r="L16" s="172" t="s">
        <v>55</v>
      </c>
      <c r="M16" s="172" t="s">
        <v>48</v>
      </c>
      <c r="N16" s="172" t="s">
        <v>55</v>
      </c>
      <c r="O16" s="175" t="s">
        <v>121</v>
      </c>
      <c r="P16" s="283" t="s">
        <v>122</v>
      </c>
      <c r="Q16" s="283"/>
      <c r="R16" s="139"/>
      <c r="S16" s="140"/>
      <c r="T16" s="140"/>
      <c r="U16" s="140"/>
      <c r="V16" s="138"/>
      <c r="W16" s="138"/>
      <c r="X16" s="138"/>
      <c r="Y16" s="138"/>
      <c r="Z16" s="138"/>
      <c r="AA16" s="138"/>
    </row>
    <row r="17" spans="2:27" s="137" customFormat="1" ht="59.15" customHeight="1" x14ac:dyDescent="0.25">
      <c r="B17" s="293"/>
      <c r="C17" s="255"/>
      <c r="D17" s="258"/>
      <c r="E17" s="172" t="s">
        <v>22</v>
      </c>
      <c r="F17" s="172" t="s">
        <v>22</v>
      </c>
      <c r="G17" s="162" t="s">
        <v>107</v>
      </c>
      <c r="H17" s="172" t="s">
        <v>22</v>
      </c>
      <c r="I17" s="172" t="s">
        <v>53</v>
      </c>
      <c r="J17" s="162" t="s">
        <v>319</v>
      </c>
      <c r="K17" s="176" t="s">
        <v>48</v>
      </c>
      <c r="L17" s="172" t="s">
        <v>55</v>
      </c>
      <c r="M17" s="176" t="s">
        <v>48</v>
      </c>
      <c r="N17" s="172" t="s">
        <v>55</v>
      </c>
      <c r="O17" s="163" t="s">
        <v>123</v>
      </c>
      <c r="P17" s="283" t="s">
        <v>124</v>
      </c>
      <c r="Q17" s="283"/>
      <c r="R17" s="139"/>
      <c r="S17" s="140"/>
      <c r="T17" s="140"/>
      <c r="U17" s="140"/>
      <c r="V17" s="138"/>
      <c r="W17" s="138"/>
      <c r="X17" s="138"/>
      <c r="Y17" s="138"/>
      <c r="Z17" s="138"/>
      <c r="AA17" s="138"/>
    </row>
    <row r="18" spans="2:27" s="137" customFormat="1" ht="53.15" customHeight="1" x14ac:dyDescent="0.25">
      <c r="B18" s="293"/>
      <c r="C18" s="255"/>
      <c r="D18" s="258"/>
      <c r="E18" s="172" t="s">
        <v>22</v>
      </c>
      <c r="F18" s="172" t="s">
        <v>22</v>
      </c>
      <c r="G18" s="162" t="s">
        <v>108</v>
      </c>
      <c r="H18" s="172" t="s">
        <v>22</v>
      </c>
      <c r="I18" s="172" t="s">
        <v>53</v>
      </c>
      <c r="J18" s="162" t="s">
        <v>109</v>
      </c>
      <c r="K18" s="176" t="s">
        <v>48</v>
      </c>
      <c r="L18" s="176" t="s">
        <v>55</v>
      </c>
      <c r="M18" s="176" t="s">
        <v>48</v>
      </c>
      <c r="N18" s="176" t="s">
        <v>55</v>
      </c>
      <c r="O18" s="163" t="s">
        <v>125</v>
      </c>
      <c r="P18" s="283" t="s">
        <v>126</v>
      </c>
      <c r="Q18" s="283"/>
      <c r="R18" s="139"/>
      <c r="S18" s="140"/>
      <c r="T18" s="140"/>
      <c r="U18" s="140"/>
      <c r="V18" s="138"/>
      <c r="W18" s="138"/>
      <c r="X18" s="138"/>
      <c r="Y18" s="138"/>
      <c r="Z18" s="138"/>
      <c r="AA18" s="138"/>
    </row>
    <row r="19" spans="2:27" s="137" customFormat="1" ht="51" customHeight="1" x14ac:dyDescent="0.25">
      <c r="B19" s="293"/>
      <c r="C19" s="255"/>
      <c r="D19" s="258"/>
      <c r="E19" s="172" t="s">
        <v>22</v>
      </c>
      <c r="F19" s="172" t="s">
        <v>22</v>
      </c>
      <c r="G19" s="162" t="s">
        <v>110</v>
      </c>
      <c r="H19" s="172" t="s">
        <v>22</v>
      </c>
      <c r="I19" s="172" t="s">
        <v>53</v>
      </c>
      <c r="J19" s="162" t="s">
        <v>111</v>
      </c>
      <c r="K19" s="176" t="s">
        <v>48</v>
      </c>
      <c r="L19" s="176" t="s">
        <v>55</v>
      </c>
      <c r="M19" s="176" t="s">
        <v>48</v>
      </c>
      <c r="N19" s="176" t="s">
        <v>55</v>
      </c>
      <c r="O19" s="163" t="s">
        <v>249</v>
      </c>
      <c r="P19" s="283" t="s">
        <v>127</v>
      </c>
      <c r="Q19" s="283"/>
      <c r="R19" s="139"/>
      <c r="S19" s="140"/>
      <c r="T19" s="140"/>
      <c r="U19" s="140"/>
      <c r="V19" s="138"/>
      <c r="W19" s="138"/>
      <c r="X19" s="138"/>
      <c r="Y19" s="138"/>
      <c r="Z19" s="138"/>
      <c r="AA19" s="138"/>
    </row>
    <row r="20" spans="2:27" s="137" customFormat="1" ht="52" x14ac:dyDescent="0.25">
      <c r="B20" s="293"/>
      <c r="C20" s="255"/>
      <c r="D20" s="258"/>
      <c r="E20" s="172" t="s">
        <v>22</v>
      </c>
      <c r="F20" s="172" t="s">
        <v>22</v>
      </c>
      <c r="G20" s="162" t="s">
        <v>96</v>
      </c>
      <c r="H20" s="172" t="s">
        <v>22</v>
      </c>
      <c r="I20" s="172" t="s">
        <v>53</v>
      </c>
      <c r="J20" s="162" t="s">
        <v>112</v>
      </c>
      <c r="K20" s="176" t="s">
        <v>48</v>
      </c>
      <c r="L20" s="176" t="s">
        <v>55</v>
      </c>
      <c r="M20" s="176" t="s">
        <v>48</v>
      </c>
      <c r="N20" s="176" t="s">
        <v>55</v>
      </c>
      <c r="O20" s="163" t="s">
        <v>335</v>
      </c>
      <c r="P20" s="284" t="s">
        <v>128</v>
      </c>
      <c r="Q20" s="285"/>
      <c r="R20" s="139"/>
      <c r="S20" s="140"/>
      <c r="T20" s="140"/>
      <c r="U20" s="140"/>
      <c r="V20" s="138"/>
      <c r="W20" s="138"/>
      <c r="X20" s="138"/>
      <c r="Y20" s="138"/>
      <c r="Z20" s="138"/>
      <c r="AA20" s="138"/>
    </row>
    <row r="21" spans="2:27" s="137" customFormat="1" ht="69" customHeight="1" x14ac:dyDescent="0.25">
      <c r="B21" s="294"/>
      <c r="C21" s="256"/>
      <c r="D21" s="259"/>
      <c r="E21" s="172" t="s">
        <v>22</v>
      </c>
      <c r="F21" s="172" t="s">
        <v>22</v>
      </c>
      <c r="G21" s="172" t="s">
        <v>56</v>
      </c>
      <c r="H21" s="171" t="s">
        <v>22</v>
      </c>
      <c r="I21" s="171" t="s">
        <v>129</v>
      </c>
      <c r="J21" s="172" t="s">
        <v>57</v>
      </c>
      <c r="K21" s="172" t="s">
        <v>48</v>
      </c>
      <c r="L21" s="172" t="s">
        <v>55</v>
      </c>
      <c r="M21" s="172" t="s">
        <v>48</v>
      </c>
      <c r="N21" s="172" t="s">
        <v>55</v>
      </c>
      <c r="O21" s="163" t="s">
        <v>320</v>
      </c>
      <c r="P21" s="283" t="s">
        <v>130</v>
      </c>
      <c r="Q21" s="283"/>
      <c r="R21" s="140"/>
      <c r="S21" s="140"/>
      <c r="T21" s="140"/>
      <c r="U21" s="140"/>
      <c r="V21" s="138"/>
      <c r="W21" s="138"/>
      <c r="X21" s="138"/>
      <c r="Y21" s="138"/>
      <c r="Z21" s="138"/>
      <c r="AA21" s="138"/>
    </row>
    <row r="22" spans="2:27" s="137" customFormat="1" ht="63.65" customHeight="1" x14ac:dyDescent="0.25">
      <c r="B22" s="292" t="s">
        <v>181</v>
      </c>
      <c r="C22" s="254" t="s">
        <v>163</v>
      </c>
      <c r="D22" s="254" t="s">
        <v>183</v>
      </c>
      <c r="E22" s="172" t="s">
        <v>22</v>
      </c>
      <c r="F22" s="172" t="s">
        <v>22</v>
      </c>
      <c r="G22" s="172" t="s">
        <v>58</v>
      </c>
      <c r="H22" s="172" t="s">
        <v>22</v>
      </c>
      <c r="I22" s="171" t="s">
        <v>59</v>
      </c>
      <c r="J22" s="162" t="s">
        <v>109</v>
      </c>
      <c r="K22" s="177" t="s">
        <v>48</v>
      </c>
      <c r="L22" s="176" t="s">
        <v>62</v>
      </c>
      <c r="M22" s="177" t="s">
        <v>48</v>
      </c>
      <c r="N22" s="176" t="s">
        <v>62</v>
      </c>
      <c r="O22" s="163" t="s">
        <v>321</v>
      </c>
      <c r="P22" s="283" t="s">
        <v>131</v>
      </c>
      <c r="Q22" s="283"/>
      <c r="R22" s="140"/>
      <c r="S22" s="140"/>
      <c r="T22" s="140"/>
      <c r="U22" s="140"/>
      <c r="V22" s="138"/>
      <c r="W22" s="138"/>
      <c r="X22" s="138"/>
      <c r="Y22" s="138"/>
      <c r="Z22" s="138"/>
      <c r="AA22" s="138"/>
    </row>
    <row r="23" spans="2:27" s="137" customFormat="1" ht="46.5" customHeight="1" x14ac:dyDescent="0.25">
      <c r="B23" s="293"/>
      <c r="C23" s="255"/>
      <c r="D23" s="255"/>
      <c r="E23" s="172" t="s">
        <v>22</v>
      </c>
      <c r="F23" s="172" t="s">
        <v>22</v>
      </c>
      <c r="G23" s="172" t="s">
        <v>60</v>
      </c>
      <c r="H23" s="172" t="s">
        <v>22</v>
      </c>
      <c r="I23" s="172" t="s">
        <v>61</v>
      </c>
      <c r="J23" s="172" t="s">
        <v>54</v>
      </c>
      <c r="K23" s="172" t="s">
        <v>48</v>
      </c>
      <c r="L23" s="172" t="s">
        <v>62</v>
      </c>
      <c r="M23" s="172" t="s">
        <v>48</v>
      </c>
      <c r="N23" s="172" t="s">
        <v>62</v>
      </c>
      <c r="O23" s="175" t="s">
        <v>132</v>
      </c>
      <c r="P23" s="283" t="s">
        <v>133</v>
      </c>
      <c r="Q23" s="283"/>
      <c r="R23" s="140"/>
      <c r="S23" s="140"/>
      <c r="T23" s="140"/>
      <c r="U23" s="140"/>
      <c r="V23" s="139"/>
    </row>
    <row r="24" spans="2:27" s="137" customFormat="1" ht="52" x14ac:dyDescent="0.25">
      <c r="B24" s="294"/>
      <c r="C24" s="256"/>
      <c r="D24" s="256"/>
      <c r="E24" s="172" t="s">
        <v>22</v>
      </c>
      <c r="F24" s="172" t="s">
        <v>63</v>
      </c>
      <c r="G24" s="172" t="s">
        <v>22</v>
      </c>
      <c r="H24" s="172" t="s">
        <v>22</v>
      </c>
      <c r="I24" s="194" t="s">
        <v>371</v>
      </c>
      <c r="J24" s="172" t="s">
        <v>214</v>
      </c>
      <c r="K24" s="172" t="s">
        <v>48</v>
      </c>
      <c r="L24" s="172" t="s">
        <v>62</v>
      </c>
      <c r="M24" s="172" t="s">
        <v>48</v>
      </c>
      <c r="N24" s="172" t="s">
        <v>62</v>
      </c>
      <c r="O24" s="175" t="s">
        <v>64</v>
      </c>
      <c r="P24" s="283" t="s">
        <v>134</v>
      </c>
      <c r="Q24" s="283"/>
      <c r="R24" s="140"/>
      <c r="S24" s="140"/>
      <c r="T24" s="140"/>
      <c r="U24" s="140"/>
      <c r="V24" s="139"/>
    </row>
    <row r="25" spans="2:27" s="137" customFormat="1" ht="49" customHeight="1" x14ac:dyDescent="0.25">
      <c r="B25" s="292" t="s">
        <v>180</v>
      </c>
      <c r="C25" s="254" t="s">
        <v>182</v>
      </c>
      <c r="D25" s="254" t="s">
        <v>184</v>
      </c>
      <c r="E25" s="179">
        <v>1</v>
      </c>
      <c r="F25" s="172" t="s">
        <v>65</v>
      </c>
      <c r="G25" s="172" t="s">
        <v>22</v>
      </c>
      <c r="H25" s="172" t="s">
        <v>187</v>
      </c>
      <c r="I25" s="180" t="s">
        <v>186</v>
      </c>
      <c r="J25" s="172" t="s">
        <v>66</v>
      </c>
      <c r="K25" s="172" t="s">
        <v>48</v>
      </c>
      <c r="L25" s="172" t="s">
        <v>62</v>
      </c>
      <c r="M25" s="172" t="s">
        <v>48</v>
      </c>
      <c r="N25" s="172" t="s">
        <v>62</v>
      </c>
      <c r="O25" s="175" t="s">
        <v>336</v>
      </c>
      <c r="P25" s="283" t="s">
        <v>135</v>
      </c>
      <c r="Q25" s="283"/>
      <c r="R25" s="140"/>
      <c r="S25" s="140"/>
      <c r="T25" s="140"/>
      <c r="U25" s="140"/>
      <c r="V25" s="139"/>
    </row>
    <row r="26" spans="2:27" s="137" customFormat="1" ht="69.650000000000006" customHeight="1" x14ac:dyDescent="0.25">
      <c r="B26" s="294"/>
      <c r="C26" s="256"/>
      <c r="D26" s="256"/>
      <c r="E26" s="172" t="s">
        <v>22</v>
      </c>
      <c r="F26" s="180" t="s">
        <v>67</v>
      </c>
      <c r="G26" s="180" t="s">
        <v>22</v>
      </c>
      <c r="H26" s="180" t="s">
        <v>22</v>
      </c>
      <c r="I26" s="194" t="s">
        <v>374</v>
      </c>
      <c r="J26" s="172" t="s">
        <v>68</v>
      </c>
      <c r="K26" s="172" t="s">
        <v>48</v>
      </c>
      <c r="L26" s="172" t="s">
        <v>62</v>
      </c>
      <c r="M26" s="172" t="s">
        <v>48</v>
      </c>
      <c r="N26" s="172" t="s">
        <v>62</v>
      </c>
      <c r="O26" s="175" t="s">
        <v>69</v>
      </c>
      <c r="P26" s="283" t="s">
        <v>135</v>
      </c>
      <c r="Q26" s="283"/>
      <c r="R26" s="140"/>
      <c r="S26" s="140"/>
      <c r="T26" s="140"/>
      <c r="U26" s="140"/>
      <c r="V26" s="139"/>
    </row>
    <row r="27" spans="2:27" s="137" customFormat="1" ht="49.5" customHeight="1" x14ac:dyDescent="0.25">
      <c r="B27" s="292" t="s">
        <v>185</v>
      </c>
      <c r="C27" s="254" t="s">
        <v>70</v>
      </c>
      <c r="D27" s="254" t="s">
        <v>136</v>
      </c>
      <c r="E27" s="172" t="s">
        <v>22</v>
      </c>
      <c r="F27" s="172" t="s">
        <v>22</v>
      </c>
      <c r="G27" s="172" t="s">
        <v>71</v>
      </c>
      <c r="H27" s="172" t="s">
        <v>22</v>
      </c>
      <c r="I27" s="181" t="s">
        <v>338</v>
      </c>
      <c r="J27" s="172" t="s">
        <v>72</v>
      </c>
      <c r="K27" s="182" t="s">
        <v>73</v>
      </c>
      <c r="L27" s="183" t="s">
        <v>293</v>
      </c>
      <c r="M27" s="182" t="s">
        <v>22</v>
      </c>
      <c r="N27" s="183" t="s">
        <v>22</v>
      </c>
      <c r="O27" s="184" t="s">
        <v>140</v>
      </c>
      <c r="P27" s="288" t="s">
        <v>137</v>
      </c>
      <c r="Q27" s="289"/>
      <c r="R27" s="141"/>
      <c r="S27" s="140"/>
      <c r="T27" s="140"/>
      <c r="U27" s="140"/>
      <c r="V27" s="139"/>
    </row>
    <row r="28" spans="2:27" s="137" customFormat="1" ht="49.5" customHeight="1" x14ac:dyDescent="0.25">
      <c r="B28" s="293"/>
      <c r="C28" s="255"/>
      <c r="D28" s="255"/>
      <c r="E28" s="172" t="s">
        <v>22</v>
      </c>
      <c r="F28" s="172" t="s">
        <v>22</v>
      </c>
      <c r="G28" s="185" t="s">
        <v>141</v>
      </c>
      <c r="H28" s="185"/>
      <c r="I28" s="185" t="s">
        <v>142</v>
      </c>
      <c r="J28" s="185" t="s">
        <v>143</v>
      </c>
      <c r="K28" s="186" t="s">
        <v>294</v>
      </c>
      <c r="L28" s="186" t="s">
        <v>368</v>
      </c>
      <c r="M28" s="186" t="s">
        <v>294</v>
      </c>
      <c r="N28" s="186" t="s">
        <v>369</v>
      </c>
      <c r="O28" s="187" t="s">
        <v>144</v>
      </c>
      <c r="P28" s="286" t="s">
        <v>145</v>
      </c>
      <c r="Q28" s="287"/>
      <c r="R28" s="140"/>
      <c r="S28" s="140"/>
      <c r="T28" s="140"/>
      <c r="U28" s="140"/>
      <c r="V28" s="139"/>
    </row>
    <row r="29" spans="2:27" s="137" customFormat="1" ht="13" x14ac:dyDescent="0.25">
      <c r="B29" s="293"/>
      <c r="C29" s="255"/>
      <c r="D29" s="256"/>
      <c r="E29" s="172" t="s">
        <v>22</v>
      </c>
      <c r="F29" s="172" t="s">
        <v>22</v>
      </c>
      <c r="G29" s="185" t="s">
        <v>146</v>
      </c>
      <c r="H29" s="185"/>
      <c r="I29" s="188" t="s">
        <v>337</v>
      </c>
      <c r="J29" s="185" t="s">
        <v>143</v>
      </c>
      <c r="K29" s="186" t="s">
        <v>295</v>
      </c>
      <c r="L29" s="186" t="s">
        <v>293</v>
      </c>
      <c r="M29" s="189" t="s">
        <v>22</v>
      </c>
      <c r="N29" s="189" t="s">
        <v>22</v>
      </c>
      <c r="O29" s="187" t="s">
        <v>147</v>
      </c>
      <c r="P29" s="286" t="s">
        <v>148</v>
      </c>
      <c r="Q29" s="287"/>
      <c r="R29" s="142"/>
      <c r="S29" s="140"/>
      <c r="T29" s="140"/>
      <c r="U29" s="140"/>
      <c r="V29" s="139"/>
    </row>
    <row r="30" spans="2:27" s="137" customFormat="1" ht="26" x14ac:dyDescent="0.25">
      <c r="B30" s="293"/>
      <c r="C30" s="255"/>
      <c r="D30" s="253" t="s">
        <v>138</v>
      </c>
      <c r="E30" s="172" t="s">
        <v>22</v>
      </c>
      <c r="F30" s="162" t="s">
        <v>22</v>
      </c>
      <c r="G30" s="162" t="s">
        <v>113</v>
      </c>
      <c r="H30" s="162" t="s">
        <v>22</v>
      </c>
      <c r="I30" s="162" t="s">
        <v>139</v>
      </c>
      <c r="J30" s="162" t="s">
        <v>149</v>
      </c>
      <c r="K30" s="176" t="s">
        <v>48</v>
      </c>
      <c r="L30" s="176" t="s">
        <v>309</v>
      </c>
      <c r="M30" s="176" t="s">
        <v>48</v>
      </c>
      <c r="N30" s="176" t="s">
        <v>309</v>
      </c>
      <c r="O30" s="163" t="s">
        <v>150</v>
      </c>
      <c r="P30" s="269" t="s">
        <v>151</v>
      </c>
      <c r="Q30" s="269"/>
      <c r="R30" s="140"/>
      <c r="S30" s="140"/>
      <c r="T30" s="140"/>
      <c r="U30" s="140"/>
      <c r="V30" s="139"/>
    </row>
    <row r="31" spans="2:27" s="137" customFormat="1" ht="39" x14ac:dyDescent="0.25">
      <c r="B31" s="294"/>
      <c r="C31" s="255"/>
      <c r="D31" s="253"/>
      <c r="E31" s="190">
        <v>2</v>
      </c>
      <c r="F31" s="178" t="s">
        <v>22</v>
      </c>
      <c r="G31" s="178" t="s">
        <v>74</v>
      </c>
      <c r="H31" s="178" t="s">
        <v>187</v>
      </c>
      <c r="I31" s="178" t="s">
        <v>197</v>
      </c>
      <c r="J31" s="169" t="s">
        <v>210</v>
      </c>
      <c r="K31" s="172" t="s">
        <v>48</v>
      </c>
      <c r="L31" s="172" t="s">
        <v>344</v>
      </c>
      <c r="M31" s="172" t="s">
        <v>48</v>
      </c>
      <c r="N31" s="172" t="s">
        <v>344</v>
      </c>
      <c r="O31" s="191" t="s">
        <v>342</v>
      </c>
      <c r="P31" s="265" t="s">
        <v>343</v>
      </c>
      <c r="Q31" s="266"/>
      <c r="R31" s="142"/>
      <c r="S31" s="140"/>
      <c r="T31" s="140"/>
      <c r="U31" s="140"/>
      <c r="V31" s="139"/>
    </row>
    <row r="32" spans="2:27" ht="96.75" customHeight="1" x14ac:dyDescent="0.25">
      <c r="B32" s="154" t="s">
        <v>75</v>
      </c>
      <c r="C32" s="262" t="s">
        <v>76</v>
      </c>
      <c r="D32" s="262"/>
      <c r="E32" s="262"/>
      <c r="F32" s="262"/>
      <c r="G32" s="262"/>
      <c r="H32" s="262"/>
      <c r="I32" s="262"/>
      <c r="J32" s="262"/>
      <c r="K32" s="262"/>
      <c r="L32" s="262"/>
      <c r="M32" s="262"/>
      <c r="N32" s="262"/>
      <c r="O32" s="262"/>
      <c r="P32" s="262"/>
      <c r="Q32" s="262"/>
    </row>
    <row r="33" spans="2:17" ht="33" customHeight="1" x14ac:dyDescent="0.25">
      <c r="B33" s="260" t="s">
        <v>77</v>
      </c>
      <c r="C33" s="263"/>
      <c r="D33" s="263"/>
      <c r="E33" s="260" t="s">
        <v>288</v>
      </c>
      <c r="F33" s="260"/>
      <c r="G33" s="260" t="s">
        <v>289</v>
      </c>
      <c r="H33" s="260"/>
      <c r="I33" s="248" t="s">
        <v>290</v>
      </c>
      <c r="J33" s="249"/>
      <c r="K33" s="249"/>
      <c r="L33" s="249"/>
      <c r="M33" s="250"/>
      <c r="N33" s="248" t="s">
        <v>296</v>
      </c>
      <c r="O33" s="250"/>
      <c r="P33" s="260" t="s">
        <v>306</v>
      </c>
      <c r="Q33" s="261"/>
    </row>
    <row r="34" spans="2:17" ht="44.15" customHeight="1" x14ac:dyDescent="0.25">
      <c r="B34" s="264" t="s">
        <v>325</v>
      </c>
      <c r="C34" s="263"/>
      <c r="D34" s="263"/>
      <c r="E34" s="264" t="s">
        <v>315</v>
      </c>
      <c r="F34" s="263"/>
      <c r="G34" s="260" t="s">
        <v>316</v>
      </c>
      <c r="H34" s="261"/>
      <c r="I34" s="245" t="s">
        <v>373</v>
      </c>
      <c r="J34" s="246"/>
      <c r="K34" s="246"/>
      <c r="L34" s="246"/>
      <c r="M34" s="247"/>
      <c r="N34" s="251" t="s">
        <v>297</v>
      </c>
      <c r="O34" s="252"/>
      <c r="P34" s="264" t="s">
        <v>315</v>
      </c>
      <c r="Q34" s="263"/>
    </row>
    <row r="35" spans="2:17" ht="31.5" customHeight="1" x14ac:dyDescent="0.25">
      <c r="B35" s="18"/>
      <c r="C35" s="18"/>
      <c r="D35" s="19"/>
      <c r="E35" s="19"/>
      <c r="F35" s="19"/>
      <c r="G35" s="19"/>
      <c r="H35" s="19"/>
      <c r="I35" s="19"/>
      <c r="J35" s="19"/>
      <c r="K35" s="19"/>
      <c r="L35" s="19"/>
      <c r="M35" s="19"/>
      <c r="N35" s="19"/>
      <c r="O35" s="19"/>
      <c r="P35" s="20"/>
      <c r="Q35" s="20"/>
    </row>
  </sheetData>
  <sheetProtection formatCells="0" formatRows="0" insertColumns="0" insertRows="0" insertHyperlinks="0" deleteColumns="0" deleteRows="0" sort="0" autoFilter="0" pivotTables="0"/>
  <protectedRanges>
    <protectedRange sqref="Q1" name="区域1_1"/>
    <protectedRange sqref="S23:T31 S21 U21 S16:T20" name="区域1_1_2_4"/>
    <protectedRange sqref="U16:U20" name="区域1_1_2_1_1_12"/>
    <protectedRange sqref="U22" name="区域1_1_2_1_1_5_1"/>
    <protectedRange sqref="U23" name="区域1_1_2_6"/>
    <protectedRange sqref="U25:U31" name="区域1_1_1_1_2_1"/>
    <protectedRange sqref="U24" name="区域1_1_2_1_1_11_1"/>
    <protectedRange sqref="S22:T22" name="区域1_1_1_4_1_3"/>
    <protectedRange sqref="T21" name="区域1_1_2_4_1_1_2_1"/>
    <protectedRange sqref="R21" name="区域1_1_2_4_1_1_3_1"/>
    <protectedRange sqref="R22" name="区域1_1_2_4_1_1_7_1"/>
    <protectedRange sqref="R23" name="区域1_1_2_4_3_1_4_1"/>
    <protectedRange sqref="R24" name="区域1_1_2_4_3_1_5_1"/>
    <protectedRange sqref="R25" name="区域1_1_2_4_3_1_6_1"/>
    <protectedRange sqref="R26:R28 R30" name="区域1_1_2_4_3_1_7_1"/>
    <protectedRange sqref="D13:D15" name="区域1_1_5_1_1"/>
    <protectedRange sqref="H13:H15" name="区域1_1_4_5_1_1"/>
    <protectedRange sqref="C13:C15" name="区域1_1_4_4_1_1_1"/>
    <protectedRange sqref="G13:G14" name="区域1_1_8_2_1"/>
    <protectedRange sqref="I13:I14" name="区域1_1_3_1_1_3_4_1"/>
    <protectedRange sqref="J13:J14" name="区域1_1_8_4_1"/>
    <protectedRange sqref="K13:K14 M13:M14" name="区域1_1_4_3_1_1_1"/>
    <protectedRange sqref="P13:P15" name="区域1_1_1_2_1_2_1_1_1_1"/>
    <protectedRange sqref="Q13:Q15 O13:O15" name="区域1_1_10_1_1_1"/>
    <protectedRange sqref="E16:F17 H16:H17" name="区域1_1_2_3_1"/>
    <protectedRange sqref="G16 I17 L17 I16:N16 N17" name="区域1_1_2_7_4_1"/>
    <protectedRange sqref="D16" name="区域1_1_4_1_1"/>
    <protectedRange sqref="P16" name="区域1_1_2_4_1_1_2_1_1"/>
    <protectedRange sqref="Q16" name="区域1_1_1_2_5_2_1"/>
    <protectedRange sqref="O16" name="区域1_1_1_2_5_2_1_1"/>
    <protectedRange sqref="P17" name="区域1_1_2_4_1_1_2_1_2"/>
    <protectedRange sqref="Q17" name="区域1_1_1_2_5_2_2"/>
    <protectedRange sqref="C21" name="区域1_1_2_1"/>
    <protectedRange sqref="E18:F21 H18:H20" name="区域1_1_2_3_2"/>
    <protectedRange sqref="I18:I20" name="区域1_1_2_7_4_2"/>
    <protectedRange sqref="G21 J21:N21" name="区域1_1_2_8_3_1"/>
    <protectedRange sqref="H21" name="区域1_1_4_5_1_2"/>
    <protectedRange sqref="D18:D21" name="区域1_1_4_1_2"/>
    <protectedRange sqref="I21" name="区域1_1_8_1_1"/>
    <protectedRange sqref="P18:P19" name="区域1_1_2_4_1_1_2_1_3"/>
    <protectedRange sqref="Q18:Q19" name="区域1_1_1_2_5_2_3"/>
    <protectedRange sqref="P20:P21" name="区域1_1_2_4_1_1_2_1_5"/>
    <protectedRange sqref="Q20:Q21" name="区域1_1_1_2_5_2_5"/>
    <protectedRange sqref="D22:D26 D28" name="区域1_1_2_2"/>
    <protectedRange sqref="E22:F23 H22:H23" name="区域1_1_3_3_1"/>
    <protectedRange sqref="I23 G22:G23 K23:N23" name="区域1_1_4_2_3_1"/>
    <protectedRange sqref="J26:K26 K24:K25 G26:H26 G24:H24 E24:F26 G25:J25 L24:N26" name="区域1_1_4_3_3_1"/>
    <protectedRange sqref="C23:C26 C28" name="区域1_1_4_4_1_2"/>
    <protectedRange sqref="C22" name="区域1_1_3_2_1_1"/>
    <protectedRange sqref="P24:P26" name="区域1_1_2_4_3_1_5_1_1"/>
    <protectedRange sqref="Q24:Q26 O24:O26" name="区域1_1_1_2_5_2_4"/>
    <protectedRange sqref="I22" name="区域1_1_19_1_1"/>
    <protectedRange sqref="J24" name="区域1_1_4_11_2_1_1"/>
    <protectedRange sqref="P22" name="区域1_1_2_4_1_1_2_1_6"/>
    <protectedRange sqref="Q22" name="区域1_1_1_2_5_2_6"/>
    <protectedRange sqref="P23" name="区域1_1_2_4_3_1_4_1_1"/>
    <protectedRange sqref="Q23" name="区域1_1_1_2_5_2_3_1"/>
    <protectedRange sqref="O23" name="区域1_1_1_2_5_2_6_1"/>
    <protectedRange sqref="D27" name="区域1_1_2_3_2_1_1"/>
    <protectedRange sqref="C27 C30:C31" name="区域1_1_4_4_1_3"/>
    <protectedRange sqref="D30:D31" name="区域1_1_5_1_2"/>
    <protectedRange sqref="B21" name="区域1_1_2_3"/>
    <protectedRange sqref="B30:B31 B23:B28" name="区域1_1_4_4_1_1"/>
    <protectedRange sqref="E27:F29" name="区域1_1_2_3_1_3"/>
    <protectedRange sqref="G27:H27" name="区域1_1_2_3_1_3_2"/>
    <protectedRange sqref="Q27 L27 I27:J27 N27" name="区域1_1_2_3_1_3_1_1_1"/>
    <protectedRange sqref="P27" name="区域1_1_1_5_1_1_1_1_1"/>
    <protectedRange sqref="K27 M27" name="区域1_1_18_1_1_1"/>
    <protectedRange sqref="E30 E31:F31" name="区域1_1_5_1"/>
    <protectedRange sqref="G31:I31" name="区域1_1_4_5_1"/>
    <protectedRange sqref="L31 N31" name="区域1_1_12_1"/>
    <protectedRange sqref="I24" name="区域1_1_27_1_1_1"/>
    <protectedRange sqref="I26" name="区域1_1_25_1_1_1"/>
    <protectedRange sqref="R29" name="区域1_1_2_4_3_1_7_1_1"/>
    <protectedRange sqref="R31" name="区域1_1_1_2_1_2_1_1_2"/>
    <protectedRange sqref="P31" name="区域1_1_1_2_1_2_1_1_2_1"/>
    <protectedRange sqref="Q31" name="区域1_1_10_1_2"/>
    <protectedRange sqref="O31" name="区域1_1_10_1_2_1"/>
  </protectedRanges>
  <mergeCells count="83">
    <mergeCell ref="N33:O33"/>
    <mergeCell ref="B6:B9"/>
    <mergeCell ref="B13:B15"/>
    <mergeCell ref="C6:C9"/>
    <mergeCell ref="C13:C15"/>
    <mergeCell ref="D6:D9"/>
    <mergeCell ref="D13:D15"/>
    <mergeCell ref="C16:C21"/>
    <mergeCell ref="C25:C26"/>
    <mergeCell ref="D25:D26"/>
    <mergeCell ref="B27:B31"/>
    <mergeCell ref="B22:B24"/>
    <mergeCell ref="C22:C24"/>
    <mergeCell ref="C27:C31"/>
    <mergeCell ref="B16:B21"/>
    <mergeCell ref="B25:B26"/>
    <mergeCell ref="P26:Q26"/>
    <mergeCell ref="P29:Q29"/>
    <mergeCell ref="P30:Q30"/>
    <mergeCell ref="P27:Q27"/>
    <mergeCell ref="P28:Q28"/>
    <mergeCell ref="P21:Q21"/>
    <mergeCell ref="P22:Q22"/>
    <mergeCell ref="P23:Q23"/>
    <mergeCell ref="P24:Q24"/>
    <mergeCell ref="P25:Q25"/>
    <mergeCell ref="P16:Q16"/>
    <mergeCell ref="P17:Q17"/>
    <mergeCell ref="P18:Q18"/>
    <mergeCell ref="P19:Q19"/>
    <mergeCell ref="P20:Q20"/>
    <mergeCell ref="P6:Q9"/>
    <mergeCell ref="P14:Q14"/>
    <mergeCell ref="K8:L8"/>
    <mergeCell ref="K7:L7"/>
    <mergeCell ref="P15:Q15"/>
    <mergeCell ref="O8:O9"/>
    <mergeCell ref="E7:E9"/>
    <mergeCell ref="M7:N7"/>
    <mergeCell ref="M8:N8"/>
    <mergeCell ref="J7:J9"/>
    <mergeCell ref="I7:I9"/>
    <mergeCell ref="H7:H9"/>
    <mergeCell ref="G7:G9"/>
    <mergeCell ref="F7:F9"/>
    <mergeCell ref="C5:D5"/>
    <mergeCell ref="E5:F5"/>
    <mergeCell ref="G5:H5"/>
    <mergeCell ref="L5:O5"/>
    <mergeCell ref="E6:H6"/>
    <mergeCell ref="I6:O6"/>
    <mergeCell ref="P34:Q34"/>
    <mergeCell ref="I33:M33"/>
    <mergeCell ref="I34:M34"/>
    <mergeCell ref="P31:Q31"/>
    <mergeCell ref="B1:D1"/>
    <mergeCell ref="O1:Q1"/>
    <mergeCell ref="K2:L2"/>
    <mergeCell ref="K3:L3"/>
    <mergeCell ref="B4:D4"/>
    <mergeCell ref="E4:J4"/>
    <mergeCell ref="K4:L4"/>
    <mergeCell ref="B2:J3"/>
    <mergeCell ref="P10:Q10"/>
    <mergeCell ref="P11:Q11"/>
    <mergeCell ref="P12:Q12"/>
    <mergeCell ref="P13:Q13"/>
    <mergeCell ref="M2:O2"/>
    <mergeCell ref="M3:O3"/>
    <mergeCell ref="M4:Q4"/>
    <mergeCell ref="N34:O34"/>
    <mergeCell ref="D30:D31"/>
    <mergeCell ref="D27:D29"/>
    <mergeCell ref="D16:D21"/>
    <mergeCell ref="D22:D24"/>
    <mergeCell ref="G34:H34"/>
    <mergeCell ref="C32:Q32"/>
    <mergeCell ref="B33:D33"/>
    <mergeCell ref="E33:F33"/>
    <mergeCell ref="G33:H33"/>
    <mergeCell ref="P33:Q33"/>
    <mergeCell ref="B34:D34"/>
    <mergeCell ref="E34:F34"/>
  </mergeCells>
  <phoneticPr fontId="28" type="noConversion"/>
  <printOptions horizontalCentered="1" verticalCentered="1"/>
  <pageMargins left="7.874015748031496E-2" right="7.874015748031496E-2" top="0.3543307086614173" bottom="0.39370078740157483" header="0.19685039370078741" footer="0.19685039370078741"/>
  <pageSetup paperSize="9" scale="65" fitToHeight="0" orientation="landscape" r:id="rId1"/>
  <headerFooter alignWithMargins="0">
    <oddHeader>&amp;LPM240707-013&amp;C负极合浆工序控制计划&amp;R版本号 B2</oddHeader>
    <oddFooter>&amp;C第 &amp;P 页，共 &amp;N 页</oddFooter>
  </headerFooter>
  <rowBreaks count="1" manualBreakCount="1">
    <brk id="20" min="1" max="1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5"/>
  <sheetViews>
    <sheetView view="pageLayout" topLeftCell="B1" zoomScaleNormal="80" workbookViewId="0">
      <selection activeCell="M5" sqref="M5"/>
    </sheetView>
  </sheetViews>
  <sheetFormatPr defaultColWidth="8.90625" defaultRowHeight="14" x14ac:dyDescent="0.25"/>
  <cols>
    <col min="1" max="2" width="8.90625" style="111"/>
    <col min="3" max="3" width="10.90625" style="111" customWidth="1"/>
    <col min="4" max="5" width="8.90625" style="111"/>
    <col min="6" max="6" width="9.90625" style="111" customWidth="1"/>
    <col min="7" max="7" width="8.90625" style="111"/>
    <col min="8" max="8" width="9.6328125" style="111" customWidth="1"/>
    <col min="9" max="9" width="8.90625" style="111"/>
    <col min="10" max="10" width="9.6328125" style="111" customWidth="1"/>
    <col min="11" max="11" width="12.90625" style="111" customWidth="1"/>
    <col min="12" max="12" width="11.6328125" style="111" customWidth="1"/>
    <col min="13" max="13" width="10.90625" style="111" customWidth="1"/>
    <col min="14" max="14" width="9.36328125" style="111" customWidth="1"/>
    <col min="15" max="15" width="11.90625" style="111" customWidth="1"/>
    <col min="16" max="16" width="8.6328125" style="111" customWidth="1"/>
    <col min="17" max="17" width="10.453125" style="111" customWidth="1"/>
    <col min="18" max="16384" width="8.90625" style="111"/>
  </cols>
  <sheetData>
    <row r="1" spans="1:17" ht="15.5" x14ac:dyDescent="0.25">
      <c r="A1" s="295" t="s">
        <v>332</v>
      </c>
      <c r="B1" s="296"/>
      <c r="C1" s="296"/>
      <c r="D1" s="296"/>
      <c r="E1" s="296"/>
      <c r="F1" s="296"/>
      <c r="G1" s="296"/>
      <c r="H1" s="296"/>
      <c r="I1" s="296"/>
      <c r="J1" s="296"/>
      <c r="K1" s="296"/>
      <c r="L1" s="296"/>
      <c r="M1" s="296"/>
      <c r="N1" s="296"/>
      <c r="O1" s="296"/>
      <c r="P1" s="296"/>
      <c r="Q1" s="297"/>
    </row>
    <row r="2" spans="1:17" x14ac:dyDescent="0.25">
      <c r="A2" s="112"/>
      <c r="B2" s="113"/>
      <c r="C2" s="113"/>
      <c r="D2" s="113"/>
      <c r="E2" s="113"/>
      <c r="F2" s="114"/>
      <c r="G2" s="113"/>
      <c r="H2" s="113"/>
      <c r="I2" s="115"/>
      <c r="J2" s="113"/>
      <c r="K2" s="113"/>
      <c r="L2" s="113"/>
      <c r="M2" s="113"/>
      <c r="N2" s="113"/>
      <c r="O2" s="113"/>
      <c r="P2" s="114"/>
      <c r="Q2" s="116"/>
    </row>
    <row r="3" spans="1:17" x14ac:dyDescent="0.25">
      <c r="A3" s="298" t="s">
        <v>12</v>
      </c>
      <c r="B3" s="298" t="s">
        <v>255</v>
      </c>
      <c r="C3" s="298" t="s">
        <v>256</v>
      </c>
      <c r="D3" s="298" t="s">
        <v>257</v>
      </c>
      <c r="E3" s="298" t="s">
        <v>258</v>
      </c>
      <c r="F3" s="299" t="s">
        <v>259</v>
      </c>
      <c r="G3" s="298" t="s">
        <v>260</v>
      </c>
      <c r="H3" s="298" t="s">
        <v>261</v>
      </c>
      <c r="I3" s="298" t="s">
        <v>262</v>
      </c>
      <c r="J3" s="298" t="s">
        <v>263</v>
      </c>
      <c r="K3" s="298" t="s">
        <v>264</v>
      </c>
      <c r="L3" s="298" t="s">
        <v>265</v>
      </c>
      <c r="M3" s="305" t="s">
        <v>266</v>
      </c>
      <c r="N3" s="298" t="s">
        <v>267</v>
      </c>
      <c r="O3" s="298" t="s">
        <v>268</v>
      </c>
      <c r="P3" s="306" t="s">
        <v>269</v>
      </c>
      <c r="Q3" s="299" t="s">
        <v>270</v>
      </c>
    </row>
    <row r="4" spans="1:17" x14ac:dyDescent="0.25">
      <c r="A4" s="298"/>
      <c r="B4" s="298"/>
      <c r="C4" s="298"/>
      <c r="D4" s="298"/>
      <c r="E4" s="298"/>
      <c r="F4" s="300"/>
      <c r="G4" s="298"/>
      <c r="H4" s="298"/>
      <c r="I4" s="298"/>
      <c r="J4" s="298"/>
      <c r="K4" s="298"/>
      <c r="L4" s="298"/>
      <c r="M4" s="305"/>
      <c r="N4" s="298"/>
      <c r="O4" s="298"/>
      <c r="P4" s="307"/>
      <c r="Q4" s="300"/>
    </row>
    <row r="5" spans="1:17" s="121" customFormat="1" ht="180" x14ac:dyDescent="0.25">
      <c r="A5" s="120">
        <v>1</v>
      </c>
      <c r="B5" s="120" t="s">
        <v>271</v>
      </c>
      <c r="C5" s="120" t="s">
        <v>281</v>
      </c>
      <c r="D5" s="120" t="s">
        <v>282</v>
      </c>
      <c r="E5" s="120" t="s">
        <v>272</v>
      </c>
      <c r="F5" s="120" t="s">
        <v>273</v>
      </c>
      <c r="G5" s="120" t="s">
        <v>283</v>
      </c>
      <c r="H5" s="120" t="s">
        <v>284</v>
      </c>
      <c r="I5" s="120" t="s">
        <v>285</v>
      </c>
      <c r="J5" s="120" t="s">
        <v>286</v>
      </c>
      <c r="K5" s="120" t="s">
        <v>339</v>
      </c>
      <c r="L5" s="120" t="s">
        <v>340</v>
      </c>
      <c r="M5" s="120" t="s">
        <v>22</v>
      </c>
      <c r="N5" s="120" t="s">
        <v>22</v>
      </c>
      <c r="O5" s="120" t="s">
        <v>22</v>
      </c>
      <c r="P5" s="120" t="s">
        <v>22</v>
      </c>
      <c r="Q5" s="120" t="s">
        <v>274</v>
      </c>
    </row>
    <row r="6" spans="1:17" s="147" customFormat="1" ht="180" x14ac:dyDescent="0.25">
      <c r="A6" s="148">
        <v>2</v>
      </c>
      <c r="B6" s="148" t="s">
        <v>271</v>
      </c>
      <c r="C6" s="148" t="s">
        <v>281</v>
      </c>
      <c r="D6" s="148" t="s">
        <v>282</v>
      </c>
      <c r="E6" s="148" t="s">
        <v>272</v>
      </c>
      <c r="F6" s="148" t="s">
        <v>273</v>
      </c>
      <c r="G6" s="148" t="s">
        <v>350</v>
      </c>
      <c r="H6" s="148" t="s">
        <v>284</v>
      </c>
      <c r="I6" s="148" t="s">
        <v>351</v>
      </c>
      <c r="J6" s="148" t="s">
        <v>286</v>
      </c>
      <c r="K6" s="148" t="s">
        <v>339</v>
      </c>
      <c r="L6" s="148" t="s">
        <v>339</v>
      </c>
      <c r="M6" s="148" t="s">
        <v>22</v>
      </c>
      <c r="N6" s="148" t="s">
        <v>22</v>
      </c>
      <c r="O6" s="148" t="s">
        <v>22</v>
      </c>
      <c r="P6" s="148" t="s">
        <v>22</v>
      </c>
      <c r="Q6" s="148" t="s">
        <v>274</v>
      </c>
    </row>
    <row r="7" spans="1:17" x14ac:dyDescent="0.25">
      <c r="A7" s="117"/>
      <c r="B7" s="117"/>
      <c r="C7" s="118"/>
      <c r="D7" s="117"/>
      <c r="E7" s="117"/>
      <c r="F7" s="117"/>
      <c r="G7" s="117"/>
      <c r="H7" s="117"/>
      <c r="I7" s="119"/>
      <c r="J7" s="117"/>
      <c r="K7" s="117"/>
      <c r="L7" s="118"/>
      <c r="M7" s="118"/>
      <c r="N7" s="117"/>
      <c r="O7" s="118"/>
      <c r="P7" s="118"/>
      <c r="Q7" s="119"/>
    </row>
    <row r="8" spans="1:17" x14ac:dyDescent="0.25">
      <c r="A8" s="117"/>
      <c r="B8" s="117"/>
      <c r="C8" s="118"/>
      <c r="D8" s="117"/>
      <c r="E8" s="117"/>
      <c r="F8" s="117"/>
      <c r="G8" s="117"/>
      <c r="H8" s="117"/>
      <c r="I8" s="119"/>
      <c r="J8" s="117"/>
      <c r="K8" s="117"/>
      <c r="L8" s="118"/>
      <c r="M8" s="118"/>
      <c r="N8" s="117"/>
      <c r="O8" s="118"/>
      <c r="P8" s="118"/>
      <c r="Q8" s="119"/>
    </row>
    <row r="9" spans="1:17" x14ac:dyDescent="0.25">
      <c r="A9" s="117"/>
      <c r="B9" s="117"/>
      <c r="C9" s="118"/>
      <c r="D9" s="117"/>
      <c r="E9" s="117"/>
      <c r="F9" s="117"/>
      <c r="G9" s="117"/>
      <c r="H9" s="117"/>
      <c r="I9" s="119"/>
      <c r="J9" s="117"/>
      <c r="K9" s="117"/>
      <c r="L9" s="118"/>
      <c r="M9" s="118"/>
      <c r="N9" s="117"/>
      <c r="O9" s="118"/>
      <c r="P9" s="118"/>
      <c r="Q9" s="119"/>
    </row>
    <row r="10" spans="1:17" x14ac:dyDescent="0.25">
      <c r="A10" s="117"/>
      <c r="B10" s="117"/>
      <c r="C10" s="118"/>
      <c r="D10" s="117"/>
      <c r="E10" s="117"/>
      <c r="F10" s="117"/>
      <c r="G10" s="117"/>
      <c r="H10" s="117"/>
      <c r="I10" s="119"/>
      <c r="J10" s="117"/>
      <c r="K10" s="117"/>
      <c r="L10" s="118"/>
      <c r="M10" s="118"/>
      <c r="N10" s="117"/>
      <c r="O10" s="118"/>
      <c r="P10" s="118"/>
      <c r="Q10" s="119"/>
    </row>
    <row r="11" spans="1:17" x14ac:dyDescent="0.25">
      <c r="A11" s="117"/>
      <c r="B11" s="117"/>
      <c r="C11" s="118"/>
      <c r="D11" s="117"/>
      <c r="E11" s="117"/>
      <c r="F11" s="117"/>
      <c r="G11" s="117"/>
      <c r="H11" s="117"/>
      <c r="I11" s="119"/>
      <c r="J11" s="117"/>
      <c r="K11" s="117"/>
      <c r="L11" s="118"/>
      <c r="M11" s="118"/>
      <c r="N11" s="117"/>
      <c r="O11" s="118"/>
      <c r="P11" s="118"/>
      <c r="Q11" s="119"/>
    </row>
    <row r="12" spans="1:17" x14ac:dyDescent="0.25">
      <c r="A12" s="117"/>
      <c r="B12" s="117"/>
      <c r="C12" s="118"/>
      <c r="D12" s="117"/>
      <c r="E12" s="117"/>
      <c r="F12" s="117"/>
      <c r="G12" s="117"/>
      <c r="H12" s="117"/>
      <c r="I12" s="119"/>
      <c r="J12" s="117"/>
      <c r="K12" s="117"/>
      <c r="L12" s="118"/>
      <c r="M12" s="118"/>
      <c r="N12" s="117"/>
      <c r="O12" s="118"/>
      <c r="P12" s="118"/>
      <c r="Q12" s="119"/>
    </row>
    <row r="13" spans="1:17" x14ac:dyDescent="0.25">
      <c r="A13" s="117"/>
      <c r="B13" s="117"/>
      <c r="C13" s="118"/>
      <c r="D13" s="117"/>
      <c r="E13" s="117"/>
      <c r="F13" s="117"/>
      <c r="G13" s="117"/>
      <c r="H13" s="117"/>
      <c r="I13" s="119"/>
      <c r="J13" s="117"/>
      <c r="K13" s="117"/>
      <c r="L13" s="118"/>
      <c r="M13" s="118"/>
      <c r="N13" s="117"/>
      <c r="O13" s="118"/>
      <c r="P13" s="118"/>
      <c r="Q13" s="119"/>
    </row>
    <row r="14" spans="1:17" ht="22" customHeight="1" x14ac:dyDescent="0.25">
      <c r="A14" s="301" t="s">
        <v>275</v>
      </c>
      <c r="B14" s="301"/>
      <c r="C14" s="301"/>
      <c r="D14" s="301"/>
      <c r="E14" s="301"/>
      <c r="F14" s="301"/>
      <c r="G14" s="301"/>
      <c r="H14" s="301"/>
      <c r="I14" s="301"/>
      <c r="J14" s="301"/>
      <c r="K14" s="302" t="s">
        <v>276</v>
      </c>
      <c r="L14" s="303"/>
      <c r="M14" s="304"/>
      <c r="N14" s="302" t="s">
        <v>277</v>
      </c>
      <c r="O14" s="303"/>
      <c r="P14" s="303"/>
      <c r="Q14" s="304"/>
    </row>
    <row r="15" spans="1:17" ht="68.5" customHeight="1" x14ac:dyDescent="0.25">
      <c r="A15" s="301" t="s">
        <v>278</v>
      </c>
      <c r="B15" s="301"/>
      <c r="C15" s="301"/>
      <c r="D15" s="301"/>
      <c r="E15" s="301"/>
      <c r="F15" s="301"/>
      <c r="G15" s="301"/>
      <c r="H15" s="301"/>
      <c r="I15" s="301"/>
      <c r="J15" s="301"/>
      <c r="K15" s="302" t="s">
        <v>279</v>
      </c>
      <c r="L15" s="303"/>
      <c r="M15" s="304"/>
      <c r="N15" s="302" t="s">
        <v>280</v>
      </c>
      <c r="O15" s="303"/>
      <c r="P15" s="303"/>
      <c r="Q15" s="304"/>
    </row>
  </sheetData>
  <mergeCells count="24">
    <mergeCell ref="A15:J15"/>
    <mergeCell ref="K15:M15"/>
    <mergeCell ref="N15:Q15"/>
    <mergeCell ref="J3:J4"/>
    <mergeCell ref="K3:K4"/>
    <mergeCell ref="L3:L4"/>
    <mergeCell ref="M3:M4"/>
    <mergeCell ref="N3:N4"/>
    <mergeCell ref="O3:O4"/>
    <mergeCell ref="P3:P4"/>
    <mergeCell ref="Q3:Q4"/>
    <mergeCell ref="A14:J14"/>
    <mergeCell ref="K14:M14"/>
    <mergeCell ref="N14:Q14"/>
    <mergeCell ref="A1:Q1"/>
    <mergeCell ref="A3:A4"/>
    <mergeCell ref="B3:B4"/>
    <mergeCell ref="C3:C4"/>
    <mergeCell ref="D3:D4"/>
    <mergeCell ref="E3:E4"/>
    <mergeCell ref="F3:F4"/>
    <mergeCell ref="G3:G4"/>
    <mergeCell ref="H3:H4"/>
    <mergeCell ref="I3:I4"/>
  </mergeCells>
  <phoneticPr fontId="28" type="noConversion"/>
  <pageMargins left="7.874015748031496E-2" right="7.874015748031496E-2" top="0.3543307086614173" bottom="0.39370078740157483" header="0.19685039370078741" footer="0.19685039370078741"/>
  <pageSetup paperSize="9" scale="88" fitToHeight="0" orientation="landscape" r:id="rId1"/>
  <headerFooter alignWithMargins="0">
    <oddHeader>&amp;LPM240707-013&amp;C负极合浆工序控制计划&amp;R版本号B2</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21"/>
  <sheetViews>
    <sheetView showGridLines="0" topLeftCell="A6" zoomScale="50" zoomScaleNormal="50" zoomScaleSheetLayoutView="80" workbookViewId="0">
      <selection activeCell="S9" sqref="S9"/>
    </sheetView>
  </sheetViews>
  <sheetFormatPr defaultColWidth="9" defaultRowHeight="14" x14ac:dyDescent="0.25"/>
  <cols>
    <col min="1" max="1" width="1.08984375" style="4" customWidth="1"/>
    <col min="2" max="2" width="11" style="4" customWidth="1"/>
    <col min="3" max="3" width="8.453125" style="4" customWidth="1"/>
    <col min="4" max="4" width="10.6328125" style="4" customWidth="1"/>
    <col min="5" max="5" width="5.453125" style="4" customWidth="1"/>
    <col min="6" max="6" width="8.453125" style="4" customWidth="1"/>
    <col min="7" max="7" width="8.6328125" style="4" customWidth="1"/>
    <col min="8" max="8" width="9.36328125" style="4" customWidth="1"/>
    <col min="9" max="9" width="14.90625" style="4" customWidth="1"/>
    <col min="10" max="10" width="13.08984375" style="4" customWidth="1"/>
    <col min="11" max="11" width="10.90625" style="4" customWidth="1"/>
    <col min="12" max="12" width="27.6328125" style="4" customWidth="1"/>
    <col min="13" max="13" width="13.6328125" style="4" customWidth="1"/>
    <col min="14" max="14" width="16.90625" style="5" customWidth="1"/>
    <col min="15" max="15" width="20.36328125" style="5" customWidth="1"/>
    <col min="16" max="16384" width="9" style="4"/>
  </cols>
  <sheetData>
    <row r="1" spans="2:25" s="1" customFormat="1" ht="10.5" customHeight="1" x14ac:dyDescent="0.25">
      <c r="B1" s="267"/>
      <c r="C1" s="267"/>
      <c r="D1" s="267"/>
      <c r="E1" s="122"/>
      <c r="F1" s="4"/>
      <c r="G1" s="4"/>
      <c r="H1" s="4"/>
      <c r="I1" s="11"/>
      <c r="K1" s="4"/>
      <c r="L1" s="4"/>
      <c r="M1" s="267"/>
      <c r="N1" s="267"/>
      <c r="O1" s="267"/>
    </row>
    <row r="2" spans="2:25" s="2" customFormat="1" ht="30" customHeight="1" x14ac:dyDescent="0.25">
      <c r="B2" s="308" t="s">
        <v>302</v>
      </c>
      <c r="C2" s="309"/>
      <c r="D2" s="309"/>
      <c r="E2" s="309"/>
      <c r="F2" s="309"/>
      <c r="G2" s="309"/>
      <c r="H2" s="309"/>
      <c r="I2" s="309"/>
      <c r="J2" s="310"/>
      <c r="K2" s="314" t="s">
        <v>17</v>
      </c>
      <c r="L2" s="315"/>
      <c r="M2" s="48" t="s">
        <v>327</v>
      </c>
      <c r="N2" s="130" t="s">
        <v>18</v>
      </c>
      <c r="O2" s="48" t="s">
        <v>345</v>
      </c>
    </row>
    <row r="3" spans="2:25" s="2" customFormat="1" ht="30" customHeight="1" x14ac:dyDescent="0.4">
      <c r="B3" s="311"/>
      <c r="C3" s="312"/>
      <c r="D3" s="312"/>
      <c r="E3" s="312"/>
      <c r="F3" s="312"/>
      <c r="G3" s="312"/>
      <c r="H3" s="312"/>
      <c r="I3" s="312"/>
      <c r="J3" s="313"/>
      <c r="K3" s="314" t="s">
        <v>19</v>
      </c>
      <c r="L3" s="315"/>
      <c r="M3" s="131" t="s">
        <v>20</v>
      </c>
      <c r="N3" s="130" t="s">
        <v>21</v>
      </c>
      <c r="O3" s="134" t="s">
        <v>370</v>
      </c>
      <c r="R3" s="15"/>
      <c r="S3" s="15"/>
      <c r="T3" s="15"/>
      <c r="U3" s="15"/>
      <c r="V3" s="15"/>
      <c r="W3" s="15"/>
      <c r="X3" s="15"/>
      <c r="Y3" s="15"/>
    </row>
    <row r="4" spans="2:25" s="2" customFormat="1" ht="47.25" customHeight="1" x14ac:dyDescent="0.4">
      <c r="B4" s="316" t="s">
        <v>170</v>
      </c>
      <c r="C4" s="316"/>
      <c r="D4" s="316"/>
      <c r="E4" s="261" t="s">
        <v>357</v>
      </c>
      <c r="F4" s="261"/>
      <c r="G4" s="261"/>
      <c r="H4" s="261"/>
      <c r="I4" s="261"/>
      <c r="J4" s="261"/>
      <c r="K4" s="248" t="s">
        <v>172</v>
      </c>
      <c r="L4" s="250"/>
      <c r="M4" s="248" t="s">
        <v>301</v>
      </c>
      <c r="N4" s="249"/>
      <c r="O4" s="250"/>
      <c r="R4" s="16"/>
      <c r="S4" s="15"/>
      <c r="T4" s="15"/>
      <c r="U4" s="15"/>
      <c r="V4" s="15"/>
      <c r="W4" s="15"/>
      <c r="X4" s="15"/>
      <c r="Y4" s="15"/>
    </row>
    <row r="5" spans="2:25" s="2" customFormat="1" ht="37.5" customHeight="1" x14ac:dyDescent="0.25">
      <c r="B5" s="132" t="s">
        <v>322</v>
      </c>
      <c r="C5" s="316" t="s">
        <v>334</v>
      </c>
      <c r="D5" s="316"/>
      <c r="E5" s="316" t="s">
        <v>175</v>
      </c>
      <c r="F5" s="317"/>
      <c r="G5" s="317" t="s">
        <v>329</v>
      </c>
      <c r="H5" s="317"/>
      <c r="I5" s="132" t="s">
        <v>324</v>
      </c>
      <c r="J5" s="55" t="s">
        <v>333</v>
      </c>
      <c r="K5" s="51" t="s">
        <v>300</v>
      </c>
      <c r="L5" s="318" t="s">
        <v>298</v>
      </c>
      <c r="M5" s="319"/>
      <c r="N5" s="132" t="s">
        <v>299</v>
      </c>
      <c r="O5" s="133" t="s">
        <v>298</v>
      </c>
      <c r="R5" s="17"/>
      <c r="S5" s="17"/>
      <c r="T5" s="17"/>
      <c r="U5" s="17"/>
      <c r="V5" s="17"/>
      <c r="W5" s="17"/>
      <c r="X5" s="17"/>
      <c r="Y5" s="17"/>
    </row>
    <row r="6" spans="2:25" s="3" customFormat="1" ht="27.65" customHeight="1" x14ac:dyDescent="0.25">
      <c r="B6" s="43" t="s">
        <v>308</v>
      </c>
      <c r="C6" s="44"/>
      <c r="D6" s="10"/>
      <c r="E6" s="10"/>
      <c r="F6" s="10"/>
      <c r="G6" s="10"/>
      <c r="H6" s="10"/>
      <c r="I6" s="10"/>
      <c r="J6" s="10"/>
      <c r="K6" s="10"/>
      <c r="L6" s="10"/>
      <c r="M6" s="10"/>
      <c r="N6" s="10"/>
      <c r="O6" s="13"/>
      <c r="P6" s="14"/>
    </row>
    <row r="7" spans="2:25" s="3" customFormat="1" ht="57" customHeight="1" x14ac:dyDescent="0.25">
      <c r="B7" s="9"/>
      <c r="C7" s="10"/>
      <c r="D7" s="10"/>
      <c r="E7" s="10"/>
      <c r="F7" s="10"/>
      <c r="G7"/>
      <c r="H7" s="10"/>
      <c r="I7" s="10"/>
      <c r="J7" s="10"/>
      <c r="K7" s="10"/>
      <c r="L7" s="10"/>
      <c r="M7" s="10"/>
      <c r="N7" s="10"/>
      <c r="O7" s="13"/>
      <c r="P7" s="14"/>
    </row>
    <row r="8" spans="2:25" s="3" customFormat="1" ht="209.25" customHeight="1" x14ac:dyDescent="0.25">
      <c r="B8" s="9"/>
      <c r="C8" s="10"/>
      <c r="D8" s="10"/>
      <c r="E8" s="10"/>
      <c r="F8" s="10"/>
      <c r="G8" s="10"/>
      <c r="H8" s="10"/>
      <c r="I8" s="10"/>
      <c r="J8" s="10"/>
      <c r="K8" s="10"/>
      <c r="L8" s="10"/>
      <c r="M8" s="10"/>
      <c r="N8" s="10"/>
      <c r="O8" s="13"/>
      <c r="P8" s="136"/>
    </row>
    <row r="9" spans="2:25" s="3" customFormat="1" ht="73.5" customHeight="1" x14ac:dyDescent="0.25">
      <c r="B9" s="9"/>
      <c r="C9" s="10"/>
      <c r="D9" s="10"/>
      <c r="E9" s="10"/>
      <c r="F9" s="10"/>
      <c r="G9" s="10"/>
      <c r="H9" s="10"/>
      <c r="I9" s="10"/>
      <c r="J9" s="10"/>
      <c r="K9" s="10"/>
      <c r="L9" s="10"/>
      <c r="M9" s="10"/>
      <c r="N9" s="10"/>
      <c r="O9" s="13"/>
      <c r="P9" s="14"/>
    </row>
    <row r="10" spans="2:25" s="3" customFormat="1" ht="193.5" customHeight="1" x14ac:dyDescent="0.25">
      <c r="B10" s="9"/>
      <c r="C10" s="10"/>
      <c r="D10" s="10"/>
      <c r="E10" s="10"/>
      <c r="F10" s="10"/>
      <c r="G10" s="10"/>
      <c r="H10" s="10"/>
      <c r="I10" s="10"/>
      <c r="J10" s="10"/>
      <c r="K10" s="10"/>
      <c r="L10" s="10"/>
      <c r="M10" s="10"/>
      <c r="N10" s="10"/>
      <c r="O10" s="13"/>
      <c r="P10" s="14"/>
    </row>
    <row r="11" spans="2:25" s="3" customFormat="1" ht="23.5" customHeight="1" x14ac:dyDescent="0.25">
      <c r="B11" s="149" t="s">
        <v>352</v>
      </c>
      <c r="C11" s="150"/>
      <c r="D11" s="150"/>
      <c r="E11" s="150"/>
      <c r="F11" s="150"/>
      <c r="G11" s="150"/>
      <c r="H11" s="10"/>
      <c r="I11" s="45" t="s">
        <v>353</v>
      </c>
      <c r="J11" s="44"/>
      <c r="K11" s="44"/>
      <c r="L11" s="44"/>
      <c r="M11" s="44"/>
      <c r="N11" s="44"/>
      <c r="O11" s="13"/>
      <c r="P11" s="14"/>
    </row>
    <row r="12" spans="2:25" s="3" customFormat="1" ht="15.65" customHeight="1" x14ac:dyDescent="0.25">
      <c r="B12" s="151" t="s">
        <v>154</v>
      </c>
      <c r="C12" s="320" t="s">
        <v>155</v>
      </c>
      <c r="D12" s="320"/>
      <c r="E12" s="320"/>
      <c r="F12" s="320" t="s">
        <v>156</v>
      </c>
      <c r="G12" s="320"/>
      <c r="H12" s="10"/>
      <c r="I12" s="143" t="s">
        <v>154</v>
      </c>
      <c r="J12" s="321" t="s">
        <v>155</v>
      </c>
      <c r="K12" s="321"/>
      <c r="L12" s="321"/>
      <c r="M12" s="321" t="s">
        <v>156</v>
      </c>
      <c r="N12" s="321"/>
      <c r="O12" s="13"/>
      <c r="P12" s="14"/>
    </row>
    <row r="13" spans="2:25" s="3" customFormat="1" ht="15.65" customHeight="1" x14ac:dyDescent="0.25">
      <c r="B13" s="152">
        <v>1</v>
      </c>
      <c r="C13" s="322" t="s">
        <v>157</v>
      </c>
      <c r="D13" s="323"/>
      <c r="E13" s="323"/>
      <c r="F13" s="324" t="s">
        <v>158</v>
      </c>
      <c r="G13" s="325"/>
      <c r="H13" s="10"/>
      <c r="I13" s="46">
        <v>1</v>
      </c>
      <c r="J13" s="326" t="s">
        <v>159</v>
      </c>
      <c r="K13" s="326"/>
      <c r="L13" s="326"/>
      <c r="M13" s="327" t="s">
        <v>158</v>
      </c>
      <c r="N13" s="328"/>
      <c r="O13" s="13"/>
      <c r="P13" s="14"/>
    </row>
    <row r="14" spans="2:25" s="3" customFormat="1" ht="15.65" customHeight="1" x14ac:dyDescent="0.25">
      <c r="B14" s="152">
        <v>2</v>
      </c>
      <c r="C14" s="322" t="s">
        <v>160</v>
      </c>
      <c r="D14" s="323"/>
      <c r="E14" s="323"/>
      <c r="F14" s="329" t="s">
        <v>161</v>
      </c>
      <c r="G14" s="330"/>
      <c r="H14" s="10"/>
      <c r="I14" s="46">
        <v>2</v>
      </c>
      <c r="J14" s="326" t="s">
        <v>162</v>
      </c>
      <c r="K14" s="326"/>
      <c r="L14" s="326"/>
      <c r="M14" s="331" t="s">
        <v>161</v>
      </c>
      <c r="N14" s="332"/>
      <c r="O14" s="13"/>
      <c r="P14" s="14"/>
    </row>
    <row r="15" spans="2:25" s="3" customFormat="1" ht="110.15" customHeight="1" x14ac:dyDescent="0.25">
      <c r="B15" s="135" t="s">
        <v>75</v>
      </c>
      <c r="C15" s="333" t="s">
        <v>76</v>
      </c>
      <c r="D15" s="333"/>
      <c r="E15" s="333"/>
      <c r="F15" s="333"/>
      <c r="G15" s="333"/>
      <c r="H15" s="333"/>
      <c r="I15" s="334"/>
      <c r="J15" s="334"/>
      <c r="K15" s="334"/>
      <c r="L15" s="334"/>
      <c r="M15" s="334"/>
      <c r="N15" s="334"/>
      <c r="O15" s="334"/>
      <c r="P15" s="14"/>
    </row>
    <row r="16" spans="2:25" s="3" customFormat="1" ht="29.15" customHeight="1" x14ac:dyDescent="0.25">
      <c r="B16" s="260" t="s">
        <v>77</v>
      </c>
      <c r="C16" s="263"/>
      <c r="D16" s="263"/>
      <c r="E16" s="260" t="s">
        <v>288</v>
      </c>
      <c r="F16" s="260"/>
      <c r="G16" s="260" t="s">
        <v>79</v>
      </c>
      <c r="H16" s="260"/>
      <c r="I16" s="248" t="s">
        <v>303</v>
      </c>
      <c r="J16" s="249"/>
      <c r="K16" s="249"/>
      <c r="L16" s="250"/>
      <c r="M16" s="248" t="s">
        <v>304</v>
      </c>
      <c r="N16" s="250"/>
      <c r="O16" s="123" t="s">
        <v>307</v>
      </c>
      <c r="P16" s="14"/>
    </row>
    <row r="17" spans="2:16" s="3" customFormat="1" ht="30.65" customHeight="1" x14ac:dyDescent="0.25">
      <c r="B17" s="264" t="s">
        <v>325</v>
      </c>
      <c r="C17" s="263"/>
      <c r="D17" s="263"/>
      <c r="E17" s="338" t="s">
        <v>364</v>
      </c>
      <c r="F17" s="339"/>
      <c r="G17" s="340" t="s">
        <v>314</v>
      </c>
      <c r="H17" s="341"/>
      <c r="I17" s="335" t="s">
        <v>372</v>
      </c>
      <c r="J17" s="336"/>
      <c r="K17" s="336"/>
      <c r="L17" s="337"/>
      <c r="M17" s="251" t="s">
        <v>305</v>
      </c>
      <c r="N17" s="252"/>
      <c r="O17" s="124" t="s">
        <v>313</v>
      </c>
      <c r="P17" s="14"/>
    </row>
    <row r="18" spans="2:16" s="3" customFormat="1" x14ac:dyDescent="0.25">
      <c r="B18" s="10"/>
      <c r="C18" s="10"/>
      <c r="D18" s="10"/>
      <c r="E18" s="10"/>
      <c r="F18" s="10"/>
      <c r="G18" s="10"/>
      <c r="H18" s="10"/>
      <c r="I18" s="10"/>
      <c r="J18" s="10"/>
      <c r="K18" s="10"/>
      <c r="L18" s="10"/>
      <c r="M18" s="10"/>
      <c r="N18" s="10"/>
      <c r="O18" s="10"/>
      <c r="P18" s="14"/>
    </row>
    <row r="19" spans="2:16" s="3" customFormat="1" x14ac:dyDescent="0.25">
      <c r="B19" s="10"/>
      <c r="C19" s="10"/>
      <c r="D19" s="10"/>
      <c r="E19" s="10"/>
      <c r="F19" s="10"/>
      <c r="G19" s="10"/>
      <c r="H19" s="10"/>
      <c r="I19" s="10"/>
      <c r="J19" s="10"/>
      <c r="K19" s="10"/>
      <c r="L19" s="10"/>
      <c r="M19" s="10"/>
      <c r="N19" s="10"/>
      <c r="O19" s="10"/>
      <c r="P19" s="14"/>
    </row>
    <row r="20" spans="2:16" s="3" customFormat="1" x14ac:dyDescent="0.25">
      <c r="B20" s="10"/>
      <c r="C20" s="10"/>
      <c r="D20" s="10"/>
      <c r="E20" s="10"/>
      <c r="F20" s="10"/>
      <c r="G20" s="10"/>
      <c r="H20" s="10"/>
      <c r="I20" s="10"/>
      <c r="J20" s="10"/>
      <c r="K20" s="10"/>
      <c r="L20" s="10"/>
      <c r="M20" s="10"/>
      <c r="N20" s="10"/>
      <c r="O20" s="10"/>
      <c r="P20" s="14"/>
    </row>
    <row r="21" spans="2:16" s="3" customFormat="1" x14ac:dyDescent="0.25">
      <c r="B21" s="10"/>
      <c r="C21" s="10"/>
      <c r="D21" s="10"/>
      <c r="E21" s="10"/>
      <c r="F21" s="10"/>
      <c r="G21" s="10"/>
      <c r="H21" s="10"/>
      <c r="I21" s="10"/>
      <c r="J21" s="10"/>
      <c r="K21" s="10"/>
      <c r="L21" s="10"/>
      <c r="M21" s="10"/>
      <c r="N21" s="10"/>
      <c r="O21" s="10"/>
      <c r="P21" s="14"/>
    </row>
  </sheetData>
  <sheetProtection formatCells="0" formatRows="0" insertColumns="0" insertRows="0" insertHyperlinks="0" deleteColumns="0" deleteRows="0" sort="0" autoFilter="0" pivotTables="0"/>
  <protectedRanges>
    <protectedRange sqref="O1" name="区域1_1"/>
  </protectedRanges>
  <mergeCells count="36">
    <mergeCell ref="I16:L16"/>
    <mergeCell ref="I17:L17"/>
    <mergeCell ref="M16:N16"/>
    <mergeCell ref="M17:N17"/>
    <mergeCell ref="B17:D17"/>
    <mergeCell ref="E17:F17"/>
    <mergeCell ref="G17:H17"/>
    <mergeCell ref="B16:D16"/>
    <mergeCell ref="E16:F16"/>
    <mergeCell ref="G16:H16"/>
    <mergeCell ref="C14:E14"/>
    <mergeCell ref="F14:G14"/>
    <mergeCell ref="J14:L14"/>
    <mergeCell ref="M14:N14"/>
    <mergeCell ref="C15:O15"/>
    <mergeCell ref="C12:E12"/>
    <mergeCell ref="F12:G12"/>
    <mergeCell ref="J12:L12"/>
    <mergeCell ref="M12:N12"/>
    <mergeCell ref="C13:E13"/>
    <mergeCell ref="F13:G13"/>
    <mergeCell ref="J13:L13"/>
    <mergeCell ref="M13:N13"/>
    <mergeCell ref="B4:D4"/>
    <mergeCell ref="E4:J4"/>
    <mergeCell ref="K4:L4"/>
    <mergeCell ref="M4:O4"/>
    <mergeCell ref="C5:D5"/>
    <mergeCell ref="E5:F5"/>
    <mergeCell ref="G5:H5"/>
    <mergeCell ref="L5:M5"/>
    <mergeCell ref="B1:D1"/>
    <mergeCell ref="M1:O1"/>
    <mergeCell ref="B2:J3"/>
    <mergeCell ref="K2:L2"/>
    <mergeCell ref="K3:L3"/>
  </mergeCells>
  <phoneticPr fontId="42" type="noConversion"/>
  <printOptions horizontalCentered="1" verticalCentered="1"/>
  <pageMargins left="7.874015748031496E-2" right="7.874015748031496E-2" top="0.3543307086614173" bottom="0.39370078740157483" header="0.19685039370078741" footer="0.19685039370078741"/>
  <pageSetup paperSize="9" scale="83" fitToHeight="0" orientation="landscape" r:id="rId1"/>
  <headerFooter alignWithMargins="0">
    <oddHeader>&amp;LPM240707-013&amp;C&amp;K132C2E负极合浆工序控制计划&amp;R&amp;K132C2E版本号：B2</oddHeader>
    <oddFooter>&amp;L&amp;14&amp;K000000&amp;C&amp;K130c0e第 &amp;P 页，共 &amp;N 页&amp;R&amp;14&amp;K000000</oddFooter>
  </headerFooter>
  <rowBreaks count="1" manualBreakCount="1">
    <brk id="8" min="1"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workbookViewId="0">
      <selection activeCell="I20" sqref="I20"/>
    </sheetView>
  </sheetViews>
  <sheetFormatPr defaultRowHeight="14" x14ac:dyDescent="0.25"/>
  <cols>
    <col min="9" max="9" width="44" customWidth="1"/>
    <col min="10" max="10" width="11.6328125" customWidth="1"/>
    <col min="11" max="11" width="19.90625" customWidth="1"/>
  </cols>
  <sheetData>
    <row r="1" spans="1:12" ht="14.5" thickBot="1" x14ac:dyDescent="0.3">
      <c r="A1" s="75"/>
    </row>
    <row r="2" spans="1:12" ht="18" thickBot="1" x14ac:dyDescent="0.3">
      <c r="A2" s="342" t="s">
        <v>248</v>
      </c>
      <c r="B2" s="343"/>
      <c r="C2" s="343"/>
      <c r="D2" s="343"/>
      <c r="E2" s="343"/>
      <c r="F2" s="343"/>
      <c r="G2" s="343"/>
      <c r="H2" s="343"/>
      <c r="I2" s="343"/>
      <c r="J2" s="343"/>
      <c r="K2" s="343"/>
      <c r="L2" s="344"/>
    </row>
    <row r="3" spans="1:12" x14ac:dyDescent="0.25">
      <c r="A3" s="76" t="s">
        <v>87</v>
      </c>
      <c r="B3" s="77" t="s">
        <v>88</v>
      </c>
      <c r="C3" s="77" t="s">
        <v>89</v>
      </c>
      <c r="D3" s="77" t="s">
        <v>90</v>
      </c>
      <c r="E3" s="77" t="s">
        <v>218</v>
      </c>
      <c r="F3" s="77" t="s">
        <v>91</v>
      </c>
      <c r="G3" s="77" t="s">
        <v>92</v>
      </c>
      <c r="H3" s="77" t="s">
        <v>93</v>
      </c>
      <c r="I3" s="77" t="s">
        <v>94</v>
      </c>
      <c r="J3" s="77" t="s">
        <v>96</v>
      </c>
      <c r="K3" s="78" t="s">
        <v>219</v>
      </c>
      <c r="L3" s="78" t="s">
        <v>95</v>
      </c>
    </row>
    <row r="4" spans="1:12" x14ac:dyDescent="0.25">
      <c r="A4" s="79">
        <v>1</v>
      </c>
      <c r="B4" s="61" t="s">
        <v>97</v>
      </c>
      <c r="C4" s="62" t="s">
        <v>220</v>
      </c>
      <c r="D4" s="80">
        <f>C25</f>
        <v>150</v>
      </c>
      <c r="E4" s="63">
        <f>D4*0.5%</f>
        <v>0.75</v>
      </c>
      <c r="F4" s="61" t="s">
        <v>22</v>
      </c>
      <c r="G4" s="61" t="s">
        <v>22</v>
      </c>
      <c r="H4" s="61" t="s">
        <v>22</v>
      </c>
      <c r="I4" s="61" t="s">
        <v>221</v>
      </c>
      <c r="J4" s="61" t="s">
        <v>167</v>
      </c>
      <c r="K4" s="345" t="s">
        <v>222</v>
      </c>
      <c r="L4" s="81">
        <v>1</v>
      </c>
    </row>
    <row r="5" spans="1:12" x14ac:dyDescent="0.25">
      <c r="A5" s="79">
        <v>2</v>
      </c>
      <c r="B5" s="61" t="s">
        <v>97</v>
      </c>
      <c r="C5" s="62" t="s">
        <v>208</v>
      </c>
      <c r="D5" s="80">
        <f>F25</f>
        <v>0.93360995850622408</v>
      </c>
      <c r="E5" s="63">
        <f t="shared" ref="E5:E8" si="0">D5*1%</f>
        <v>9.3360995850622405E-3</v>
      </c>
      <c r="F5" s="61" t="s">
        <v>22</v>
      </c>
      <c r="G5" s="61" t="s">
        <v>22</v>
      </c>
      <c r="H5" s="61" t="s">
        <v>22</v>
      </c>
      <c r="I5" s="61" t="s">
        <v>221</v>
      </c>
      <c r="J5" s="61" t="s">
        <v>223</v>
      </c>
      <c r="K5" s="345"/>
      <c r="L5" s="81">
        <v>1</v>
      </c>
    </row>
    <row r="6" spans="1:12" x14ac:dyDescent="0.25">
      <c r="A6" s="79">
        <v>3</v>
      </c>
      <c r="B6" s="61" t="s">
        <v>98</v>
      </c>
      <c r="C6" s="62" t="s">
        <v>224</v>
      </c>
      <c r="D6" s="80">
        <f>G25</f>
        <v>1.0147934331589392</v>
      </c>
      <c r="E6" s="63">
        <f t="shared" si="0"/>
        <v>1.0147934331589392E-2</v>
      </c>
      <c r="F6" s="61">
        <v>25</v>
      </c>
      <c r="G6" s="61">
        <v>900</v>
      </c>
      <c r="H6" s="61">
        <v>15</v>
      </c>
      <c r="I6" s="61" t="s">
        <v>221</v>
      </c>
      <c r="J6" s="61" t="s">
        <v>167</v>
      </c>
      <c r="K6" s="345"/>
      <c r="L6" s="81">
        <f>(D4+D5+D6*92%)/SUM(D4:D6)</f>
        <v>0.99946571682991991</v>
      </c>
    </row>
    <row r="7" spans="1:12" x14ac:dyDescent="0.25">
      <c r="A7" s="79">
        <v>4</v>
      </c>
      <c r="B7" s="61" t="s">
        <v>97</v>
      </c>
      <c r="C7" s="82" t="str">
        <f>E21</f>
        <v>LA134D</v>
      </c>
      <c r="D7" s="80">
        <f>E25</f>
        <v>38.900414937759336</v>
      </c>
      <c r="E7" s="63">
        <f t="shared" si="0"/>
        <v>0.38900414937759337</v>
      </c>
      <c r="F7" s="61" t="s">
        <v>22</v>
      </c>
      <c r="G7" s="61" t="s">
        <v>22</v>
      </c>
      <c r="H7" s="61" t="s">
        <v>22</v>
      </c>
      <c r="I7" s="61" t="s">
        <v>221</v>
      </c>
      <c r="J7" s="61" t="s">
        <v>223</v>
      </c>
      <c r="K7" s="83"/>
      <c r="L7" s="84">
        <f>SUM(D4,D5,D6*G23,D7*E23)/SUM(D4:D7)</f>
        <v>0.80389932647997164</v>
      </c>
    </row>
    <row r="8" spans="1:12" x14ac:dyDescent="0.25">
      <c r="A8" s="79">
        <v>4</v>
      </c>
      <c r="B8" s="61" t="s">
        <v>98</v>
      </c>
      <c r="C8" s="62" t="s">
        <v>225</v>
      </c>
      <c r="D8" s="80">
        <v>38</v>
      </c>
      <c r="E8" s="63">
        <f t="shared" si="0"/>
        <v>0.38</v>
      </c>
      <c r="F8" s="61">
        <v>11</v>
      </c>
      <c r="G8" s="61" t="s">
        <v>22</v>
      </c>
      <c r="H8" s="61">
        <v>10</v>
      </c>
      <c r="I8" s="61" t="s">
        <v>221</v>
      </c>
      <c r="J8" s="61" t="s">
        <v>226</v>
      </c>
      <c r="K8" s="85"/>
      <c r="L8" s="346">
        <f>(D4+D5+D6*G23+D7*E23)/SUM(D4:D8)</f>
        <v>0.67041305974179133</v>
      </c>
    </row>
    <row r="9" spans="1:12" x14ac:dyDescent="0.25">
      <c r="A9" s="79">
        <v>5</v>
      </c>
      <c r="B9" s="61" t="s">
        <v>205</v>
      </c>
      <c r="C9" s="64" t="s">
        <v>223</v>
      </c>
      <c r="D9" s="80" t="s">
        <v>167</v>
      </c>
      <c r="E9" s="63" t="s">
        <v>226</v>
      </c>
      <c r="F9" s="61">
        <v>20</v>
      </c>
      <c r="G9" s="61" t="s">
        <v>22</v>
      </c>
      <c r="H9" s="61">
        <v>20</v>
      </c>
      <c r="I9" s="61" t="s">
        <v>221</v>
      </c>
      <c r="J9" s="61" t="s">
        <v>223</v>
      </c>
      <c r="K9" s="85"/>
      <c r="L9" s="347"/>
    </row>
    <row r="10" spans="1:12" x14ac:dyDescent="0.25">
      <c r="A10" s="79">
        <v>6</v>
      </c>
      <c r="B10" s="61" t="s">
        <v>227</v>
      </c>
      <c r="C10" s="64" t="s">
        <v>223</v>
      </c>
      <c r="D10" s="80" t="s">
        <v>226</v>
      </c>
      <c r="E10" s="63" t="s">
        <v>167</v>
      </c>
      <c r="F10" s="61">
        <v>20</v>
      </c>
      <c r="G10" s="61" t="s">
        <v>22</v>
      </c>
      <c r="H10" s="61">
        <v>30</v>
      </c>
      <c r="I10" s="61" t="s">
        <v>221</v>
      </c>
      <c r="J10" s="64" t="s">
        <v>228</v>
      </c>
      <c r="K10" s="86" t="s">
        <v>229</v>
      </c>
      <c r="L10" s="348"/>
    </row>
    <row r="11" spans="1:12" x14ac:dyDescent="0.25">
      <c r="A11" s="79">
        <v>8</v>
      </c>
      <c r="B11" s="61" t="s">
        <v>230</v>
      </c>
      <c r="C11" s="64" t="s">
        <v>99</v>
      </c>
      <c r="D11" s="80">
        <v>25</v>
      </c>
      <c r="E11" s="65">
        <f t="shared" ref="E11:E15" si="1">D11*1%</f>
        <v>0.25</v>
      </c>
      <c r="F11" s="61" t="s">
        <v>22</v>
      </c>
      <c r="G11" s="61" t="s">
        <v>22</v>
      </c>
      <c r="H11" s="61" t="s">
        <v>22</v>
      </c>
      <c r="I11" s="61" t="s">
        <v>221</v>
      </c>
      <c r="J11" s="87" t="s">
        <v>223</v>
      </c>
      <c r="K11" s="88"/>
      <c r="L11" s="81">
        <f>(D4+D5+D6*G23+D7*E23)/SUM(D4:D11)</f>
        <v>0.60438822415719318</v>
      </c>
    </row>
    <row r="12" spans="1:12" x14ac:dyDescent="0.25">
      <c r="A12" s="79">
        <v>9</v>
      </c>
      <c r="B12" s="61" t="s">
        <v>98</v>
      </c>
      <c r="C12" s="64" t="s">
        <v>231</v>
      </c>
      <c r="D12" s="80">
        <f>I25</f>
        <v>0.6</v>
      </c>
      <c r="E12" s="65">
        <f>D12*1%</f>
        <v>6.0000000000000001E-3</v>
      </c>
      <c r="F12" s="66">
        <v>20</v>
      </c>
      <c r="G12" s="66">
        <v>900</v>
      </c>
      <c r="H12" s="66">
        <v>5</v>
      </c>
      <c r="I12" s="61" t="s">
        <v>221</v>
      </c>
      <c r="J12" s="64" t="s">
        <v>232</v>
      </c>
      <c r="K12" s="88"/>
      <c r="L12" s="81">
        <f>(D4+D5+D6*G23+D7*E23)/SUM(D4:D12)</f>
        <v>0.60296305371672831</v>
      </c>
    </row>
    <row r="13" spans="1:12" x14ac:dyDescent="0.25">
      <c r="A13" s="79">
        <v>10</v>
      </c>
      <c r="B13" s="61" t="s">
        <v>233</v>
      </c>
      <c r="C13" s="64" t="s">
        <v>226</v>
      </c>
      <c r="D13" s="80" t="s">
        <v>226</v>
      </c>
      <c r="E13" s="65" t="s">
        <v>226</v>
      </c>
      <c r="F13" s="66">
        <v>25</v>
      </c>
      <c r="G13" s="66">
        <v>1600</v>
      </c>
      <c r="H13" s="66">
        <v>25</v>
      </c>
      <c r="I13" s="61" t="s">
        <v>221</v>
      </c>
      <c r="J13" s="64" t="s">
        <v>234</v>
      </c>
      <c r="K13" s="88"/>
      <c r="L13" s="81" t="s">
        <v>226</v>
      </c>
    </row>
    <row r="14" spans="1:12" x14ac:dyDescent="0.25">
      <c r="A14" s="79">
        <v>11</v>
      </c>
      <c r="B14" s="61" t="s">
        <v>98</v>
      </c>
      <c r="C14" s="64" t="s">
        <v>99</v>
      </c>
      <c r="D14" s="89">
        <v>27</v>
      </c>
      <c r="E14" s="65">
        <f t="shared" si="1"/>
        <v>0.27</v>
      </c>
      <c r="F14" s="66">
        <v>25</v>
      </c>
      <c r="G14" s="66">
        <v>1600</v>
      </c>
      <c r="H14" s="66">
        <v>30</v>
      </c>
      <c r="I14" s="61" t="s">
        <v>221</v>
      </c>
      <c r="J14" s="64" t="s">
        <v>228</v>
      </c>
      <c r="K14" s="90"/>
      <c r="L14" s="91">
        <f>(D4+D5+D6*G23+D7*E23)/SUM(D4:D14)</f>
        <v>0.54511949073080523</v>
      </c>
    </row>
    <row r="15" spans="1:12" ht="25" customHeight="1" x14ac:dyDescent="0.25">
      <c r="A15" s="79">
        <v>12</v>
      </c>
      <c r="B15" s="61" t="s">
        <v>98</v>
      </c>
      <c r="C15" s="61" t="s">
        <v>235</v>
      </c>
      <c r="D15" s="65">
        <f>D25</f>
        <v>10.892116182572614</v>
      </c>
      <c r="E15" s="65">
        <f t="shared" si="1"/>
        <v>0.10892116182572614</v>
      </c>
      <c r="F15" s="66">
        <v>25</v>
      </c>
      <c r="G15" s="66">
        <v>800</v>
      </c>
      <c r="H15" s="66">
        <v>30</v>
      </c>
      <c r="I15" s="61" t="s">
        <v>221</v>
      </c>
      <c r="J15" s="64" t="s">
        <v>228</v>
      </c>
      <c r="K15" s="92" t="s">
        <v>236</v>
      </c>
      <c r="L15" s="81">
        <f>(D4+D5+D6*G23+D7*E23+D15*D23)/SUM(D4:D15)</f>
        <v>0.53226093708286937</v>
      </c>
    </row>
    <row r="16" spans="1:12" x14ac:dyDescent="0.25">
      <c r="A16" s="79">
        <v>13</v>
      </c>
      <c r="B16" s="61" t="s">
        <v>100</v>
      </c>
      <c r="C16" s="64" t="s">
        <v>99</v>
      </c>
      <c r="D16" s="93"/>
      <c r="E16" s="65"/>
      <c r="F16" s="66">
        <v>25</v>
      </c>
      <c r="G16" s="66">
        <v>800</v>
      </c>
      <c r="H16" s="66">
        <v>30</v>
      </c>
      <c r="I16" s="61" t="s">
        <v>221</v>
      </c>
      <c r="J16" s="64" t="s">
        <v>228</v>
      </c>
      <c r="K16" s="86"/>
      <c r="L16" s="81"/>
    </row>
    <row r="17" spans="1:12" ht="14.5" thickBot="1" x14ac:dyDescent="0.3">
      <c r="A17" s="94">
        <v>14</v>
      </c>
      <c r="B17" s="95" t="s">
        <v>237</v>
      </c>
      <c r="C17" s="95" t="s">
        <v>22</v>
      </c>
      <c r="D17" s="96" t="s">
        <v>22</v>
      </c>
      <c r="E17" s="96" t="s">
        <v>167</v>
      </c>
      <c r="F17" s="97">
        <v>15</v>
      </c>
      <c r="G17" s="98" t="s">
        <v>167</v>
      </c>
      <c r="H17" s="99"/>
      <c r="I17" s="95" t="s">
        <v>221</v>
      </c>
      <c r="J17" s="100" t="s">
        <v>228</v>
      </c>
      <c r="K17" s="101" t="s">
        <v>238</v>
      </c>
      <c r="L17" s="102"/>
    </row>
    <row r="18" spans="1:12" x14ac:dyDescent="0.25">
      <c r="A18" s="103"/>
      <c r="B18" s="103"/>
      <c r="C18" s="103"/>
      <c r="D18" s="103"/>
      <c r="E18" s="103"/>
      <c r="F18" s="103"/>
      <c r="G18" s="103"/>
      <c r="H18" s="103"/>
      <c r="I18" s="103"/>
      <c r="J18" s="103"/>
      <c r="K18" s="103"/>
      <c r="L18" s="103"/>
    </row>
    <row r="19" spans="1:12" x14ac:dyDescent="0.25">
      <c r="A19" s="103"/>
      <c r="B19" s="103"/>
      <c r="C19" s="103"/>
      <c r="D19" s="103"/>
      <c r="E19" s="103"/>
      <c r="F19" s="103"/>
      <c r="G19" s="103"/>
      <c r="H19" s="103"/>
      <c r="I19" s="103"/>
      <c r="J19" s="103"/>
      <c r="K19" s="103"/>
      <c r="L19" s="103"/>
    </row>
    <row r="20" spans="1:12" x14ac:dyDescent="0.25">
      <c r="A20" s="103"/>
      <c r="B20" s="103"/>
      <c r="C20" s="103"/>
      <c r="D20" s="104"/>
      <c r="E20" s="105"/>
      <c r="F20" s="105"/>
      <c r="G20" s="106"/>
      <c r="H20" s="106"/>
      <c r="I20" s="106"/>
      <c r="J20" s="103"/>
      <c r="K20" s="103"/>
      <c r="L20" s="103"/>
    </row>
    <row r="21" spans="1:12" x14ac:dyDescent="0.25">
      <c r="A21" s="103"/>
      <c r="B21" s="103"/>
      <c r="C21" s="104" t="s">
        <v>239</v>
      </c>
      <c r="D21" s="105" t="s">
        <v>235</v>
      </c>
      <c r="E21" s="105" t="s">
        <v>240</v>
      </c>
      <c r="F21" s="105" t="s">
        <v>241</v>
      </c>
      <c r="G21" s="106" t="s">
        <v>242</v>
      </c>
      <c r="H21" s="106" t="s">
        <v>243</v>
      </c>
      <c r="I21" s="106" t="s">
        <v>231</v>
      </c>
      <c r="J21" s="103"/>
      <c r="K21" s="103"/>
      <c r="L21" s="103"/>
    </row>
    <row r="22" spans="1:12" x14ac:dyDescent="0.25">
      <c r="A22" s="103"/>
      <c r="B22" s="103" t="s">
        <v>244</v>
      </c>
      <c r="C22" s="105">
        <v>0.96399999999999997</v>
      </c>
      <c r="D22" s="105">
        <v>1.4E-2</v>
      </c>
      <c r="E22" s="105">
        <v>0.01</v>
      </c>
      <c r="F22" s="105">
        <v>6.0000000000000001E-3</v>
      </c>
      <c r="G22" s="105">
        <v>6.0000000000000001E-3</v>
      </c>
      <c r="H22" s="107">
        <f>SUM(C22:G22)</f>
        <v>1</v>
      </c>
      <c r="I22" s="108">
        <v>4.0000000000000001E-3</v>
      </c>
      <c r="J22" s="103"/>
      <c r="K22" s="103"/>
      <c r="L22" s="103"/>
    </row>
    <row r="23" spans="1:12" x14ac:dyDescent="0.25">
      <c r="A23" s="103"/>
      <c r="B23" s="103" t="s">
        <v>245</v>
      </c>
      <c r="C23" s="105">
        <v>1</v>
      </c>
      <c r="D23" s="105">
        <v>0.2</v>
      </c>
      <c r="E23" s="105">
        <v>0.04</v>
      </c>
      <c r="F23" s="105">
        <v>1</v>
      </c>
      <c r="G23" s="105">
        <v>0.92</v>
      </c>
      <c r="H23" s="109"/>
      <c r="I23" s="106"/>
      <c r="J23" s="103"/>
      <c r="K23" s="103"/>
      <c r="L23" s="103"/>
    </row>
    <row r="24" spans="1:12" x14ac:dyDescent="0.25">
      <c r="A24" s="103"/>
      <c r="B24" s="103" t="s">
        <v>246</v>
      </c>
      <c r="C24" s="104">
        <v>150</v>
      </c>
      <c r="D24" s="110">
        <f>C24/C22*D22</f>
        <v>2.1784232365145231</v>
      </c>
      <c r="E24" s="110">
        <f>D24/D22*E22</f>
        <v>1.5560165975103735</v>
      </c>
      <c r="F24" s="110">
        <f>C24/C22*F22</f>
        <v>0.93360995850622408</v>
      </c>
      <c r="G24" s="110">
        <f>C24/C22*G22</f>
        <v>0.93360995850622408</v>
      </c>
      <c r="H24" s="109">
        <f>SUM(C24:G24)</f>
        <v>155.60165975103735</v>
      </c>
      <c r="I24" s="106"/>
      <c r="J24" s="103"/>
      <c r="K24" s="103"/>
      <c r="L24" s="103"/>
    </row>
    <row r="25" spans="1:12" x14ac:dyDescent="0.25">
      <c r="A25" s="103"/>
      <c r="B25" s="103" t="s">
        <v>247</v>
      </c>
      <c r="C25" s="104">
        <f>C24/C23</f>
        <v>150</v>
      </c>
      <c r="D25" s="110">
        <f>D24/D23</f>
        <v>10.892116182572614</v>
      </c>
      <c r="E25" s="110">
        <f>E24/E23</f>
        <v>38.900414937759336</v>
      </c>
      <c r="F25" s="110">
        <f>F24/F23</f>
        <v>0.93360995850622408</v>
      </c>
      <c r="G25" s="110">
        <f>G24/G23</f>
        <v>1.0147934331589392</v>
      </c>
      <c r="H25" s="109">
        <f>SUM(C25:G25)</f>
        <v>201.7409345119971</v>
      </c>
      <c r="I25" s="110">
        <f>C24*I22</f>
        <v>0.6</v>
      </c>
      <c r="J25" s="103"/>
      <c r="K25" s="103"/>
      <c r="L25" s="103"/>
    </row>
  </sheetData>
  <mergeCells count="3">
    <mergeCell ref="A2:L2"/>
    <mergeCell ref="K4:K6"/>
    <mergeCell ref="L8:L10"/>
  </mergeCells>
  <phoneticPr fontId="28"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24"/>
  <sheetViews>
    <sheetView showGridLines="0" topLeftCell="A4" zoomScale="80" zoomScaleNormal="80" zoomScaleSheetLayoutView="80" zoomScalePageLayoutView="80" workbookViewId="0">
      <selection activeCell="Q13" sqref="Q13"/>
    </sheetView>
  </sheetViews>
  <sheetFormatPr defaultColWidth="9" defaultRowHeight="14" x14ac:dyDescent="0.25"/>
  <cols>
    <col min="1" max="1" width="1.08984375" style="4" customWidth="1"/>
    <col min="2" max="2" width="11" style="4" customWidth="1"/>
    <col min="3" max="3" width="8.453125" style="4" customWidth="1"/>
    <col min="4" max="4" width="10.6328125" style="4" customWidth="1"/>
    <col min="5" max="5" width="5.453125" style="4" customWidth="1"/>
    <col min="6" max="6" width="8.453125" style="4" customWidth="1"/>
    <col min="7" max="7" width="8.6328125" style="4" customWidth="1"/>
    <col min="8" max="8" width="9.36328125" style="4" customWidth="1"/>
    <col min="9" max="9" width="14.90625" style="4" customWidth="1"/>
    <col min="10" max="10" width="13.08984375" style="4" customWidth="1"/>
    <col min="11" max="12" width="10.90625" style="4" customWidth="1"/>
    <col min="13" max="13" width="13.6328125" style="4" customWidth="1"/>
    <col min="14" max="14" width="15.08984375" style="5" customWidth="1"/>
    <col min="15" max="15" width="20.36328125" style="5" customWidth="1"/>
    <col min="16" max="16384" width="9" style="4"/>
  </cols>
  <sheetData>
    <row r="1" spans="2:25" s="1" customFormat="1" ht="10.5" customHeight="1" x14ac:dyDescent="0.25">
      <c r="B1" s="267"/>
      <c r="C1" s="267"/>
      <c r="D1" s="267"/>
      <c r="E1" s="52"/>
      <c r="F1" s="4"/>
      <c r="G1" s="4"/>
      <c r="H1" s="4"/>
      <c r="I1" s="11"/>
      <c r="K1" s="4"/>
      <c r="L1" s="4"/>
      <c r="M1" s="267"/>
      <c r="N1" s="267"/>
      <c r="O1" s="267"/>
    </row>
    <row r="2" spans="2:25" s="2" customFormat="1" ht="30" customHeight="1" x14ac:dyDescent="0.25">
      <c r="B2" s="354" t="s">
        <v>16</v>
      </c>
      <c r="C2" s="354"/>
      <c r="D2" s="354"/>
      <c r="E2" s="354"/>
      <c r="F2" s="354"/>
      <c r="G2" s="354"/>
      <c r="H2" s="354"/>
      <c r="I2" s="354"/>
      <c r="J2" s="354"/>
      <c r="K2" s="338" t="s">
        <v>17</v>
      </c>
      <c r="L2" s="338"/>
      <c r="M2" s="48" t="s">
        <v>191</v>
      </c>
      <c r="N2" s="56" t="s">
        <v>18</v>
      </c>
      <c r="O2" s="48" t="s">
        <v>189</v>
      </c>
    </row>
    <row r="3" spans="2:25" s="2" customFormat="1" ht="24" customHeight="1" x14ac:dyDescent="0.4">
      <c r="B3" s="354"/>
      <c r="C3" s="354"/>
      <c r="D3" s="354"/>
      <c r="E3" s="354"/>
      <c r="F3" s="354"/>
      <c r="G3" s="354"/>
      <c r="H3" s="354"/>
      <c r="I3" s="354"/>
      <c r="J3" s="354"/>
      <c r="K3" s="338" t="s">
        <v>19</v>
      </c>
      <c r="L3" s="338"/>
      <c r="M3" s="59" t="s">
        <v>20</v>
      </c>
      <c r="N3" s="56" t="s">
        <v>21</v>
      </c>
      <c r="O3" s="60" t="s">
        <v>10</v>
      </c>
      <c r="R3" s="15"/>
      <c r="S3" s="15"/>
      <c r="T3" s="15"/>
      <c r="U3" s="15"/>
      <c r="V3" s="15"/>
      <c r="W3" s="15"/>
      <c r="X3" s="15"/>
      <c r="Y3" s="15"/>
    </row>
    <row r="4" spans="2:25" s="2" customFormat="1" ht="30" customHeight="1" x14ac:dyDescent="0.4">
      <c r="B4" s="316" t="s">
        <v>170</v>
      </c>
      <c r="C4" s="316"/>
      <c r="D4" s="316"/>
      <c r="E4" s="316" t="s">
        <v>171</v>
      </c>
      <c r="F4" s="316"/>
      <c r="G4" s="316"/>
      <c r="H4" s="316"/>
      <c r="I4" s="316"/>
      <c r="J4" s="316"/>
      <c r="K4" s="260" t="s">
        <v>172</v>
      </c>
      <c r="L4" s="261"/>
      <c r="M4" s="260" t="s">
        <v>173</v>
      </c>
      <c r="N4" s="260"/>
      <c r="O4" s="260"/>
      <c r="R4" s="16"/>
      <c r="S4" s="15"/>
      <c r="T4" s="15"/>
      <c r="U4" s="15"/>
      <c r="V4" s="15"/>
      <c r="W4" s="15"/>
      <c r="X4" s="15"/>
      <c r="Y4" s="15"/>
    </row>
    <row r="5" spans="2:25" s="2" customFormat="1" ht="34.5" customHeight="1" x14ac:dyDescent="0.25">
      <c r="B5" s="57" t="s">
        <v>174</v>
      </c>
      <c r="C5" s="316" t="s">
        <v>190</v>
      </c>
      <c r="D5" s="316"/>
      <c r="E5" s="316" t="s">
        <v>175</v>
      </c>
      <c r="F5" s="317"/>
      <c r="G5" s="317" t="s">
        <v>193</v>
      </c>
      <c r="H5" s="317"/>
      <c r="I5" s="57" t="s">
        <v>176</v>
      </c>
      <c r="J5" s="55" t="s">
        <v>192</v>
      </c>
      <c r="K5" s="51" t="s">
        <v>177</v>
      </c>
      <c r="L5" s="353" t="s">
        <v>167</v>
      </c>
      <c r="M5" s="317"/>
      <c r="N5" s="57" t="s">
        <v>178</v>
      </c>
      <c r="O5" s="58" t="s">
        <v>167</v>
      </c>
      <c r="R5" s="17"/>
      <c r="S5" s="17"/>
      <c r="T5" s="17"/>
      <c r="U5" s="17"/>
      <c r="V5" s="17"/>
      <c r="W5" s="17"/>
      <c r="X5" s="17"/>
      <c r="Y5" s="17"/>
    </row>
    <row r="6" spans="2:25" s="3" customFormat="1" ht="20.149999999999999" customHeight="1" x14ac:dyDescent="0.25">
      <c r="B6" s="7"/>
      <c r="C6" s="8"/>
      <c r="D6" s="8"/>
      <c r="E6" s="8"/>
      <c r="F6" s="8"/>
      <c r="G6" s="8"/>
      <c r="H6" s="8"/>
      <c r="I6" s="8"/>
      <c r="J6" s="8"/>
      <c r="K6" s="8"/>
      <c r="L6" s="8"/>
      <c r="M6" s="8"/>
      <c r="N6" s="8"/>
      <c r="O6" s="12"/>
    </row>
    <row r="7" spans="2:25" s="3" customFormat="1" ht="20.149999999999999" customHeight="1" x14ac:dyDescent="0.25">
      <c r="B7" s="9"/>
      <c r="C7" s="10"/>
      <c r="D7" s="10"/>
      <c r="E7" s="10"/>
      <c r="F7" s="10"/>
      <c r="G7" s="10"/>
      <c r="H7" s="10"/>
      <c r="I7" s="10"/>
      <c r="J7" s="10"/>
      <c r="K7" s="10"/>
      <c r="L7" s="10"/>
      <c r="M7" s="10"/>
      <c r="N7" s="10"/>
      <c r="O7" s="13"/>
      <c r="P7" s="14"/>
    </row>
    <row r="8" spans="2:25" s="3" customFormat="1" ht="20.149999999999999" customHeight="1" x14ac:dyDescent="0.25">
      <c r="B8" s="9"/>
      <c r="C8" s="10"/>
      <c r="D8" s="10"/>
      <c r="E8" s="10"/>
      <c r="F8" s="10"/>
      <c r="G8" s="10"/>
      <c r="H8" s="10"/>
      <c r="I8" s="10"/>
      <c r="J8" s="10"/>
      <c r="K8" s="10"/>
      <c r="L8" s="10"/>
      <c r="M8" s="10"/>
      <c r="N8" s="10"/>
      <c r="O8" s="13"/>
      <c r="P8" s="14"/>
    </row>
    <row r="9" spans="2:25" s="3" customFormat="1" ht="20.149999999999999" customHeight="1" x14ac:dyDescent="0.25">
      <c r="B9" s="9"/>
      <c r="C9" s="10"/>
      <c r="D9" s="10"/>
      <c r="E9" s="10"/>
      <c r="F9" s="10"/>
      <c r="G9" s="10"/>
      <c r="H9" s="10"/>
      <c r="I9" s="10"/>
      <c r="J9" s="10"/>
      <c r="K9" s="10"/>
      <c r="L9" s="10"/>
      <c r="M9" s="10"/>
      <c r="N9" s="10"/>
      <c r="O9" s="13"/>
      <c r="P9" s="14"/>
    </row>
    <row r="10" spans="2:25" s="3" customFormat="1" ht="20.149999999999999" customHeight="1" x14ac:dyDescent="0.25">
      <c r="B10" s="9"/>
      <c r="C10" s="10"/>
      <c r="D10" s="10"/>
      <c r="E10" s="10"/>
      <c r="F10" s="10"/>
      <c r="G10" s="10"/>
      <c r="H10" s="10"/>
      <c r="I10" s="10"/>
      <c r="J10" s="10"/>
      <c r="K10" s="10"/>
      <c r="L10" s="10"/>
      <c r="M10" s="10"/>
      <c r="N10" s="10"/>
      <c r="O10" s="13"/>
      <c r="P10" s="14"/>
    </row>
    <row r="11" spans="2:25" s="3" customFormat="1" ht="20.149999999999999" customHeight="1" x14ac:dyDescent="0.25">
      <c r="B11" s="9"/>
      <c r="C11" s="10"/>
      <c r="D11" s="10"/>
      <c r="E11" s="10"/>
      <c r="F11" s="10"/>
      <c r="G11" s="10"/>
      <c r="H11" s="10"/>
      <c r="I11" s="10"/>
      <c r="J11" s="10"/>
      <c r="K11" s="10"/>
      <c r="L11" s="10"/>
      <c r="M11" s="10"/>
      <c r="N11" s="10"/>
      <c r="O11" s="13"/>
      <c r="P11" s="14"/>
    </row>
    <row r="12" spans="2:25" s="3" customFormat="1" ht="20.149999999999999" customHeight="1" x14ac:dyDescent="0.25">
      <c r="B12" s="9"/>
      <c r="C12" s="10"/>
      <c r="D12" s="10"/>
      <c r="E12" s="10"/>
      <c r="F12" s="10"/>
      <c r="G12" s="10"/>
      <c r="H12" s="10"/>
      <c r="I12" s="10"/>
      <c r="J12" s="10"/>
      <c r="K12" s="10"/>
      <c r="L12" s="10"/>
      <c r="M12" s="10"/>
      <c r="N12" s="10"/>
      <c r="O12" s="13"/>
      <c r="P12" s="14"/>
    </row>
    <row r="13" spans="2:25" s="3" customFormat="1" ht="20.149999999999999" customHeight="1" x14ac:dyDescent="0.25">
      <c r="B13" s="9"/>
      <c r="C13" s="10"/>
      <c r="D13" s="10"/>
      <c r="E13" s="10"/>
      <c r="F13" s="10"/>
      <c r="G13" s="10"/>
      <c r="H13" s="10"/>
      <c r="I13" s="10"/>
      <c r="J13" s="10"/>
      <c r="K13" s="10"/>
      <c r="L13" s="10"/>
      <c r="M13" s="10"/>
      <c r="N13" s="10"/>
      <c r="O13" s="13"/>
      <c r="P13" s="14"/>
    </row>
    <row r="14" spans="2:25" s="3" customFormat="1" ht="20.149999999999999" customHeight="1" x14ac:dyDescent="0.25">
      <c r="B14" s="9"/>
      <c r="C14" s="10"/>
      <c r="D14" s="10"/>
      <c r="E14" s="10"/>
      <c r="F14" s="10"/>
      <c r="G14" s="10"/>
      <c r="H14" s="10"/>
      <c r="I14" s="10"/>
      <c r="J14" s="10"/>
      <c r="K14" s="10"/>
      <c r="L14" s="10"/>
      <c r="M14" s="10"/>
      <c r="N14" s="10"/>
      <c r="O14" s="13"/>
      <c r="P14" s="14"/>
    </row>
    <row r="15" spans="2:25" s="3" customFormat="1" ht="20.149999999999999" customHeight="1" x14ac:dyDescent="0.25">
      <c r="B15" s="9"/>
      <c r="C15" s="10"/>
      <c r="D15" s="10"/>
      <c r="E15" s="10"/>
      <c r="F15" s="10"/>
      <c r="G15" s="10"/>
      <c r="H15" s="10"/>
      <c r="I15" s="10"/>
      <c r="J15" s="10"/>
      <c r="K15" s="10"/>
      <c r="L15" s="10"/>
      <c r="M15" s="10"/>
      <c r="N15" s="10"/>
      <c r="O15" s="13"/>
      <c r="P15" s="14"/>
    </row>
    <row r="16" spans="2:25" s="3" customFormat="1" ht="20.149999999999999" customHeight="1" x14ac:dyDescent="0.25">
      <c r="B16" s="9"/>
      <c r="C16" s="10"/>
      <c r="D16" s="10"/>
      <c r="E16" s="10"/>
      <c r="F16" s="10"/>
      <c r="G16" s="10"/>
      <c r="H16" s="10"/>
      <c r="I16" s="10"/>
      <c r="J16" s="10"/>
      <c r="K16" s="10"/>
      <c r="L16" s="10"/>
      <c r="M16" s="10"/>
      <c r="N16" s="10"/>
      <c r="O16" s="13"/>
      <c r="P16" s="14"/>
    </row>
    <row r="17" spans="2:16" s="3" customFormat="1" ht="20.149999999999999" customHeight="1" x14ac:dyDescent="0.25">
      <c r="B17" s="9"/>
      <c r="C17" s="10"/>
      <c r="D17" s="10"/>
      <c r="E17" s="10"/>
      <c r="F17" s="10"/>
      <c r="G17" s="10"/>
      <c r="H17" s="10"/>
      <c r="I17" s="10"/>
      <c r="J17" s="10"/>
      <c r="K17" s="10"/>
      <c r="L17" s="10"/>
      <c r="M17" s="10"/>
      <c r="N17" s="10"/>
      <c r="O17" s="13"/>
      <c r="P17" s="14"/>
    </row>
    <row r="18" spans="2:16" s="3" customFormat="1" ht="20.25" customHeight="1" x14ac:dyDescent="0.25">
      <c r="B18" s="43" t="s">
        <v>152</v>
      </c>
      <c r="C18" s="44"/>
      <c r="D18" s="44"/>
      <c r="E18" s="44"/>
      <c r="F18" s="44"/>
      <c r="G18" s="44"/>
      <c r="H18" s="10"/>
      <c r="I18" s="45" t="s">
        <v>153</v>
      </c>
      <c r="J18" s="44"/>
      <c r="K18" s="44"/>
      <c r="L18" s="44"/>
      <c r="M18" s="44"/>
      <c r="N18" s="44"/>
      <c r="O18" s="13"/>
    </row>
    <row r="19" spans="2:16" s="3" customFormat="1" ht="20.25" customHeight="1" x14ac:dyDescent="0.25">
      <c r="B19" s="54" t="s">
        <v>154</v>
      </c>
      <c r="C19" s="321" t="s">
        <v>155</v>
      </c>
      <c r="D19" s="321"/>
      <c r="E19" s="321"/>
      <c r="F19" s="321" t="s">
        <v>156</v>
      </c>
      <c r="G19" s="321"/>
      <c r="H19" s="10"/>
      <c r="I19" s="54" t="s">
        <v>154</v>
      </c>
      <c r="J19" s="321" t="s">
        <v>155</v>
      </c>
      <c r="K19" s="321"/>
      <c r="L19" s="321"/>
      <c r="M19" s="321" t="s">
        <v>156</v>
      </c>
      <c r="N19" s="321"/>
      <c r="O19" s="13"/>
    </row>
    <row r="20" spans="2:16" s="3" customFormat="1" ht="20.25" customHeight="1" x14ac:dyDescent="0.25">
      <c r="B20" s="46">
        <v>1</v>
      </c>
      <c r="C20" s="352" t="s">
        <v>157</v>
      </c>
      <c r="D20" s="326"/>
      <c r="E20" s="326"/>
      <c r="F20" s="327" t="s">
        <v>158</v>
      </c>
      <c r="G20" s="328"/>
      <c r="H20" s="10"/>
      <c r="I20" s="46">
        <v>1</v>
      </c>
      <c r="J20" s="326" t="s">
        <v>159</v>
      </c>
      <c r="K20" s="326"/>
      <c r="L20" s="326"/>
      <c r="M20" s="327" t="s">
        <v>158</v>
      </c>
      <c r="N20" s="328"/>
      <c r="O20" s="13"/>
    </row>
    <row r="21" spans="2:16" s="3" customFormat="1" ht="20.25" customHeight="1" x14ac:dyDescent="0.25">
      <c r="B21" s="46">
        <v>2</v>
      </c>
      <c r="C21" s="352" t="s">
        <v>160</v>
      </c>
      <c r="D21" s="326"/>
      <c r="E21" s="326"/>
      <c r="F21" s="331" t="s">
        <v>161</v>
      </c>
      <c r="G21" s="332"/>
      <c r="H21" s="10"/>
      <c r="I21" s="46">
        <v>2</v>
      </c>
      <c r="J21" s="326" t="s">
        <v>162</v>
      </c>
      <c r="K21" s="326"/>
      <c r="L21" s="326"/>
      <c r="M21" s="331" t="s">
        <v>161</v>
      </c>
      <c r="N21" s="332"/>
      <c r="O21" s="13"/>
    </row>
    <row r="22" spans="2:16" ht="100.5" customHeight="1" x14ac:dyDescent="0.25">
      <c r="B22" s="53" t="s">
        <v>75</v>
      </c>
      <c r="C22" s="334" t="s">
        <v>76</v>
      </c>
      <c r="D22" s="334"/>
      <c r="E22" s="334"/>
      <c r="F22" s="334"/>
      <c r="G22" s="334"/>
      <c r="H22" s="334"/>
      <c r="I22" s="334"/>
      <c r="J22" s="334"/>
      <c r="K22" s="334"/>
      <c r="L22" s="334"/>
      <c r="M22" s="334"/>
      <c r="N22" s="334"/>
      <c r="O22" s="334"/>
    </row>
    <row r="23" spans="2:16" ht="34.5" customHeight="1" x14ac:dyDescent="0.25">
      <c r="B23" s="260" t="s">
        <v>82</v>
      </c>
      <c r="C23" s="263"/>
      <c r="D23" s="263"/>
      <c r="E23" s="248" t="s">
        <v>83</v>
      </c>
      <c r="F23" s="250"/>
      <c r="G23" s="249" t="s">
        <v>78</v>
      </c>
      <c r="H23" s="250"/>
      <c r="I23" s="248" t="s">
        <v>84</v>
      </c>
      <c r="J23" s="250"/>
      <c r="K23" s="248" t="s">
        <v>85</v>
      </c>
      <c r="L23" s="249"/>
      <c r="M23" s="250"/>
      <c r="N23" s="248" t="s">
        <v>86</v>
      </c>
      <c r="O23" s="349"/>
    </row>
    <row r="24" spans="2:16" ht="26.25" customHeight="1" x14ac:dyDescent="0.25">
      <c r="B24" s="264" t="s">
        <v>194</v>
      </c>
      <c r="C24" s="263"/>
      <c r="D24" s="263"/>
      <c r="E24" s="338" t="s">
        <v>188</v>
      </c>
      <c r="F24" s="339"/>
      <c r="G24" s="338" t="s">
        <v>195</v>
      </c>
      <c r="H24" s="339"/>
      <c r="I24" s="340" t="s">
        <v>80</v>
      </c>
      <c r="J24" s="341"/>
      <c r="K24" s="350" t="s">
        <v>196</v>
      </c>
      <c r="L24" s="351"/>
      <c r="M24" s="351"/>
      <c r="N24" s="340" t="s">
        <v>81</v>
      </c>
      <c r="O24" s="341"/>
    </row>
  </sheetData>
  <protectedRanges>
    <protectedRange sqref="O1" name="区域1_1_1"/>
  </protectedRanges>
  <mergeCells count="38">
    <mergeCell ref="B4:D4"/>
    <mergeCell ref="E4:J4"/>
    <mergeCell ref="K4:L4"/>
    <mergeCell ref="M4:O4"/>
    <mergeCell ref="B1:D1"/>
    <mergeCell ref="M1:O1"/>
    <mergeCell ref="B2:J3"/>
    <mergeCell ref="K2:L2"/>
    <mergeCell ref="K3:L3"/>
    <mergeCell ref="C5:D5"/>
    <mergeCell ref="E5:F5"/>
    <mergeCell ref="G5:H5"/>
    <mergeCell ref="L5:M5"/>
    <mergeCell ref="C19:E19"/>
    <mergeCell ref="F19:G19"/>
    <mergeCell ref="J19:L19"/>
    <mergeCell ref="M19:N19"/>
    <mergeCell ref="C20:E20"/>
    <mergeCell ref="F20:G20"/>
    <mergeCell ref="J20:L20"/>
    <mergeCell ref="M20:N20"/>
    <mergeCell ref="C21:E21"/>
    <mergeCell ref="F21:G21"/>
    <mergeCell ref="J21:L21"/>
    <mergeCell ref="M21:N21"/>
    <mergeCell ref="N24:O24"/>
    <mergeCell ref="C22:O22"/>
    <mergeCell ref="B23:D23"/>
    <mergeCell ref="E23:F23"/>
    <mergeCell ref="G23:H23"/>
    <mergeCell ref="I23:J23"/>
    <mergeCell ref="K23:M23"/>
    <mergeCell ref="N23:O23"/>
    <mergeCell ref="B24:D24"/>
    <mergeCell ref="E24:F24"/>
    <mergeCell ref="G24:H24"/>
    <mergeCell ref="I24:J24"/>
    <mergeCell ref="K24:M24"/>
  </mergeCells>
  <phoneticPr fontId="30" type="noConversion"/>
  <pageMargins left="0.7" right="0.7" top="0.75" bottom="0.75" header="0.3" footer="0.3"/>
  <pageSetup paperSize="9" scale="82" orientation="landscape" r:id="rId1"/>
  <headerFooter>
    <oddHeader>&amp;LFHJ-（Z2-C2)-CP-L300N137B&amp;C负极合浆工序控制计划&amp;R版本号：A0</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25"/>
  <sheetViews>
    <sheetView showGridLines="0" view="pageBreakPreview" zoomScale="80" zoomScaleNormal="75" zoomScaleSheetLayoutView="80" zoomScalePageLayoutView="60" workbookViewId="0">
      <selection activeCell="O14" sqref="O14"/>
    </sheetView>
  </sheetViews>
  <sheetFormatPr defaultColWidth="9" defaultRowHeight="14" x14ac:dyDescent="0.25"/>
  <cols>
    <col min="1" max="1" width="1.08984375" style="4" customWidth="1"/>
    <col min="2" max="2" width="11" style="4" customWidth="1"/>
    <col min="3" max="3" width="8.453125" style="4" customWidth="1"/>
    <col min="4" max="4" width="10.6328125" style="4" customWidth="1"/>
    <col min="5" max="5" width="5.453125" style="4" customWidth="1"/>
    <col min="6" max="6" width="8.453125" style="4" customWidth="1"/>
    <col min="7" max="7" width="8.6328125" style="4" customWidth="1"/>
    <col min="8" max="8" width="9.36328125" style="4" customWidth="1"/>
    <col min="9" max="9" width="14.90625" style="4" customWidth="1"/>
    <col min="10" max="10" width="13.08984375" style="4" customWidth="1"/>
    <col min="11" max="12" width="10.90625" style="4" customWidth="1"/>
    <col min="13" max="13" width="13.6328125" style="4" customWidth="1"/>
    <col min="14" max="14" width="16.90625" style="5" customWidth="1"/>
    <col min="15" max="15" width="20.36328125" style="5" customWidth="1"/>
    <col min="16" max="16384" width="9" style="4"/>
  </cols>
  <sheetData>
    <row r="1" spans="2:25" s="1" customFormat="1" ht="10.5" customHeight="1" x14ac:dyDescent="0.25">
      <c r="B1" s="267"/>
      <c r="C1" s="267"/>
      <c r="D1" s="267"/>
      <c r="E1" s="67"/>
      <c r="F1" s="4"/>
      <c r="G1" s="4"/>
      <c r="H1" s="4"/>
      <c r="I1" s="11"/>
      <c r="K1" s="4"/>
      <c r="L1" s="4"/>
      <c r="M1" s="267"/>
      <c r="N1" s="267"/>
      <c r="O1" s="267"/>
    </row>
    <row r="2" spans="2:25" s="2" customFormat="1" ht="30" customHeight="1" x14ac:dyDescent="0.25">
      <c r="B2" s="354" t="s">
        <v>16</v>
      </c>
      <c r="C2" s="354"/>
      <c r="D2" s="354"/>
      <c r="E2" s="354"/>
      <c r="F2" s="354"/>
      <c r="G2" s="354"/>
      <c r="H2" s="354"/>
      <c r="I2" s="354"/>
      <c r="J2" s="354"/>
      <c r="K2" s="338" t="s">
        <v>17</v>
      </c>
      <c r="L2" s="338"/>
      <c r="M2" s="48" t="s">
        <v>199</v>
      </c>
      <c r="N2" s="68" t="s">
        <v>18</v>
      </c>
      <c r="O2" s="48" t="s">
        <v>200</v>
      </c>
    </row>
    <row r="3" spans="2:25" s="2" customFormat="1" ht="30" customHeight="1" x14ac:dyDescent="0.4">
      <c r="B3" s="354"/>
      <c r="C3" s="354"/>
      <c r="D3" s="354"/>
      <c r="E3" s="354"/>
      <c r="F3" s="354"/>
      <c r="G3" s="354"/>
      <c r="H3" s="354"/>
      <c r="I3" s="354"/>
      <c r="J3" s="354"/>
      <c r="K3" s="338" t="s">
        <v>19</v>
      </c>
      <c r="L3" s="338"/>
      <c r="M3" s="71" t="s">
        <v>20</v>
      </c>
      <c r="N3" s="68" t="s">
        <v>21</v>
      </c>
      <c r="O3" s="73" t="s">
        <v>201</v>
      </c>
      <c r="R3" s="15"/>
      <c r="S3" s="15"/>
      <c r="T3" s="15"/>
      <c r="U3" s="15"/>
      <c r="V3" s="15"/>
      <c r="W3" s="15"/>
      <c r="X3" s="15"/>
      <c r="Y3" s="15"/>
    </row>
    <row r="4" spans="2:25" s="2" customFormat="1" ht="30" customHeight="1" x14ac:dyDescent="0.4">
      <c r="B4" s="316" t="s">
        <v>170</v>
      </c>
      <c r="C4" s="316"/>
      <c r="D4" s="316"/>
      <c r="E4" s="316" t="s">
        <v>171</v>
      </c>
      <c r="F4" s="316"/>
      <c r="G4" s="316"/>
      <c r="H4" s="316"/>
      <c r="I4" s="316"/>
      <c r="J4" s="316"/>
      <c r="K4" s="260" t="s">
        <v>172</v>
      </c>
      <c r="L4" s="261"/>
      <c r="M4" s="260" t="s">
        <v>173</v>
      </c>
      <c r="N4" s="260"/>
      <c r="O4" s="260"/>
      <c r="R4" s="16"/>
      <c r="S4" s="15"/>
      <c r="T4" s="15"/>
      <c r="U4" s="15"/>
      <c r="V4" s="15"/>
      <c r="W4" s="15"/>
      <c r="X4" s="15"/>
      <c r="Y4" s="15"/>
    </row>
    <row r="5" spans="2:25" s="2" customFormat="1" ht="37.5" customHeight="1" x14ac:dyDescent="0.25">
      <c r="B5" s="69" t="s">
        <v>174</v>
      </c>
      <c r="C5" s="316" t="s">
        <v>202</v>
      </c>
      <c r="D5" s="316"/>
      <c r="E5" s="316" t="s">
        <v>175</v>
      </c>
      <c r="F5" s="317"/>
      <c r="G5" s="317" t="s">
        <v>206</v>
      </c>
      <c r="H5" s="317"/>
      <c r="I5" s="69" t="s">
        <v>176</v>
      </c>
      <c r="J5" s="55" t="s">
        <v>203</v>
      </c>
      <c r="K5" s="51" t="s">
        <v>177</v>
      </c>
      <c r="L5" s="353" t="s">
        <v>167</v>
      </c>
      <c r="M5" s="317"/>
      <c r="N5" s="69" t="s">
        <v>178</v>
      </c>
      <c r="O5" s="70" t="s">
        <v>167</v>
      </c>
      <c r="R5" s="17"/>
      <c r="S5" s="17"/>
      <c r="T5" s="17"/>
      <c r="U5" s="17"/>
      <c r="V5" s="17"/>
      <c r="W5" s="17"/>
      <c r="X5" s="17"/>
      <c r="Y5" s="17"/>
    </row>
    <row r="6" spans="2:25" s="3" customFormat="1" ht="20.149999999999999" customHeight="1" x14ac:dyDescent="0.25">
      <c r="B6" s="7"/>
      <c r="C6" s="8"/>
      <c r="D6" s="8"/>
      <c r="E6" s="8"/>
      <c r="F6" s="8"/>
      <c r="G6" s="8"/>
      <c r="H6" s="8"/>
      <c r="I6" s="8"/>
      <c r="J6" s="8"/>
      <c r="K6" s="8"/>
      <c r="L6" s="8"/>
      <c r="M6" s="8"/>
      <c r="N6" s="8"/>
      <c r="O6" s="12"/>
    </row>
    <row r="7" spans="2:25" s="3" customFormat="1" ht="20.149999999999999" customHeight="1" x14ac:dyDescent="0.25">
      <c r="B7" s="9"/>
      <c r="C7" s="10"/>
      <c r="D7" s="10"/>
      <c r="E7" s="10"/>
      <c r="F7" s="10"/>
      <c r="G7" s="10"/>
      <c r="H7" s="10"/>
      <c r="I7" s="10"/>
      <c r="J7" s="10"/>
      <c r="K7" s="10"/>
      <c r="L7" s="10"/>
      <c r="M7" s="10"/>
      <c r="N7" s="10"/>
      <c r="O7" s="13"/>
      <c r="P7" s="14"/>
    </row>
    <row r="8" spans="2:25" s="3" customFormat="1" ht="20.149999999999999" customHeight="1" x14ac:dyDescent="0.25">
      <c r="B8" s="9"/>
      <c r="C8" s="10"/>
      <c r="D8" s="10"/>
      <c r="E8" s="10"/>
      <c r="F8" s="10"/>
      <c r="G8" s="10"/>
      <c r="H8" s="10"/>
      <c r="I8" s="10"/>
      <c r="J8" s="10"/>
      <c r="K8" s="10"/>
      <c r="L8" s="10"/>
      <c r="M8" s="10"/>
      <c r="N8" s="10"/>
      <c r="O8" s="13"/>
      <c r="P8" s="14"/>
    </row>
    <row r="9" spans="2:25" s="3" customFormat="1" ht="20.149999999999999" customHeight="1" x14ac:dyDescent="0.25">
      <c r="B9" s="9"/>
      <c r="C9" s="10"/>
      <c r="D9" s="10"/>
      <c r="E9" s="10"/>
      <c r="F9" s="10"/>
      <c r="G9" s="10"/>
      <c r="H9" s="10"/>
      <c r="I9" s="10"/>
      <c r="J9" s="10"/>
      <c r="K9" s="10"/>
      <c r="L9" s="10"/>
      <c r="M9" s="10"/>
      <c r="N9" s="10"/>
      <c r="O9" s="13"/>
      <c r="P9" s="14"/>
    </row>
    <row r="10" spans="2:25" s="3" customFormat="1" ht="20.149999999999999" customHeight="1" x14ac:dyDescent="0.25">
      <c r="B10" s="9"/>
      <c r="C10" s="10"/>
      <c r="D10" s="10"/>
      <c r="E10" s="10"/>
      <c r="F10" s="10"/>
      <c r="G10" s="10"/>
      <c r="H10" s="10"/>
      <c r="I10" s="10"/>
      <c r="J10" s="10"/>
      <c r="K10" s="10"/>
      <c r="L10" s="10"/>
      <c r="M10" s="10"/>
      <c r="N10" s="10"/>
      <c r="O10" s="13"/>
      <c r="P10" s="14"/>
    </row>
    <row r="11" spans="2:25" s="3" customFormat="1" ht="20.149999999999999" customHeight="1" x14ac:dyDescent="0.25">
      <c r="B11" s="9"/>
      <c r="C11" s="10"/>
      <c r="D11" s="10"/>
      <c r="E11" s="10"/>
      <c r="F11" s="10"/>
      <c r="G11" s="10"/>
      <c r="H11" s="10"/>
      <c r="I11" s="10"/>
      <c r="J11" s="10"/>
      <c r="K11" s="10"/>
      <c r="L11" s="10"/>
      <c r="M11" s="10"/>
      <c r="N11" s="10"/>
      <c r="O11" s="13"/>
      <c r="P11" s="14"/>
    </row>
    <row r="12" spans="2:25" s="3" customFormat="1" ht="20.149999999999999" customHeight="1" x14ac:dyDescent="0.25">
      <c r="B12" s="9"/>
      <c r="C12" s="10"/>
      <c r="D12" s="10"/>
      <c r="E12" s="10"/>
      <c r="F12" s="10"/>
      <c r="G12" s="10"/>
      <c r="H12" s="10"/>
      <c r="I12" s="10"/>
      <c r="J12" s="10"/>
      <c r="K12" s="10"/>
      <c r="L12" s="10"/>
      <c r="M12" s="10"/>
      <c r="N12" s="10"/>
      <c r="O12" s="13"/>
      <c r="P12" s="14"/>
    </row>
    <row r="13" spans="2:25" s="3" customFormat="1" ht="20.149999999999999" customHeight="1" x14ac:dyDescent="0.25">
      <c r="B13" s="9"/>
      <c r="C13" s="10"/>
      <c r="D13" s="10"/>
      <c r="E13" s="10"/>
      <c r="F13" s="10"/>
      <c r="G13" s="10"/>
      <c r="H13" s="10"/>
      <c r="I13" s="10"/>
      <c r="J13" s="10"/>
      <c r="K13" s="10"/>
      <c r="L13" s="10"/>
      <c r="M13" s="10"/>
      <c r="N13" s="10"/>
      <c r="O13" s="13"/>
      <c r="P13" s="14"/>
    </row>
    <row r="14" spans="2:25" s="3" customFormat="1" ht="20.149999999999999" customHeight="1" x14ac:dyDescent="0.25">
      <c r="B14" s="9"/>
      <c r="C14" s="10"/>
      <c r="D14" s="10"/>
      <c r="E14" s="10"/>
      <c r="F14" s="10"/>
      <c r="G14" s="10"/>
      <c r="H14" s="10"/>
      <c r="I14" s="10"/>
      <c r="J14" s="10"/>
      <c r="K14" s="10"/>
      <c r="L14" s="10"/>
      <c r="M14" s="10"/>
      <c r="N14" s="10"/>
      <c r="O14" s="13"/>
      <c r="P14" s="14"/>
    </row>
    <row r="15" spans="2:25" s="3" customFormat="1" ht="20.149999999999999" customHeight="1" x14ac:dyDescent="0.25">
      <c r="B15" s="9"/>
      <c r="C15" s="10"/>
      <c r="D15" s="10"/>
      <c r="E15" s="10"/>
      <c r="F15" s="10"/>
      <c r="G15" s="10"/>
      <c r="H15" s="10"/>
      <c r="I15" s="10"/>
      <c r="J15" s="10"/>
      <c r="K15" s="10"/>
      <c r="L15" s="10"/>
      <c r="M15" s="10"/>
      <c r="N15" s="10"/>
      <c r="O15" s="13"/>
      <c r="P15" s="14"/>
    </row>
    <row r="16" spans="2:25" s="3" customFormat="1" ht="20.149999999999999" customHeight="1" x14ac:dyDescent="0.25">
      <c r="B16" s="9"/>
      <c r="C16" s="10"/>
      <c r="D16" s="10"/>
      <c r="E16" s="10"/>
      <c r="F16" s="10"/>
      <c r="G16" s="10"/>
      <c r="H16" s="10"/>
      <c r="I16" s="10"/>
      <c r="J16" s="10"/>
      <c r="K16" s="10"/>
      <c r="L16" s="10"/>
      <c r="M16" s="10"/>
      <c r="N16" s="10"/>
      <c r="O16" s="13"/>
      <c r="P16" s="14"/>
    </row>
    <row r="17" spans="2:16" s="3" customFormat="1" ht="20.149999999999999" customHeight="1" x14ac:dyDescent="0.25">
      <c r="B17" s="9"/>
      <c r="C17" s="10"/>
      <c r="D17" s="10"/>
      <c r="E17" s="10"/>
      <c r="F17" s="10"/>
      <c r="G17" s="10"/>
      <c r="H17" s="10"/>
      <c r="I17" s="10"/>
      <c r="J17" s="10"/>
      <c r="K17" s="10"/>
      <c r="L17" s="10"/>
      <c r="M17" s="10"/>
      <c r="N17" s="10"/>
      <c r="O17" s="13"/>
      <c r="P17" s="14"/>
    </row>
    <row r="18" spans="2:16" s="3" customFormat="1" ht="7" customHeight="1" x14ac:dyDescent="0.25">
      <c r="B18" s="9"/>
      <c r="C18" s="10"/>
      <c r="D18" s="10"/>
      <c r="E18" s="10"/>
      <c r="F18" s="10"/>
      <c r="G18" s="10"/>
      <c r="H18" s="10"/>
      <c r="I18" s="10"/>
      <c r="J18" s="10"/>
      <c r="K18" s="10"/>
      <c r="L18" s="10"/>
      <c r="M18" s="10"/>
      <c r="N18" s="10"/>
      <c r="O18" s="13"/>
      <c r="P18" s="14"/>
    </row>
    <row r="19" spans="2:16" s="3" customFormat="1" ht="14.5" customHeight="1" x14ac:dyDescent="0.25">
      <c r="B19" s="43" t="s">
        <v>152</v>
      </c>
      <c r="C19" s="44"/>
      <c r="D19" s="44"/>
      <c r="E19" s="44"/>
      <c r="F19" s="44"/>
      <c r="G19" s="44"/>
      <c r="H19" s="10"/>
      <c r="I19" s="45" t="s">
        <v>153</v>
      </c>
      <c r="J19" s="44"/>
      <c r="K19" s="44"/>
      <c r="L19" s="44"/>
      <c r="M19" s="44"/>
      <c r="N19" s="44"/>
      <c r="O19" s="13"/>
    </row>
    <row r="20" spans="2:16" s="3" customFormat="1" ht="20.25" customHeight="1" x14ac:dyDescent="0.25">
      <c r="B20" s="74" t="s">
        <v>154</v>
      </c>
      <c r="C20" s="321" t="s">
        <v>155</v>
      </c>
      <c r="D20" s="321"/>
      <c r="E20" s="321"/>
      <c r="F20" s="321" t="s">
        <v>156</v>
      </c>
      <c r="G20" s="321"/>
      <c r="H20" s="10"/>
      <c r="I20" s="74" t="s">
        <v>154</v>
      </c>
      <c r="J20" s="321" t="s">
        <v>155</v>
      </c>
      <c r="K20" s="321"/>
      <c r="L20" s="321"/>
      <c r="M20" s="321" t="s">
        <v>156</v>
      </c>
      <c r="N20" s="321"/>
      <c r="O20" s="13"/>
    </row>
    <row r="21" spans="2:16" s="3" customFormat="1" ht="20.25" customHeight="1" x14ac:dyDescent="0.25">
      <c r="B21" s="46">
        <v>1</v>
      </c>
      <c r="C21" s="352" t="s">
        <v>157</v>
      </c>
      <c r="D21" s="326"/>
      <c r="E21" s="326"/>
      <c r="F21" s="327" t="s">
        <v>158</v>
      </c>
      <c r="G21" s="328"/>
      <c r="H21" s="10"/>
      <c r="I21" s="46">
        <v>1</v>
      </c>
      <c r="J21" s="326" t="s">
        <v>159</v>
      </c>
      <c r="K21" s="326"/>
      <c r="L21" s="326"/>
      <c r="M21" s="327" t="s">
        <v>158</v>
      </c>
      <c r="N21" s="328"/>
      <c r="O21" s="13"/>
    </row>
    <row r="22" spans="2:16" s="3" customFormat="1" ht="13" customHeight="1" x14ac:dyDescent="0.25">
      <c r="B22" s="46">
        <v>2</v>
      </c>
      <c r="C22" s="352" t="s">
        <v>160</v>
      </c>
      <c r="D22" s="326"/>
      <c r="E22" s="326"/>
      <c r="F22" s="331" t="s">
        <v>161</v>
      </c>
      <c r="G22" s="332"/>
      <c r="H22" s="10"/>
      <c r="I22" s="46">
        <v>2</v>
      </c>
      <c r="J22" s="326" t="s">
        <v>162</v>
      </c>
      <c r="K22" s="326"/>
      <c r="L22" s="326"/>
      <c r="M22" s="331" t="s">
        <v>161</v>
      </c>
      <c r="N22" s="332"/>
      <c r="O22" s="13"/>
    </row>
    <row r="23" spans="2:16" ht="92.5" customHeight="1" x14ac:dyDescent="0.25">
      <c r="B23" s="72" t="s">
        <v>75</v>
      </c>
      <c r="C23" s="334" t="s">
        <v>76</v>
      </c>
      <c r="D23" s="334"/>
      <c r="E23" s="334"/>
      <c r="F23" s="334"/>
      <c r="G23" s="334"/>
      <c r="H23" s="334"/>
      <c r="I23" s="334"/>
      <c r="J23" s="334"/>
      <c r="K23" s="334"/>
      <c r="L23" s="334"/>
      <c r="M23" s="334"/>
      <c r="N23" s="334"/>
      <c r="O23" s="334"/>
    </row>
    <row r="24" spans="2:16" ht="27.65" customHeight="1" x14ac:dyDescent="0.25">
      <c r="B24" s="260" t="s">
        <v>82</v>
      </c>
      <c r="C24" s="263"/>
      <c r="D24" s="263"/>
      <c r="E24" s="248" t="s">
        <v>83</v>
      </c>
      <c r="F24" s="250"/>
      <c r="G24" s="249" t="s">
        <v>78</v>
      </c>
      <c r="H24" s="250"/>
      <c r="I24" s="248" t="s">
        <v>84</v>
      </c>
      <c r="J24" s="250"/>
      <c r="K24" s="248" t="s">
        <v>85</v>
      </c>
      <c r="L24" s="249"/>
      <c r="M24" s="250"/>
      <c r="N24" s="248" t="s">
        <v>86</v>
      </c>
      <c r="O24" s="349"/>
    </row>
    <row r="25" spans="2:16" ht="26.25" customHeight="1" x14ac:dyDescent="0.25">
      <c r="B25" s="264" t="s">
        <v>198</v>
      </c>
      <c r="C25" s="263"/>
      <c r="D25" s="263"/>
      <c r="E25" s="338" t="s">
        <v>188</v>
      </c>
      <c r="F25" s="339"/>
      <c r="G25" s="338" t="s">
        <v>207</v>
      </c>
      <c r="H25" s="339"/>
      <c r="I25" s="340" t="s">
        <v>80</v>
      </c>
      <c r="J25" s="341"/>
      <c r="K25" s="350" t="s">
        <v>204</v>
      </c>
      <c r="L25" s="351"/>
      <c r="M25" s="351"/>
      <c r="N25" s="340" t="s">
        <v>81</v>
      </c>
      <c r="O25" s="341"/>
    </row>
  </sheetData>
  <sheetProtection formatCells="0" formatRows="0" insertColumns="0" insertRows="0" insertHyperlinks="0" deleteColumns="0" deleteRows="0" sort="0" autoFilter="0" pivotTables="0"/>
  <protectedRanges>
    <protectedRange sqref="O1" name="区域1_1"/>
  </protectedRanges>
  <mergeCells count="38">
    <mergeCell ref="B4:D4"/>
    <mergeCell ref="E4:J4"/>
    <mergeCell ref="K4:L4"/>
    <mergeCell ref="M4:O4"/>
    <mergeCell ref="B1:D1"/>
    <mergeCell ref="M1:O1"/>
    <mergeCell ref="B2:J3"/>
    <mergeCell ref="K2:L2"/>
    <mergeCell ref="K3:L3"/>
    <mergeCell ref="C5:D5"/>
    <mergeCell ref="E5:F5"/>
    <mergeCell ref="G5:H5"/>
    <mergeCell ref="L5:M5"/>
    <mergeCell ref="C20:E20"/>
    <mergeCell ref="F20:G20"/>
    <mergeCell ref="J20:L20"/>
    <mergeCell ref="M20:N20"/>
    <mergeCell ref="C21:E21"/>
    <mergeCell ref="F21:G21"/>
    <mergeCell ref="J21:L21"/>
    <mergeCell ref="M21:N21"/>
    <mergeCell ref="C22:E22"/>
    <mergeCell ref="F22:G22"/>
    <mergeCell ref="J22:L22"/>
    <mergeCell ref="M22:N22"/>
    <mergeCell ref="N25:O25"/>
    <mergeCell ref="C23:O23"/>
    <mergeCell ref="B24:D24"/>
    <mergeCell ref="E24:F24"/>
    <mergeCell ref="G24:H24"/>
    <mergeCell ref="I24:J24"/>
    <mergeCell ref="K24:M24"/>
    <mergeCell ref="N24:O24"/>
    <mergeCell ref="B25:D25"/>
    <mergeCell ref="E25:F25"/>
    <mergeCell ref="G25:H25"/>
    <mergeCell ref="I25:J25"/>
    <mergeCell ref="K25:M25"/>
  </mergeCells>
  <phoneticPr fontId="28" type="noConversion"/>
  <printOptions horizontalCentered="1" verticalCentered="1"/>
  <pageMargins left="0" right="0" top="0.31458333333333299" bottom="0.39305555555555599" header="0.196527777777778" footer="0.196527777777778"/>
  <pageSetup paperSize="9" scale="92" fitToHeight="0" orientation="landscape" r:id="rId1"/>
  <headerFooter>
    <oddHeader>&amp;LFHJ-（Z2-C2)-CP-L194F128A&amp;C负极合浆工序控制计划&amp;R版本号：A0</oddHead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6</vt:i4>
      </vt:variant>
    </vt:vector>
  </HeadingPairs>
  <TitlesOfParts>
    <vt:vector size="13" baseType="lpstr">
      <vt:lpstr> 修订履历 </vt:lpstr>
      <vt:lpstr>负极合浆工序控制计划</vt:lpstr>
      <vt:lpstr>防错件清单</vt:lpstr>
      <vt:lpstr>负极合浆附表-300L </vt:lpstr>
      <vt:lpstr>隐藏部分</vt:lpstr>
      <vt:lpstr>负极合浆附表-100L</vt:lpstr>
      <vt:lpstr>负极合浆附表-100L </vt:lpstr>
      <vt:lpstr>' 修订履历 '!Print_Area</vt:lpstr>
      <vt:lpstr>'负极合浆附表-100L'!Print_Area</vt:lpstr>
      <vt:lpstr>'负极合浆附表-100L '!Print_Area</vt:lpstr>
      <vt:lpstr>'负极合浆附表-300L '!Print_Area</vt:lpstr>
      <vt:lpstr>负极合浆工序控制计划!Print_Area</vt:lpstr>
      <vt:lpstr>负极合浆工序控制计划!Print_Titles</vt:lpstr>
    </vt:vector>
  </TitlesOfParts>
  <Company>China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王伟</dc:creator>
  <cp:lastModifiedBy>QianJianYe钱建业(电芯工艺开发部</cp:lastModifiedBy>
  <cp:lastPrinted>2024-08-23T07:16:45Z</cp:lastPrinted>
  <dcterms:created xsi:type="dcterms:W3CDTF">2017-03-04T03:30:00Z</dcterms:created>
  <dcterms:modified xsi:type="dcterms:W3CDTF">2025-06-18T07:17:44Z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2052-11.1.0.9929</vt:lpwstr>
  </property>
</Properties>
</file>