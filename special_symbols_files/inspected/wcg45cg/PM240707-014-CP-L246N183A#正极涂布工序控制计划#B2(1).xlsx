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E:\三元项目\L246N183A-B2-6月\"/>
    </mc:Choice>
  </mc:AlternateContent>
  <bookViews>
    <workbookView xWindow="0" yWindow="0" windowWidth="28800" windowHeight="12540" tabRatio="848" activeTab="2"/>
  </bookViews>
  <sheets>
    <sheet name=" 修订履历" sheetId="38" r:id="rId1"/>
    <sheet name="正极涂布工序控制计划" sheetId="32" r:id="rId2"/>
    <sheet name="附图、附表" sheetId="39" r:id="rId3"/>
    <sheet name="防错清单" sheetId="42" r:id="rId4"/>
    <sheet name="面密度附图" sheetId="40" state="hidden" r:id="rId5"/>
    <sheet name="烘箱" sheetId="41" state="hidden" r:id="rId6"/>
  </sheets>
  <externalReferences>
    <externalReference r:id="rId7"/>
    <externalReference r:id="rId8"/>
    <externalReference r:id="rId9"/>
  </externalReferences>
  <definedNames>
    <definedName name="__B5" hidden="1">{#N/A,#N/A,FALSE,"Bare Battery F.G."}</definedName>
    <definedName name="__FAP383562" localSheetId="2">#REF!</definedName>
    <definedName name="__FAP383562">#REF!</definedName>
    <definedName name="__FCP383562" localSheetId="2">#REF!</definedName>
    <definedName name="__FCP383562">#REF!</definedName>
    <definedName name="__SK1">#N/A</definedName>
    <definedName name="__wrn1" hidden="1">{#N/A,#N/A,FALSE,"Bare Battery F.G."}</definedName>
    <definedName name="_B5" hidden="1">{#N/A,#N/A,FALSE,"Bare Battery F.G."}</definedName>
    <definedName name="_FAP383562" localSheetId="2">#REF!</definedName>
    <definedName name="_FAP383562">#REF!</definedName>
    <definedName name="_FCP383562" localSheetId="2">#REF!</definedName>
    <definedName name="_FCP383562">#REF!</definedName>
    <definedName name="_xlnm._FilterDatabase" localSheetId="1" hidden="1">正极涂布工序控制计划!$A$9:$AA$69</definedName>
    <definedName name="_SK1">#N/A</definedName>
    <definedName name="_wrn1" hidden="1">{#N/A,#N/A,FALSE,"Bare Battery F.G."}</definedName>
    <definedName name="A" localSheetId="2">#REF!</definedName>
    <definedName name="A">#REF!</definedName>
    <definedName name="abc">'[1]Equipment Req Plan'!$O:$O</definedName>
    <definedName name="abcdec" hidden="1">{#N/A,#N/A,FALSE,"Bare Battery F.G."}</definedName>
    <definedName name="ActualMonthIE" localSheetId="2">#REF!</definedName>
    <definedName name="ActualMonthIE">#REF!</definedName>
    <definedName name="ActualMonthME" localSheetId="2">#REF!</definedName>
    <definedName name="ActualMonthME">#REF!</definedName>
    <definedName name="ActualMonthPE">'[2]Equipment Req Plan'!$O:$O</definedName>
    <definedName name="ActualtimeIE" localSheetId="2">#REF!</definedName>
    <definedName name="ActualtimeIE">#REF!</definedName>
    <definedName name="ActualTimeME" localSheetId="2">#REF!</definedName>
    <definedName name="ActualTimeME">#REF!</definedName>
    <definedName name="ActualTimePE">'[2]Equipment Req Plan'!$L:$L</definedName>
    <definedName name="AL" hidden="1">{#N/A,#N/A,FALSE,"Bare Battery F.G."}</definedName>
    <definedName name="all">[3]Sheet2!$C$2:$F$529</definedName>
    <definedName name="auto" hidden="1">{#N/A,#N/A,FALSE,"Bare Battery F.G."}</definedName>
    <definedName name="B5GF" hidden="1">{#N/A,#N/A,FALSE,"Bare Battery F.G."}</definedName>
    <definedName name="capacity383562" localSheetId="2">#REF!</definedName>
    <definedName name="capacity383562">#REF!</definedName>
    <definedName name="ContentsIE" localSheetId="2">#REF!</definedName>
    <definedName name="ContentsIE">#REF!</definedName>
    <definedName name="ContentsME" localSheetId="2">#REF!</definedName>
    <definedName name="ContentsME">#REF!</definedName>
    <definedName name="ContentsPE">'[2]Equipment Req Plan'!$G:$G</definedName>
    <definedName name="cost383562" localSheetId="2">#REF!</definedName>
    <definedName name="cost383562">#REF!</definedName>
    <definedName name="fjdsk" hidden="1">{#N/A,#N/A,FALSE,"Bare Battery F.G."}</definedName>
    <definedName name="FUSE焊接" hidden="1">{#N/A,#N/A,FALSE,"Bare Battery F.G."}</definedName>
    <definedName name="LAYOUT" hidden="1">{#N/A,#N/A,FALSE,"Bare Battery F.G."}</definedName>
    <definedName name="MonthLineIE" localSheetId="2">#REF!</definedName>
    <definedName name="MonthLineIE">#REF!</definedName>
    <definedName name="MonthLineME" localSheetId="2">#REF!</definedName>
    <definedName name="MonthLineME">#REF!</definedName>
    <definedName name="MonthLinePE">'[2]Equipment Req Plan'!$N:$N</definedName>
    <definedName name="N" hidden="1">{#N/A,#N/A,FALSE,"Bare Battery F.G."}</definedName>
    <definedName name="NI" hidden="1">{#N/A,#N/A,FALSE,"Bare Battery F.G."}</definedName>
    <definedName name="opt">[3]Sheet2!$C$2:$C$529</definedName>
    <definedName name="OwnerIE" localSheetId="2">#REF!</definedName>
    <definedName name="OwnerIE">#REF!</definedName>
    <definedName name="OwnerME" localSheetId="2">#REF!</definedName>
    <definedName name="OwnerME">#REF!</definedName>
    <definedName name="OwnerPE">'[2]Equipment Req Plan'!$J:$J</definedName>
    <definedName name="_xlnm.Print_Area" localSheetId="3">防错清单!$A$1:$Q$14</definedName>
    <definedName name="_xlnm.Print_Area" localSheetId="2">附图、附表!$B$2:$O$17</definedName>
    <definedName name="_xlnm.Print_Titles" localSheetId="1">正极涂布工序控制计划!$6:$9</definedName>
    <definedName name="PROJECTCODE" localSheetId="2">#REF!</definedName>
    <definedName name="PROJECTCODE">#REF!</definedName>
    <definedName name="ProjectType" localSheetId="2">#REF!</definedName>
    <definedName name="ProjectType">#REF!</definedName>
    <definedName name="sdd" hidden="1">{#N/A,#N/A,FALSE,"Bare Battery F.G."}</definedName>
    <definedName name="SHO" hidden="1">{#N/A,#N/A,FALSE,"Bare Battery F.G."}</definedName>
    <definedName name="SHORT" hidden="1">{#N/A,#N/A,FALSE,"Bare Battery F.G."}</definedName>
    <definedName name="SK">#N/A</definedName>
    <definedName name="StatusIE" localSheetId="2">#REF!</definedName>
    <definedName name="StatusIE">#REF!</definedName>
    <definedName name="StatusME" localSheetId="2">#REF!</definedName>
    <definedName name="StatusME">#REF!</definedName>
    <definedName name="StatusPE">'[2]Equipment Req Plan'!$M:$M</definedName>
    <definedName name="TimeLineIE" localSheetId="2">#REF!</definedName>
    <definedName name="TimeLineIE">#REF!</definedName>
    <definedName name="TimeLineME" localSheetId="2">#REF!</definedName>
    <definedName name="TimeLineME">#REF!</definedName>
    <definedName name="TimeLinePE">'[2]Equipment Req Plan'!$K:$K</definedName>
    <definedName name="welding" hidden="1">{#N/A,#N/A,FALSE,"Bare Battery F.G."}</definedName>
    <definedName name="wrn.report." hidden="1">{#N/A,#N/A,FALSE,"Bare Battery F.G."}</definedName>
    <definedName name="超声波焊接" hidden="1">{#N/A,#N/A,FALSE,"Bare Battery F.G."}</definedName>
    <definedName name="焊接" hidden="1">{#N/A,#N/A,FALSE,"Bare Battery F.G."}</definedName>
    <definedName name="核算项目" localSheetId="2">#REF!</definedName>
    <definedName name="核算项目">#REF!</definedName>
    <definedName name="汇率" localSheetId="2">#REF!</definedName>
    <definedName name="汇率">#REF!</definedName>
    <definedName name="科目" localSheetId="2">#REF!</definedName>
    <definedName name="科目">#REF!</definedName>
    <definedName name="生产列1" localSheetId="2">#REF!</definedName>
    <definedName name="生产列1">#REF!</definedName>
    <definedName name="生产列11" localSheetId="2">#REF!</definedName>
    <definedName name="生产列11">#REF!</definedName>
    <definedName name="生产列15" localSheetId="2">#REF!</definedName>
    <definedName name="生产列15">#REF!</definedName>
    <definedName name="生产列16" localSheetId="2">#REF!</definedName>
    <definedName name="生产列16">#REF!</definedName>
    <definedName name="生产列17" localSheetId="2">#REF!</definedName>
    <definedName name="生产列17">#REF!</definedName>
    <definedName name="生产列19" localSheetId="2">#REF!</definedName>
    <definedName name="生产列19">#REF!</definedName>
    <definedName name="生产列2" localSheetId="2">#REF!</definedName>
    <definedName name="生产列2">#REF!</definedName>
    <definedName name="生产列20" localSheetId="2">#REF!</definedName>
    <definedName name="生产列20">#REF!</definedName>
    <definedName name="生产列3" localSheetId="2">#REF!</definedName>
    <definedName name="生产列3">#REF!</definedName>
    <definedName name="生产列4" localSheetId="2">#REF!</definedName>
    <definedName name="生产列4">#REF!</definedName>
    <definedName name="生产列5" localSheetId="2">#REF!</definedName>
    <definedName name="生产列5">#REF!</definedName>
    <definedName name="生产列6" localSheetId="2">#REF!</definedName>
    <definedName name="生产列6">#REF!</definedName>
    <definedName name="生产列7" localSheetId="2">#REF!</definedName>
    <definedName name="生产列7">#REF!</definedName>
    <definedName name="生产列8" localSheetId="2">#REF!</definedName>
    <definedName name="生产列8">#REF!</definedName>
    <definedName name="生产列9" localSheetId="2">#REF!</definedName>
    <definedName name="生产列9">#REF!</definedName>
    <definedName name="生产期" localSheetId="2">#REF!</definedName>
    <definedName name="生产期">#REF!</definedName>
    <definedName name="生产期1" localSheetId="2">#REF!</definedName>
    <definedName name="生产期1">#REF!</definedName>
    <definedName name="生产期11" localSheetId="2">#REF!</definedName>
    <definedName name="生产期11">#REF!</definedName>
    <definedName name="生产期15" localSheetId="2">#REF!</definedName>
    <definedName name="生产期15">#REF!</definedName>
    <definedName name="生产期16" localSheetId="2">#REF!</definedName>
    <definedName name="生产期16">#REF!</definedName>
    <definedName name="生产期17" localSheetId="2">#REF!</definedName>
    <definedName name="生产期17">#REF!</definedName>
    <definedName name="生产期19" localSheetId="2">#REF!</definedName>
    <definedName name="生产期19">#REF!</definedName>
    <definedName name="生产期2" localSheetId="2">#REF!</definedName>
    <definedName name="生产期2">#REF!</definedName>
    <definedName name="生产期20" localSheetId="2">#REF!</definedName>
    <definedName name="生产期20">#REF!</definedName>
    <definedName name="生产期3" localSheetId="2">#REF!</definedName>
    <definedName name="生产期3">#REF!</definedName>
    <definedName name="生产期4" localSheetId="2">#REF!</definedName>
    <definedName name="生产期4">#REF!</definedName>
    <definedName name="生产期5" localSheetId="2">#REF!</definedName>
    <definedName name="生产期5">#REF!</definedName>
    <definedName name="生产期6" localSheetId="2">#REF!</definedName>
    <definedName name="生产期6">#REF!</definedName>
    <definedName name="生产期7" localSheetId="2">#REF!</definedName>
    <definedName name="生产期7">#REF!</definedName>
    <definedName name="生产期8" localSheetId="2">#REF!</definedName>
    <definedName name="生产期8">#REF!</definedName>
    <definedName name="生产期9" localSheetId="2">#REF!</definedName>
    <definedName name="生产期9">#REF!</definedName>
  </definedNames>
  <calcPr calcId="162913"/>
</workbook>
</file>

<file path=xl/calcChain.xml><?xml version="1.0" encoding="utf-8"?>
<calcChain xmlns="http://schemas.openxmlformats.org/spreadsheetml/2006/main">
  <c r="H20" i="40" l="1"/>
  <c r="D18" i="40"/>
  <c r="E18" i="40"/>
  <c r="F18" i="40"/>
  <c r="G18" i="40"/>
  <c r="H18" i="40"/>
  <c r="I18" i="40"/>
  <c r="J18" i="40"/>
  <c r="K18" i="40"/>
  <c r="D19" i="40"/>
  <c r="E19" i="40"/>
  <c r="F19" i="40"/>
  <c r="G19" i="40"/>
  <c r="H19" i="40"/>
  <c r="I19" i="40"/>
  <c r="J19" i="40"/>
  <c r="K19" i="40"/>
  <c r="D20" i="40"/>
  <c r="E20" i="40"/>
  <c r="F20" i="40"/>
  <c r="G20" i="40"/>
  <c r="I20" i="40"/>
  <c r="J20" i="40"/>
  <c r="K20" i="40"/>
  <c r="D21" i="40"/>
  <c r="E21" i="40"/>
  <c r="F21" i="40"/>
  <c r="G21" i="40"/>
  <c r="H21" i="40"/>
  <c r="I21" i="40"/>
  <c r="J21" i="40"/>
  <c r="K21" i="40"/>
  <c r="D22" i="40"/>
  <c r="E22" i="40"/>
  <c r="F22" i="40"/>
  <c r="G22" i="40"/>
  <c r="H22" i="40"/>
  <c r="I22" i="40"/>
  <c r="J22" i="40"/>
  <c r="K22" i="40"/>
  <c r="D23" i="40"/>
  <c r="E23" i="40"/>
  <c r="F23" i="40"/>
  <c r="G23" i="40"/>
  <c r="H23" i="40"/>
  <c r="I23" i="40"/>
  <c r="J23" i="40"/>
  <c r="K23" i="40"/>
  <c r="D24" i="40"/>
  <c r="E24" i="40"/>
  <c r="F24" i="40"/>
  <c r="G24" i="40"/>
  <c r="H24" i="40"/>
  <c r="I24" i="40"/>
  <c r="J24" i="40"/>
  <c r="K24" i="40"/>
  <c r="D25" i="40"/>
  <c r="E25" i="40"/>
  <c r="F25" i="40"/>
  <c r="G25" i="40"/>
  <c r="H25" i="40"/>
  <c r="I25" i="40"/>
  <c r="J25" i="40"/>
  <c r="K25" i="40"/>
  <c r="D26" i="40"/>
  <c r="E26" i="40"/>
  <c r="F26" i="40"/>
  <c r="G26" i="40"/>
  <c r="H26" i="40"/>
  <c r="I26" i="40"/>
  <c r="J26" i="40"/>
  <c r="K26" i="40"/>
  <c r="D27" i="40"/>
  <c r="E27" i="40"/>
  <c r="F27" i="40"/>
  <c r="G27" i="40"/>
  <c r="H27" i="40"/>
  <c r="I27" i="40"/>
  <c r="J27" i="40"/>
  <c r="K27" i="40"/>
  <c r="K17" i="40"/>
  <c r="J17" i="40"/>
  <c r="I17" i="40"/>
  <c r="H17" i="40"/>
  <c r="G17" i="40"/>
  <c r="F17" i="40"/>
  <c r="E17" i="40"/>
  <c r="D17" i="40"/>
  <c r="C17" i="40"/>
  <c r="C22" i="40"/>
  <c r="C21" i="40"/>
  <c r="C20" i="40"/>
  <c r="C23" i="40"/>
  <c r="C19" i="40"/>
  <c r="C24" i="40"/>
  <c r="C18" i="40"/>
  <c r="C25" i="40"/>
  <c r="C26" i="40"/>
  <c r="C27" i="40"/>
  <c r="N22" i="40"/>
  <c r="N23" i="40"/>
  <c r="N24" i="40"/>
  <c r="N25" i="40"/>
  <c r="R22" i="40"/>
  <c r="Q21" i="40"/>
  <c r="V22" i="40"/>
  <c r="N26" i="40"/>
  <c r="N27" i="40"/>
  <c r="Q24" i="40"/>
  <c r="N21" i="40"/>
  <c r="N20" i="40"/>
  <c r="N19" i="40"/>
  <c r="N18" i="40"/>
  <c r="Q22" i="40"/>
  <c r="U22" i="40"/>
  <c r="S22" i="40"/>
  <c r="T22" i="40"/>
  <c r="O22" i="40"/>
  <c r="P22" i="40"/>
  <c r="O23" i="40"/>
  <c r="V23" i="40"/>
  <c r="U23" i="40"/>
  <c r="T23" i="40"/>
  <c r="S23" i="40"/>
  <c r="R23" i="40"/>
  <c r="Q23" i="40"/>
  <c r="P23" i="40"/>
  <c r="S21" i="40"/>
  <c r="P21" i="40"/>
  <c r="U21" i="40"/>
  <c r="T21" i="40"/>
  <c r="R21" i="40"/>
  <c r="O21" i="40"/>
  <c r="V21" i="40"/>
  <c r="U20" i="40"/>
  <c r="S20" i="40"/>
  <c r="Q20" i="40"/>
  <c r="T20" i="40"/>
  <c r="R20" i="40"/>
  <c r="O20" i="40"/>
  <c r="P20" i="40"/>
  <c r="V20" i="40"/>
  <c r="U24" i="40"/>
  <c r="T24" i="40"/>
  <c r="S24" i="40"/>
  <c r="V24" i="40"/>
  <c r="R24" i="40"/>
  <c r="P24" i="40"/>
  <c r="O24" i="40"/>
  <c r="S25" i="40"/>
  <c r="R25" i="40"/>
  <c r="Q25" i="40"/>
  <c r="O25" i="40"/>
  <c r="P25" i="40"/>
  <c r="T25" i="40"/>
  <c r="V25" i="40"/>
  <c r="U25" i="40"/>
  <c r="O19" i="40"/>
  <c r="Q19" i="40"/>
  <c r="V19" i="40"/>
  <c r="U19" i="40"/>
  <c r="P19" i="40"/>
  <c r="T19" i="40"/>
  <c r="S19" i="40"/>
  <c r="R19" i="40"/>
  <c r="Q18" i="40"/>
  <c r="P18" i="40"/>
  <c r="O18" i="40"/>
  <c r="V18" i="40"/>
  <c r="R18" i="40"/>
  <c r="U18" i="40"/>
  <c r="T18" i="40"/>
  <c r="S18" i="40"/>
  <c r="Q26" i="40"/>
  <c r="R26" i="40"/>
  <c r="P26" i="40"/>
  <c r="U26" i="40"/>
  <c r="O26" i="40"/>
  <c r="V26" i="40"/>
  <c r="T26" i="40"/>
  <c r="S26" i="40"/>
  <c r="O27" i="40"/>
  <c r="S27" i="40"/>
  <c r="V27" i="40"/>
  <c r="U27" i="40"/>
  <c r="P27" i="40"/>
  <c r="T27" i="40"/>
  <c r="R27" i="40"/>
  <c r="Q27" i="40"/>
  <c r="R19" i="41"/>
  <c r="Q19" i="41"/>
  <c r="P19" i="41"/>
  <c r="O19" i="41"/>
  <c r="N19" i="41"/>
  <c r="M19" i="41"/>
  <c r="I19" i="41"/>
  <c r="H19" i="41"/>
  <c r="G19" i="41"/>
  <c r="F19" i="41"/>
  <c r="E19" i="41"/>
  <c r="D19" i="41"/>
  <c r="R18" i="41"/>
  <c r="Q18" i="41"/>
  <c r="P18" i="41"/>
  <c r="O18" i="41"/>
  <c r="N18" i="41"/>
  <c r="M18" i="41"/>
  <c r="I18" i="41"/>
  <c r="H18" i="41"/>
  <c r="G18" i="41"/>
  <c r="F18" i="41"/>
  <c r="E18" i="41"/>
  <c r="D18" i="41"/>
  <c r="R16" i="41"/>
  <c r="Q16" i="41"/>
  <c r="P16" i="41"/>
  <c r="O16" i="41"/>
  <c r="N16" i="41"/>
  <c r="M16" i="41"/>
  <c r="I16" i="41"/>
  <c r="H16" i="41"/>
  <c r="G16" i="41"/>
  <c r="F16" i="41"/>
  <c r="E16" i="41"/>
  <c r="D16" i="41"/>
  <c r="R15" i="41"/>
  <c r="Q15" i="41"/>
  <c r="P15" i="41"/>
  <c r="O15" i="41"/>
  <c r="N15" i="41"/>
  <c r="M15" i="41"/>
  <c r="I15" i="41"/>
  <c r="H15" i="41"/>
  <c r="G15" i="41"/>
  <c r="F15" i="41"/>
  <c r="E15" i="41"/>
  <c r="D15" i="41"/>
  <c r="R10" i="41"/>
  <c r="Q10" i="41"/>
  <c r="P10" i="41"/>
  <c r="O10" i="41"/>
  <c r="N10" i="41"/>
  <c r="M10" i="41"/>
  <c r="I10" i="41"/>
  <c r="H10" i="41"/>
  <c r="G10" i="41"/>
  <c r="F10" i="41"/>
  <c r="E10" i="41"/>
  <c r="D10" i="41"/>
  <c r="R9" i="41"/>
  <c r="Q9" i="41"/>
  <c r="P9" i="41"/>
  <c r="O9" i="41"/>
  <c r="N9" i="41"/>
  <c r="M9" i="41"/>
  <c r="I9" i="41"/>
  <c r="H9" i="41"/>
  <c r="G9" i="41"/>
  <c r="F9" i="41"/>
  <c r="E9" i="41"/>
  <c r="D9" i="41"/>
  <c r="R7" i="41"/>
  <c r="Q7" i="41"/>
  <c r="P7" i="41"/>
  <c r="O7" i="41"/>
  <c r="N7" i="41"/>
  <c r="M7" i="41"/>
  <c r="I7" i="41"/>
  <c r="H7" i="41"/>
  <c r="G7" i="41"/>
  <c r="F7" i="41"/>
  <c r="E7" i="41"/>
  <c r="D7" i="41"/>
  <c r="R6" i="41"/>
  <c r="Q6" i="41"/>
  <c r="P6" i="41"/>
  <c r="O6" i="41"/>
  <c r="N6" i="41"/>
  <c r="M6" i="41"/>
  <c r="I6" i="41"/>
  <c r="H6" i="41"/>
  <c r="G6" i="41"/>
  <c r="F6" i="41"/>
  <c r="E6" i="41"/>
  <c r="D6" i="41"/>
</calcChain>
</file>

<file path=xl/sharedStrings.xml><?xml version="1.0" encoding="utf-8"?>
<sst xmlns="http://schemas.openxmlformats.org/spreadsheetml/2006/main" count="1005" uniqueCount="471">
  <si>
    <t>生效日期</t>
  </si>
  <si>
    <t>有效日期</t>
  </si>
  <si>
    <t>至下次变更之前</t>
  </si>
  <si>
    <r>
      <rPr>
        <b/>
        <sz val="16"/>
        <rFont val="Times New Roman"/>
        <family val="1"/>
      </rPr>
      <t xml:space="preserve"> </t>
    </r>
    <r>
      <rPr>
        <b/>
        <sz val="16"/>
        <rFont val="宋体"/>
        <family val="3"/>
        <charset val="134"/>
      </rPr>
      <t>修订履历</t>
    </r>
  </si>
  <si>
    <t>序号</t>
  </si>
  <si>
    <t>版本</t>
  </si>
  <si>
    <r>
      <rPr>
        <sz val="12"/>
        <rFont val="宋体"/>
        <family val="3"/>
        <charset val="134"/>
      </rPr>
      <t>变更内容</t>
    </r>
  </si>
  <si>
    <r>
      <rPr>
        <sz val="12"/>
        <rFont val="宋体"/>
        <family val="3"/>
        <charset val="134"/>
      </rPr>
      <t>修订人</t>
    </r>
  </si>
  <si>
    <r>
      <rPr>
        <sz val="12"/>
        <rFont val="宋体"/>
        <family val="3"/>
        <charset val="134"/>
      </rPr>
      <t>修订日期</t>
    </r>
  </si>
  <si>
    <t>文件发放</t>
  </si>
  <si>
    <t>发放部门</t>
  </si>
  <si>
    <r>
      <rPr>
        <sz val="12"/>
        <rFont val="宋体"/>
        <family val="3"/>
        <charset val="134"/>
      </rPr>
      <t>发放产线</t>
    </r>
    <r>
      <rPr>
        <sz val="12"/>
        <rFont val="Times New Roman"/>
        <family val="1"/>
      </rPr>
      <t>/</t>
    </r>
    <r>
      <rPr>
        <sz val="12"/>
        <rFont val="宋体"/>
        <family val="3"/>
        <charset val="134"/>
      </rPr>
      <t>室</t>
    </r>
  </si>
  <si>
    <t>发放工位</t>
  </si>
  <si>
    <t>正极涂布工序控制计划
Control Plan of  Cathode coating</t>
  </si>
  <si>
    <r>
      <rPr>
        <b/>
        <sz val="10"/>
        <color theme="1"/>
        <rFont val="宋体"/>
        <family val="3"/>
        <charset val="134"/>
      </rPr>
      <t xml:space="preserve">型号
</t>
    </r>
    <r>
      <rPr>
        <b/>
        <sz val="10"/>
        <color theme="1"/>
        <rFont val="Times New Roman"/>
        <family val="1"/>
      </rPr>
      <t>Model</t>
    </r>
  </si>
  <si>
    <r>
      <rPr>
        <b/>
        <sz val="10"/>
        <color theme="1"/>
        <rFont val="宋体"/>
        <family val="3"/>
        <charset val="134"/>
      </rPr>
      <t xml:space="preserve">文件代号
</t>
    </r>
    <r>
      <rPr>
        <b/>
        <sz val="10"/>
        <color theme="1"/>
        <rFont val="Times New Roman"/>
        <family val="1"/>
      </rPr>
      <t>File NO.</t>
    </r>
  </si>
  <si>
    <r>
      <rPr>
        <b/>
        <sz val="10"/>
        <color theme="1"/>
        <rFont val="宋体"/>
        <family val="3"/>
        <charset val="134"/>
      </rPr>
      <t xml:space="preserve">工序名称
</t>
    </r>
    <r>
      <rPr>
        <b/>
        <sz val="10"/>
        <color theme="1"/>
        <rFont val="Times New Roman"/>
        <family val="1"/>
      </rPr>
      <t>Process Name</t>
    </r>
  </si>
  <si>
    <t>正极涂布</t>
  </si>
  <si>
    <r>
      <rPr>
        <b/>
        <sz val="10"/>
        <color theme="1"/>
        <rFont val="宋体"/>
        <family val="3"/>
        <charset val="134"/>
      </rPr>
      <t xml:space="preserve">发行版次
</t>
    </r>
    <r>
      <rPr>
        <b/>
        <sz val="10"/>
        <color theme="1"/>
        <rFont val="Times New Roman"/>
        <family val="1"/>
      </rPr>
      <t>REV.</t>
    </r>
  </si>
  <si>
    <r>
      <rPr>
        <b/>
        <sz val="10"/>
        <color theme="1"/>
        <rFont val="宋体"/>
        <family val="3"/>
        <charset val="134"/>
      </rPr>
      <t xml:space="preserve">阶段
</t>
    </r>
    <r>
      <rPr>
        <b/>
        <sz val="10"/>
        <color theme="1"/>
        <rFont val="Times New Roman"/>
        <family val="1"/>
      </rPr>
      <t>Stage</t>
    </r>
  </si>
  <si>
    <r>
      <rPr>
        <b/>
        <sz val="10"/>
        <color theme="1"/>
        <rFont val="宋体"/>
        <family val="3"/>
        <charset val="134"/>
      </rPr>
      <t>适用厂区</t>
    </r>
    <r>
      <rPr>
        <b/>
        <sz val="10"/>
        <color theme="1"/>
        <rFont val="Times New Roman"/>
        <family val="1"/>
      </rPr>
      <t>/</t>
    </r>
    <r>
      <rPr>
        <b/>
        <sz val="10"/>
        <color theme="1"/>
        <rFont val="宋体"/>
        <family val="3"/>
        <charset val="134"/>
      </rPr>
      <t xml:space="preserve">产线
</t>
    </r>
    <r>
      <rPr>
        <b/>
        <sz val="10"/>
        <color theme="1"/>
        <rFont val="Times New Roman"/>
        <family val="1"/>
      </rPr>
      <t>Applicable Factory/Line</t>
    </r>
  </si>
  <si>
    <r>
      <rPr>
        <b/>
        <sz val="10"/>
        <color theme="1"/>
        <rFont val="宋体"/>
        <family val="3"/>
        <charset val="134"/>
      </rPr>
      <t xml:space="preserve">项目名称
</t>
    </r>
    <r>
      <rPr>
        <b/>
        <sz val="10"/>
        <color theme="1"/>
        <rFont val="Times New Roman"/>
        <family val="1"/>
      </rPr>
      <t xml:space="preserve">Project </t>
    </r>
  </si>
  <si>
    <r>
      <rPr>
        <b/>
        <sz val="10"/>
        <color theme="1"/>
        <rFont val="宋体"/>
        <family val="3"/>
        <charset val="134"/>
      </rPr>
      <t xml:space="preserve">项目编号
</t>
    </r>
    <r>
      <rPr>
        <b/>
        <sz val="10"/>
        <color theme="1"/>
        <rFont val="Times New Roman"/>
        <family val="1"/>
      </rPr>
      <t>Project NO.</t>
    </r>
  </si>
  <si>
    <t xml:space="preserve">客户名称
Customer </t>
  </si>
  <si>
    <t>/</t>
  </si>
  <si>
    <r>
      <rPr>
        <b/>
        <sz val="10"/>
        <color theme="1"/>
        <rFont val="宋体"/>
        <family val="3"/>
        <charset val="134"/>
      </rPr>
      <t>顾客批准</t>
    </r>
    <r>
      <rPr>
        <b/>
        <sz val="10"/>
        <color theme="1"/>
        <rFont val="Times New Roman"/>
        <family val="1"/>
      </rPr>
      <t>/</t>
    </r>
    <r>
      <rPr>
        <b/>
        <sz val="10"/>
        <color theme="1"/>
        <rFont val="宋体"/>
        <family val="3"/>
        <charset val="134"/>
      </rPr>
      <t xml:space="preserve">日期
</t>
    </r>
    <r>
      <rPr>
        <b/>
        <sz val="10"/>
        <color theme="1"/>
        <rFont val="Times New Roman"/>
        <family val="1"/>
      </rPr>
      <t>Customer Approval/Date</t>
    </r>
  </si>
  <si>
    <r>
      <rPr>
        <b/>
        <sz val="10"/>
        <color theme="1"/>
        <rFont val="宋体"/>
        <family val="3"/>
        <charset val="134"/>
      </rPr>
      <t xml:space="preserve">过程编号
</t>
    </r>
    <r>
      <rPr>
        <b/>
        <sz val="10"/>
        <color theme="1"/>
        <rFont val="Times New Roman"/>
        <family val="1"/>
      </rPr>
      <t>Process No.</t>
    </r>
  </si>
  <si>
    <r>
      <rPr>
        <b/>
        <sz val="10"/>
        <color theme="1"/>
        <rFont val="宋体"/>
        <family val="3"/>
        <charset val="134"/>
      </rPr>
      <t xml:space="preserve">过程名称
</t>
    </r>
    <r>
      <rPr>
        <b/>
        <sz val="10"/>
        <color theme="1"/>
        <rFont val="Times New Roman"/>
        <family val="1"/>
      </rPr>
      <t>Process</t>
    </r>
  </si>
  <si>
    <r>
      <rPr>
        <b/>
        <sz val="10"/>
        <color theme="1"/>
        <rFont val="宋体"/>
        <family val="3"/>
        <charset val="134"/>
      </rPr>
      <t>生产设备</t>
    </r>
    <r>
      <rPr>
        <b/>
        <sz val="10"/>
        <color theme="1"/>
        <rFont val="Times New Roman"/>
        <family val="1"/>
      </rPr>
      <t xml:space="preserve">
</t>
    </r>
    <r>
      <rPr>
        <b/>
        <sz val="10"/>
        <color theme="1"/>
        <rFont val="宋体"/>
        <family val="3"/>
        <charset val="134"/>
      </rPr>
      <t xml:space="preserve">工装模具
</t>
    </r>
    <r>
      <rPr>
        <b/>
        <sz val="10"/>
        <color theme="1"/>
        <rFont val="Times New Roman"/>
        <family val="1"/>
      </rPr>
      <t>Machine/Tooling/Jig</t>
    </r>
  </si>
  <si>
    <r>
      <rPr>
        <b/>
        <sz val="10"/>
        <color theme="1"/>
        <rFont val="宋体"/>
        <family val="3"/>
        <charset val="134"/>
      </rPr>
      <t xml:space="preserve">特性
</t>
    </r>
    <r>
      <rPr>
        <b/>
        <sz val="10"/>
        <color theme="1"/>
        <rFont val="Times New Roman"/>
        <family val="1"/>
      </rPr>
      <t>characteristics</t>
    </r>
  </si>
  <si>
    <r>
      <rPr>
        <b/>
        <sz val="10"/>
        <color theme="1"/>
        <rFont val="宋体"/>
        <family val="3"/>
        <charset val="134"/>
      </rPr>
      <t xml:space="preserve">方法
</t>
    </r>
    <r>
      <rPr>
        <b/>
        <sz val="10"/>
        <color theme="1"/>
        <rFont val="Times New Roman"/>
        <family val="1"/>
      </rPr>
      <t>Method</t>
    </r>
  </si>
  <si>
    <r>
      <rPr>
        <b/>
        <sz val="10"/>
        <color theme="1"/>
        <rFont val="宋体"/>
        <family val="3"/>
        <charset val="134"/>
      </rPr>
      <t xml:space="preserve">反应计划
</t>
    </r>
    <r>
      <rPr>
        <b/>
        <sz val="10"/>
        <color theme="1"/>
        <rFont val="Times New Roman"/>
        <family val="1"/>
      </rPr>
      <t xml:space="preserve">Reaction plan </t>
    </r>
  </si>
  <si>
    <r>
      <rPr>
        <b/>
        <sz val="10"/>
        <color theme="1"/>
        <rFont val="宋体"/>
        <family val="3"/>
        <charset val="134"/>
      </rPr>
      <t xml:space="preserve">编号
</t>
    </r>
    <r>
      <rPr>
        <b/>
        <sz val="10"/>
        <color theme="1"/>
        <rFont val="Times New Roman"/>
        <family val="1"/>
      </rPr>
      <t>No.</t>
    </r>
  </si>
  <si>
    <r>
      <rPr>
        <b/>
        <sz val="10"/>
        <color theme="1"/>
        <rFont val="宋体"/>
        <family val="3"/>
        <charset val="134"/>
      </rPr>
      <t xml:space="preserve">产品
</t>
    </r>
    <r>
      <rPr>
        <b/>
        <sz val="10"/>
        <color theme="1"/>
        <rFont val="Times New Roman"/>
        <family val="1"/>
      </rPr>
      <t>Products</t>
    </r>
  </si>
  <si>
    <r>
      <rPr>
        <b/>
        <sz val="10"/>
        <color theme="1"/>
        <rFont val="宋体"/>
        <family val="3"/>
        <charset val="134"/>
      </rPr>
      <t xml:space="preserve">过程
</t>
    </r>
    <r>
      <rPr>
        <b/>
        <sz val="10"/>
        <color theme="1"/>
        <rFont val="Times New Roman"/>
        <family val="1"/>
      </rPr>
      <t>Process</t>
    </r>
  </si>
  <si>
    <r>
      <rPr>
        <b/>
        <sz val="10"/>
        <color theme="1"/>
        <rFont val="宋体"/>
        <family val="3"/>
        <charset val="134"/>
      </rPr>
      <t xml:space="preserve">特殊特性分类
</t>
    </r>
    <r>
      <rPr>
        <b/>
        <sz val="10"/>
        <color theme="1"/>
        <rFont val="Times New Roman"/>
        <family val="1"/>
      </rPr>
      <t>Classification</t>
    </r>
  </si>
  <si>
    <r>
      <rPr>
        <b/>
        <sz val="10"/>
        <color theme="1"/>
        <rFont val="宋体"/>
        <family val="3"/>
        <charset val="134"/>
      </rPr>
      <t>产品</t>
    </r>
    <r>
      <rPr>
        <b/>
        <sz val="10"/>
        <color theme="1"/>
        <rFont val="Times New Roman"/>
        <family val="1"/>
      </rPr>
      <t>/</t>
    </r>
    <r>
      <rPr>
        <b/>
        <sz val="10"/>
        <color theme="1"/>
        <rFont val="宋体"/>
        <family val="3"/>
        <charset val="134"/>
      </rPr>
      <t>过程产品</t>
    </r>
    <r>
      <rPr>
        <b/>
        <sz val="10"/>
        <color theme="1"/>
        <rFont val="Times New Roman"/>
        <family val="1"/>
      </rPr>
      <t>/</t>
    </r>
    <r>
      <rPr>
        <b/>
        <sz val="10"/>
        <color theme="1"/>
        <rFont val="宋体"/>
        <family val="3"/>
        <charset val="134"/>
      </rPr>
      <t>过程规范</t>
    </r>
    <r>
      <rPr>
        <b/>
        <sz val="10"/>
        <color theme="1"/>
        <rFont val="Times New Roman"/>
        <family val="1"/>
      </rPr>
      <t>/</t>
    </r>
    <r>
      <rPr>
        <b/>
        <sz val="10"/>
        <color theme="1"/>
        <rFont val="宋体"/>
        <family val="3"/>
        <charset val="134"/>
      </rPr>
      <t xml:space="preserve">公差
</t>
    </r>
    <r>
      <rPr>
        <b/>
        <sz val="10"/>
        <color theme="1"/>
        <rFont val="Times New Roman"/>
        <family val="1"/>
      </rPr>
      <t>Specification/Tolerance</t>
    </r>
  </si>
  <si>
    <r>
      <rPr>
        <b/>
        <sz val="10"/>
        <color theme="1"/>
        <rFont val="宋体"/>
        <family val="3"/>
        <charset val="134"/>
      </rPr>
      <t>评价</t>
    </r>
    <r>
      <rPr>
        <b/>
        <sz val="10"/>
        <color theme="1"/>
        <rFont val="Times New Roman"/>
        <family val="1"/>
      </rPr>
      <t>/</t>
    </r>
    <r>
      <rPr>
        <b/>
        <sz val="10"/>
        <color theme="1"/>
        <rFont val="宋体"/>
        <family val="3"/>
        <charset val="134"/>
      </rPr>
      <t xml:space="preserve">测量技术
</t>
    </r>
    <r>
      <rPr>
        <b/>
        <sz val="10"/>
        <color theme="1"/>
        <rFont val="Times New Roman"/>
        <family val="1"/>
      </rPr>
      <t>Evaluation/Measurement</t>
    </r>
  </si>
  <si>
    <r>
      <rPr>
        <b/>
        <sz val="10"/>
        <color theme="1"/>
        <rFont val="宋体"/>
        <family val="3"/>
        <charset val="134"/>
      </rPr>
      <t xml:space="preserve">控制方法
</t>
    </r>
    <r>
      <rPr>
        <b/>
        <sz val="10"/>
        <color theme="1"/>
        <rFont val="Times New Roman"/>
        <family val="1"/>
      </rPr>
      <t>Control Method</t>
    </r>
  </si>
  <si>
    <t>OP400</t>
  </si>
  <si>
    <t xml:space="preserve">来料确认 </t>
  </si>
  <si>
    <t>所用浆料配方型号</t>
  </si>
  <si>
    <t>浆料产品签署卡</t>
  </si>
  <si>
    <t>使用前确认1次</t>
  </si>
  <si>
    <t>每罐</t>
  </si>
  <si>
    <t>1、暂停生产
2、更换合格的正极浆料</t>
  </si>
  <si>
    <t>铝箔宽度</t>
  </si>
  <si>
    <t>菲林尺（0.1mm）</t>
  </si>
  <si>
    <t>每卷</t>
  </si>
  <si>
    <t>1、隔离物料
2、通知质检按照不合格品处理流程处理</t>
  </si>
  <si>
    <t>万分尺
（0.1μm）</t>
  </si>
  <si>
    <t>铝箔表面质量</t>
  </si>
  <si>
    <t>无污渍、无褶皱、无波浪纹</t>
  </si>
  <si>
    <t>目视</t>
  </si>
  <si>
    <t>1次</t>
  </si>
  <si>
    <t>OP405</t>
  </si>
  <si>
    <t>正极涂布工序环境控制</t>
  </si>
  <si>
    <t xml:space="preserve">温度 </t>
  </si>
  <si>
    <t>(23.0±5.0)℃</t>
  </si>
  <si>
    <t>温湿度计</t>
  </si>
  <si>
    <t>1、暂停生产
2、通知动力运行调整空调系统，待环境恢复后启用
3、对异常品进行追溯隔离，通知工程师</t>
  </si>
  <si>
    <t>湿度</t>
  </si>
  <si>
    <t>≤20.0%RH</t>
  </si>
  <si>
    <t>洁净度</t>
  </si>
  <si>
    <t>每班</t>
  </si>
  <si>
    <t>OP410</t>
  </si>
  <si>
    <t>极耳胶缓存时间</t>
  </si>
  <si>
    <t>极耳胶储存罐</t>
  </si>
  <si>
    <t>缓存时间≤72h</t>
  </si>
  <si>
    <t>每釜</t>
  </si>
  <si>
    <r>
      <rPr>
        <sz val="10"/>
        <color theme="1"/>
        <rFont val="宋体"/>
        <family val="3"/>
        <charset val="134"/>
        <scheme val="minor"/>
      </rPr>
      <t>1</t>
    </r>
    <r>
      <rPr>
        <sz val="10"/>
        <color theme="1"/>
        <rFont val="宋体"/>
        <family val="3"/>
        <charset val="134"/>
      </rPr>
      <t>、对超期极耳胶进行隔离
2、通知质检按照不合格品处理流程处理</t>
    </r>
  </si>
  <si>
    <t>正极涂布机</t>
  </si>
  <si>
    <t>涂布速度</t>
  </si>
  <si>
    <t>伺服电机</t>
  </si>
  <si>
    <t>1、通知设备工程师进行原因排查分析
2、通知工艺工程师进行判定</t>
  </si>
  <si>
    <t>烘箱温度</t>
  </si>
  <si>
    <t>见附表1</t>
  </si>
  <si>
    <t>温度传感器</t>
  </si>
  <si>
    <t xml:space="preserve">烘箱风速
</t>
  </si>
  <si>
    <t>风机</t>
  </si>
  <si>
    <t>模头间隙</t>
  </si>
  <si>
    <t>间隙表</t>
  </si>
  <si>
    <t>极耳胶泵速</t>
  </si>
  <si>
    <t>☆</t>
  </si>
  <si>
    <t>放卷
（张力）</t>
  </si>
  <si>
    <t>张力传感器</t>
  </si>
  <si>
    <t>后托
（张力）</t>
  </si>
  <si>
    <t>收卷
（张力）</t>
  </si>
  <si>
    <t>单面极耳胶厚度</t>
  </si>
  <si>
    <t>1、对不合格品进行标识隔离、通知质检按照不合格品处理流程进行处理
2、操作人员调整涂胶模头间隙及涂胶泵速
3、调整完成后对产品进行取样检验，持续两次合格后恢复成常规检验</t>
  </si>
  <si>
    <t>双面极耳胶厚度</t>
  </si>
  <si>
    <t>极耳胶区宽度</t>
  </si>
  <si>
    <t>1、对不合格品进行标识隔离、通知质检按照不合格品处理流程进行处理
2、操作人员调整涂胶间隙及涂胶泵速
3、调整完成后对产品进行取样检验，持续两次合格后恢复成常规检验</t>
  </si>
  <si>
    <t>涂胶区与涂覆区重叠宽度</t>
  </si>
  <si>
    <t>1、对不合格品进行标识隔离、通知质检按照不合格品处理流程进行处理
2、操作人员调整涂布模头间隙
3、调整完成后对产品进行取样检验，持续两次合格后恢复成常规检验</t>
  </si>
  <si>
    <t>两侧留白区宽度</t>
  </si>
  <si>
    <t>涂敷宽度</t>
  </si>
  <si>
    <t>极片单双面错位</t>
  </si>
  <si>
    <t>≤0.5mm</t>
  </si>
  <si>
    <t>1、对不合格品进行标识隔离、通知质检按照不合格品处理流程进行处理
2、操作人员调整涂布模头间隙及EPC
3、调整完成后对产品进行取样检验，持续两次合格后恢复成常规检验</t>
  </si>
  <si>
    <t>电子天平
（0.0001g）/β-Ray测重仪</t>
  </si>
  <si>
    <r>
      <rPr>
        <sz val="10"/>
        <color theme="1"/>
        <rFont val="Times New Roman"/>
        <family val="1"/>
      </rPr>
      <t>1</t>
    </r>
    <r>
      <rPr>
        <sz val="10"/>
        <color theme="1"/>
        <rFont val="宋体"/>
        <family val="3"/>
        <charset val="134"/>
      </rPr>
      <t xml:space="preserve">、对不合格品进行标识隔离、通知质检按照不合格品处理流程进行处理
</t>
    </r>
    <r>
      <rPr>
        <sz val="10"/>
        <color theme="1"/>
        <rFont val="Times New Roman"/>
        <family val="1"/>
      </rPr>
      <t>2</t>
    </r>
    <r>
      <rPr>
        <sz val="10"/>
        <color theme="1"/>
        <rFont val="宋体"/>
        <family val="3"/>
        <charset val="134"/>
      </rPr>
      <t xml:space="preserve">、操作人员调整涂布泵速及螺钉松紧度
</t>
    </r>
    <r>
      <rPr>
        <sz val="10"/>
        <color theme="1"/>
        <rFont val="Times New Roman"/>
        <family val="1"/>
      </rPr>
      <t>3</t>
    </r>
    <r>
      <rPr>
        <sz val="10"/>
        <color theme="1"/>
        <rFont val="宋体"/>
        <family val="3"/>
        <charset val="134"/>
      </rPr>
      <t>、调整完成后对产品进行取样检验，持续两次取样合格后恢复正常检验。</t>
    </r>
  </si>
  <si>
    <r>
      <rPr>
        <sz val="10"/>
        <color theme="1"/>
        <rFont val="Times New Roman"/>
        <family val="1"/>
      </rPr>
      <t>1</t>
    </r>
    <r>
      <rPr>
        <sz val="10"/>
        <color theme="1"/>
        <rFont val="宋体"/>
        <family val="3"/>
        <charset val="134"/>
      </rPr>
      <t xml:space="preserve">、对不合格品进行标识隔离、通知质检按照不合格品处理流程进行处理
</t>
    </r>
    <r>
      <rPr>
        <sz val="10"/>
        <color theme="1"/>
        <rFont val="Times New Roman"/>
        <family val="1"/>
      </rPr>
      <t>2</t>
    </r>
    <r>
      <rPr>
        <sz val="10"/>
        <color theme="1"/>
        <rFont val="宋体"/>
        <family val="3"/>
        <charset val="134"/>
      </rPr>
      <t xml:space="preserve">、操作人员调整涂布泵速及螺钉松紧度
</t>
    </r>
    <r>
      <rPr>
        <sz val="10"/>
        <color theme="1"/>
        <rFont val="Times New Roman"/>
        <family val="1"/>
      </rPr>
      <t>3</t>
    </r>
    <r>
      <rPr>
        <sz val="10"/>
        <color theme="1"/>
        <rFont val="宋体"/>
        <family val="3"/>
        <charset val="134"/>
      </rPr>
      <t>、调整完成后对产品进行取样检验，持续两次取样合格后恢复正常检验</t>
    </r>
  </si>
  <si>
    <r>
      <rPr>
        <sz val="10"/>
        <color theme="1"/>
        <rFont val="Times New Roman"/>
        <family val="1"/>
      </rPr>
      <t>1</t>
    </r>
    <r>
      <rPr>
        <sz val="10"/>
        <color theme="1"/>
        <rFont val="宋体"/>
        <family val="3"/>
        <charset val="134"/>
      </rPr>
      <t xml:space="preserve">、对不合格品进行标识隔离、通知质检按照不合格品处理流程进行处理；
</t>
    </r>
    <r>
      <rPr>
        <sz val="10"/>
        <color theme="1"/>
        <rFont val="Times New Roman"/>
        <family val="1"/>
      </rPr>
      <t>2</t>
    </r>
    <r>
      <rPr>
        <sz val="10"/>
        <color theme="1"/>
        <rFont val="宋体"/>
        <family val="3"/>
        <charset val="134"/>
      </rPr>
      <t xml:space="preserve">、操作人员调整涂布泵速及螺钉松紧度；
</t>
    </r>
    <r>
      <rPr>
        <sz val="10"/>
        <color theme="1"/>
        <rFont val="Times New Roman"/>
        <family val="1"/>
      </rPr>
      <t>3</t>
    </r>
    <r>
      <rPr>
        <sz val="10"/>
        <color theme="1"/>
        <rFont val="宋体"/>
        <family val="3"/>
        <charset val="134"/>
      </rPr>
      <t>、调整完成后对产品进行取样检验，持续两次取样合格后恢复正常检验。</t>
    </r>
  </si>
  <si>
    <t>单面极片厚度极差</t>
  </si>
  <si>
    <t>≤3µm</t>
  </si>
  <si>
    <t>1、对不合格品进行标识隔离、通知质检按照不合格品处理流程进行处理
2、操作人员调整涂布间隙、更换不同规格垫片
3、调整完成后对产品进行取样检验，持续两次取样合格后恢复正常检验</t>
  </si>
  <si>
    <t>双面极片厚度极差</t>
  </si>
  <si>
    <t>≤5µm</t>
  </si>
  <si>
    <r>
      <rPr>
        <sz val="10"/>
        <color theme="1"/>
        <rFont val="宋体"/>
        <family val="3"/>
        <charset val="134"/>
      </rPr>
      <t>卷尾</t>
    </r>
    <r>
      <rPr>
        <sz val="10"/>
        <color theme="1"/>
        <rFont val="Times New Roman"/>
        <family val="1"/>
      </rPr>
      <t>1</t>
    </r>
    <r>
      <rPr>
        <sz val="10"/>
        <color theme="1"/>
        <rFont val="宋体"/>
        <family val="3"/>
        <charset val="134"/>
      </rPr>
      <t>次</t>
    </r>
  </si>
  <si>
    <t>表面质量</t>
  </si>
  <si>
    <t>强光手电打光目视</t>
  </si>
  <si>
    <t>1、对不合格品进行标识隔离、通知质检按照不合格品处理流程进行处理
2、操作人员更换或清洗涂布过滤系统，重新对供料系统和涂布模头打循环
3、调整完成后对产品进行取样检验，持续两次取样合格后恢复正常检验</t>
  </si>
  <si>
    <t>面电阻仪</t>
  </si>
  <si>
    <r>
      <rPr>
        <sz val="10"/>
        <color theme="1"/>
        <rFont val="Times New Roman"/>
        <family val="1"/>
      </rPr>
      <t>1</t>
    </r>
    <r>
      <rPr>
        <sz val="10"/>
        <color theme="1"/>
        <rFont val="宋体"/>
        <family val="3"/>
        <charset val="134"/>
      </rPr>
      <t xml:space="preserve">、对不合格品进行标识隔离、通知质检按照不合格品处理流程进行处理；
</t>
    </r>
    <r>
      <rPr>
        <sz val="10"/>
        <color theme="1"/>
        <rFont val="Times New Roman"/>
        <family val="1"/>
      </rPr>
      <t>2</t>
    </r>
    <r>
      <rPr>
        <sz val="10"/>
        <color theme="1"/>
        <rFont val="宋体"/>
        <family val="3"/>
        <charset val="134"/>
      </rPr>
      <t xml:space="preserve">、通知工艺工程师排查原因；
</t>
    </r>
    <r>
      <rPr>
        <sz val="10"/>
        <color theme="1"/>
        <rFont val="Times New Roman"/>
        <family val="1"/>
      </rPr>
      <t>3</t>
    </r>
    <r>
      <rPr>
        <sz val="10"/>
        <color theme="1"/>
        <rFont val="宋体"/>
        <family val="3"/>
        <charset val="134"/>
      </rPr>
      <t>、调整完成后对产品进行收</t>
    </r>
    <r>
      <rPr>
        <sz val="10"/>
        <color theme="1"/>
        <rFont val="Times New Roman"/>
        <family val="1"/>
      </rPr>
      <t>1000</t>
    </r>
    <r>
      <rPr>
        <sz val="10"/>
        <color theme="1"/>
        <rFont val="宋体"/>
        <family val="3"/>
        <charset val="134"/>
      </rPr>
      <t>米小卷检验，持续两卷合格后恢复成常规检验。</t>
    </r>
    <r>
      <rPr>
        <sz val="10"/>
        <color theme="1"/>
        <rFont val="Times New Roman"/>
        <family val="1"/>
      </rPr>
      <t xml:space="preserve"> </t>
    </r>
  </si>
  <si>
    <r>
      <rPr>
        <sz val="10"/>
        <color theme="1"/>
        <rFont val="Times New Roman"/>
        <family val="1"/>
      </rPr>
      <t>1</t>
    </r>
    <r>
      <rPr>
        <sz val="10"/>
        <color theme="1"/>
        <rFont val="宋体"/>
        <family val="3"/>
        <charset val="134"/>
      </rPr>
      <t xml:space="preserve">、对不合格品进行标识隔离、通知质检按照不合格品处理流程进行处理；
</t>
    </r>
    <r>
      <rPr>
        <sz val="10"/>
        <color theme="1"/>
        <rFont val="Times New Roman"/>
        <family val="1"/>
      </rPr>
      <t>2</t>
    </r>
    <r>
      <rPr>
        <sz val="10"/>
        <color theme="1"/>
        <rFont val="宋体"/>
        <family val="3"/>
        <charset val="134"/>
      </rPr>
      <t xml:space="preserve">、操作人员调节烘箱温度和风速；
</t>
    </r>
    <r>
      <rPr>
        <sz val="10"/>
        <color theme="1"/>
        <rFont val="Times New Roman"/>
        <family val="1"/>
      </rPr>
      <t>3</t>
    </r>
    <r>
      <rPr>
        <sz val="10"/>
        <color theme="1"/>
        <rFont val="宋体"/>
        <family val="3"/>
        <charset val="134"/>
      </rPr>
      <t>、调整完成后对产品进行收</t>
    </r>
    <r>
      <rPr>
        <sz val="10"/>
        <color theme="1"/>
        <rFont val="Times New Roman"/>
        <family val="1"/>
      </rPr>
      <t>1000</t>
    </r>
    <r>
      <rPr>
        <sz val="10"/>
        <color theme="1"/>
        <rFont val="宋体"/>
        <family val="3"/>
        <charset val="134"/>
      </rPr>
      <t>米小卷检验，持续两卷合格后恢复成常规检验。</t>
    </r>
    <r>
      <rPr>
        <sz val="10"/>
        <color theme="1"/>
        <rFont val="Times New Roman"/>
        <family val="1"/>
      </rPr>
      <t xml:space="preserve"> </t>
    </r>
  </si>
  <si>
    <t>≤0.8%</t>
  </si>
  <si>
    <t>失重仪</t>
  </si>
  <si>
    <t xml:space="preserve">1、对不合格品进行标识隔离、通知质检按照不合格品处理流程进行处理
2、操作人员调节烘箱温度和风速
3、调整完成后对产品进行取样检验，持续两次取样合格后恢复正常检验 </t>
  </si>
  <si>
    <t>涂布后极卷储存</t>
  </si>
  <si>
    <t>存储时间</t>
  </si>
  <si>
    <t>≤72h</t>
  </si>
  <si>
    <t>极卷标识卡</t>
  </si>
  <si>
    <r>
      <rPr>
        <sz val="10"/>
        <color theme="1"/>
        <rFont val="Times New Roman"/>
        <family val="1"/>
      </rPr>
      <t>1</t>
    </r>
    <r>
      <rPr>
        <sz val="10"/>
        <color theme="1"/>
        <rFont val="宋体"/>
        <family val="3"/>
        <charset val="134"/>
      </rPr>
      <t>次</t>
    </r>
  </si>
  <si>
    <r>
      <rPr>
        <sz val="10"/>
        <color theme="1"/>
        <rFont val="Times New Roman"/>
        <family val="1"/>
      </rPr>
      <t>1</t>
    </r>
    <r>
      <rPr>
        <sz val="10"/>
        <color theme="1"/>
        <rFont val="宋体"/>
        <family val="3"/>
        <charset val="134"/>
      </rPr>
      <t xml:space="preserve">、对超期极卷进行隔离
</t>
    </r>
    <r>
      <rPr>
        <sz val="10"/>
        <color theme="1"/>
        <rFont val="Times New Roman"/>
        <family val="1"/>
      </rPr>
      <t>2</t>
    </r>
    <r>
      <rPr>
        <sz val="10"/>
        <color theme="1"/>
        <rFont val="宋体"/>
        <family val="3"/>
        <charset val="134"/>
      </rPr>
      <t>、通知质检按照不合格品处理流程处理</t>
    </r>
  </si>
  <si>
    <t>温度</t>
  </si>
  <si>
    <t>1、通知动力运行调整空调系统，待环境恢复后启用
2、对异常品进行追溯隔离，通知工程师</t>
  </si>
  <si>
    <t>备注</t>
  </si>
  <si>
    <r>
      <rPr>
        <sz val="10"/>
        <color theme="1"/>
        <rFont val="Times New Roman"/>
        <family val="1"/>
      </rPr>
      <t>1</t>
    </r>
    <r>
      <rPr>
        <sz val="10"/>
        <color theme="1"/>
        <rFont val="宋体"/>
        <family val="3"/>
        <charset val="134"/>
      </rPr>
      <t>、过程编号、过程名称、作业步骤、产品特性、过程特性的描述，在过程流程图、</t>
    </r>
    <r>
      <rPr>
        <sz val="10"/>
        <color theme="1"/>
        <rFont val="Times New Roman"/>
        <family val="1"/>
      </rPr>
      <t>PFMEA</t>
    </r>
    <r>
      <rPr>
        <sz val="10"/>
        <color theme="1"/>
        <rFont val="宋体"/>
        <family val="3"/>
        <charset val="134"/>
      </rPr>
      <t xml:space="preserve">、控制计划中应保持统一。
</t>
    </r>
    <r>
      <rPr>
        <sz val="10"/>
        <color theme="1"/>
        <rFont val="Times New Roman"/>
        <family val="1"/>
      </rPr>
      <t>1</t>
    </r>
    <r>
      <rPr>
        <sz val="10"/>
        <color theme="1"/>
        <rFont val="宋体"/>
        <family val="3"/>
        <charset val="134"/>
      </rPr>
      <t>、</t>
    </r>
    <r>
      <rPr>
        <sz val="10"/>
        <color theme="1"/>
        <rFont val="Times New Roman"/>
        <family val="1"/>
      </rPr>
      <t>Process description should be same with process flow chart, PFMEA and control plan.
2</t>
    </r>
    <r>
      <rPr>
        <sz val="10"/>
        <color theme="1"/>
        <rFont val="宋体"/>
        <family val="3"/>
        <charset val="134"/>
      </rPr>
      <t>、</t>
    </r>
    <r>
      <rPr>
        <sz val="10"/>
        <color theme="1"/>
        <rFont val="Times New Roman"/>
        <family val="1"/>
      </rPr>
      <t>“</t>
    </r>
    <r>
      <rPr>
        <sz val="10"/>
        <color theme="1"/>
        <rFont val="宋体"/>
        <family val="3"/>
        <charset val="134"/>
      </rPr>
      <t>★</t>
    </r>
    <r>
      <rPr>
        <sz val="10"/>
        <color theme="1"/>
        <rFont val="Times New Roman"/>
        <family val="1"/>
      </rPr>
      <t>”</t>
    </r>
    <r>
      <rPr>
        <sz val="10"/>
        <color theme="1"/>
        <rFont val="宋体"/>
        <family val="3"/>
        <charset val="134"/>
      </rPr>
      <t>表示产品与安全有关的特殊特性符号，关键产品参数</t>
    </r>
    <r>
      <rPr>
        <sz val="10"/>
        <color theme="1"/>
        <rFont val="Times New Roman"/>
        <family val="1"/>
      </rPr>
      <t>/</t>
    </r>
    <r>
      <rPr>
        <sz val="10"/>
        <color theme="1"/>
        <rFont val="宋体"/>
        <family val="3"/>
        <charset val="134"/>
      </rPr>
      <t>关键过程参数</t>
    </r>
    <r>
      <rPr>
        <sz val="10"/>
        <color theme="1"/>
        <rFont val="Times New Roman"/>
        <family val="1"/>
      </rPr>
      <t>/</t>
    </r>
    <r>
      <rPr>
        <sz val="10"/>
        <color theme="1"/>
        <rFont val="宋体"/>
        <family val="3"/>
        <charset val="134"/>
      </rPr>
      <t>关键工序；</t>
    </r>
    <r>
      <rPr>
        <sz val="10"/>
        <color theme="1"/>
        <rFont val="Times New Roman"/>
        <family val="1"/>
      </rPr>
      <t>“</t>
    </r>
    <r>
      <rPr>
        <sz val="10"/>
        <color theme="1"/>
        <rFont val="宋体"/>
        <family val="3"/>
        <charset val="134"/>
      </rPr>
      <t>☆</t>
    </r>
    <r>
      <rPr>
        <sz val="10"/>
        <color theme="1"/>
        <rFont val="Times New Roman"/>
        <family val="1"/>
      </rPr>
      <t>”</t>
    </r>
    <r>
      <rPr>
        <sz val="10"/>
        <color theme="1"/>
        <rFont val="宋体"/>
        <family val="3"/>
        <charset val="134"/>
      </rPr>
      <t>表示产品与安全无关的特殊特性符号，重要产品参数</t>
    </r>
    <r>
      <rPr>
        <sz val="10"/>
        <color theme="1"/>
        <rFont val="Times New Roman"/>
        <family val="1"/>
      </rPr>
      <t>/</t>
    </r>
    <r>
      <rPr>
        <sz val="10"/>
        <color theme="1"/>
        <rFont val="宋体"/>
        <family val="3"/>
        <charset val="134"/>
      </rPr>
      <t>重要过程参数</t>
    </r>
    <r>
      <rPr>
        <sz val="10"/>
        <color theme="1"/>
        <rFont val="Times New Roman"/>
        <family val="1"/>
      </rPr>
      <t>/</t>
    </r>
    <r>
      <rPr>
        <sz val="10"/>
        <color theme="1"/>
        <rFont val="宋体"/>
        <family val="3"/>
        <charset val="134"/>
      </rPr>
      <t>重要工序。</t>
    </r>
    <r>
      <rPr>
        <sz val="10"/>
        <color theme="1"/>
        <rFont val="Times New Roman"/>
        <family val="1"/>
      </rPr>
      <t xml:space="preserve"> 
2</t>
    </r>
    <r>
      <rPr>
        <sz val="10"/>
        <color theme="1"/>
        <rFont val="宋体"/>
        <family val="3"/>
        <charset val="134"/>
      </rPr>
      <t>、</t>
    </r>
    <r>
      <rPr>
        <sz val="10"/>
        <color theme="1"/>
        <rFont val="Times New Roman"/>
        <family val="1"/>
      </rPr>
      <t>“</t>
    </r>
    <r>
      <rPr>
        <sz val="10"/>
        <color theme="1"/>
        <rFont val="宋体"/>
        <family val="3"/>
        <charset val="134"/>
      </rPr>
      <t>★</t>
    </r>
    <r>
      <rPr>
        <sz val="10"/>
        <color theme="1"/>
        <rFont val="Times New Roman"/>
        <family val="1"/>
      </rPr>
      <t>”: characteristics related with product safety and critical product parameter/process  parameter/ process;“</t>
    </r>
    <r>
      <rPr>
        <sz val="10"/>
        <color theme="1"/>
        <rFont val="宋体"/>
        <family val="3"/>
        <charset val="134"/>
      </rPr>
      <t>☆</t>
    </r>
    <r>
      <rPr>
        <sz val="10"/>
        <color theme="1"/>
        <rFont val="Times New Roman"/>
        <family val="1"/>
      </rPr>
      <t>”: characteristics related with significant product parameter/process  parameter/ process, but not related with product safety.
3</t>
    </r>
    <r>
      <rPr>
        <sz val="10"/>
        <color theme="1"/>
        <rFont val="宋体"/>
        <family val="3"/>
        <charset val="134"/>
      </rPr>
      <t>、</t>
    </r>
    <r>
      <rPr>
        <sz val="10"/>
        <color theme="1"/>
        <rFont val="Times New Roman"/>
        <family val="1"/>
      </rPr>
      <t>“</t>
    </r>
    <r>
      <rPr>
        <sz val="10"/>
        <color theme="1"/>
        <rFont val="宋体"/>
        <family val="3"/>
        <charset val="134"/>
      </rPr>
      <t>△</t>
    </r>
    <r>
      <rPr>
        <sz val="10"/>
        <color theme="1"/>
        <rFont val="Times New Roman"/>
        <family val="1"/>
      </rPr>
      <t>"</t>
    </r>
    <r>
      <rPr>
        <sz val="10"/>
        <color theme="1"/>
        <rFont val="宋体"/>
        <family val="3"/>
        <charset val="134"/>
      </rPr>
      <t>表示该处生产设备</t>
    </r>
    <r>
      <rPr>
        <sz val="10"/>
        <color theme="1"/>
        <rFont val="Times New Roman"/>
        <family val="1"/>
      </rPr>
      <t>/</t>
    </r>
    <r>
      <rPr>
        <sz val="10"/>
        <color theme="1"/>
        <rFont val="宋体"/>
        <family val="3"/>
        <charset val="134"/>
      </rPr>
      <t xml:space="preserve">工装模具具有防错功能。
</t>
    </r>
    <r>
      <rPr>
        <sz val="10"/>
        <color theme="1"/>
        <rFont val="Times New Roman"/>
        <family val="1"/>
      </rPr>
      <t>3</t>
    </r>
    <r>
      <rPr>
        <sz val="10"/>
        <color theme="1"/>
        <rFont val="宋体"/>
        <family val="3"/>
        <charset val="134"/>
      </rPr>
      <t>、</t>
    </r>
    <r>
      <rPr>
        <sz val="10"/>
        <color theme="1"/>
        <rFont val="Times New Roman"/>
        <family val="1"/>
      </rPr>
      <t>“</t>
    </r>
    <r>
      <rPr>
        <sz val="10"/>
        <color theme="1"/>
        <rFont val="宋体"/>
        <family val="3"/>
        <charset val="134"/>
      </rPr>
      <t>△</t>
    </r>
    <r>
      <rPr>
        <sz val="10"/>
        <color theme="1"/>
        <rFont val="Times New Roman"/>
        <family val="1"/>
      </rPr>
      <t>”: Machine/Tooling/Jig have error proofing function</t>
    </r>
    <r>
      <rPr>
        <sz val="10"/>
        <color theme="1"/>
        <rFont val="宋体"/>
        <family val="3"/>
        <charset val="134"/>
      </rPr>
      <t>。</t>
    </r>
  </si>
  <si>
    <r>
      <rPr>
        <b/>
        <sz val="10"/>
        <rFont val="宋体"/>
        <family val="3"/>
        <charset val="134"/>
      </rPr>
      <t>备注</t>
    </r>
  </si>
  <si>
    <r>
      <rPr>
        <sz val="10"/>
        <rFont val="Times New Roman"/>
        <family val="1"/>
      </rPr>
      <t>1</t>
    </r>
    <r>
      <rPr>
        <sz val="10"/>
        <rFont val="宋体"/>
        <family val="3"/>
        <charset val="134"/>
      </rPr>
      <t>、过程编号、过程名称、作业步骤、产品特性、过程特性的描述，在过程流程图、</t>
    </r>
    <r>
      <rPr>
        <sz val="10"/>
        <rFont val="Times New Roman"/>
        <family val="1"/>
      </rPr>
      <t>PFMEA</t>
    </r>
    <r>
      <rPr>
        <sz val="10"/>
        <rFont val="宋体"/>
        <family val="3"/>
        <charset val="134"/>
      </rPr>
      <t xml:space="preserve">、控制计划中应保持统一。
</t>
    </r>
    <r>
      <rPr>
        <sz val="10"/>
        <rFont val="Times New Roman"/>
        <family val="1"/>
      </rPr>
      <t>1</t>
    </r>
    <r>
      <rPr>
        <sz val="10"/>
        <rFont val="宋体"/>
        <family val="3"/>
        <charset val="134"/>
      </rPr>
      <t>、</t>
    </r>
    <r>
      <rPr>
        <sz val="10"/>
        <rFont val="Times New Roman"/>
        <family val="1"/>
      </rPr>
      <t>Process description should be same with process flow chart, PFMEA and control plan.
2</t>
    </r>
    <r>
      <rPr>
        <sz val="10"/>
        <rFont val="宋体"/>
        <family val="3"/>
        <charset val="134"/>
      </rPr>
      <t>、</t>
    </r>
    <r>
      <rPr>
        <sz val="10"/>
        <rFont val="Times New Roman"/>
        <family val="1"/>
      </rPr>
      <t>“</t>
    </r>
    <r>
      <rPr>
        <sz val="10"/>
        <rFont val="宋体"/>
        <family val="3"/>
        <charset val="134"/>
      </rPr>
      <t>★</t>
    </r>
    <r>
      <rPr>
        <sz val="10"/>
        <rFont val="Times New Roman"/>
        <family val="1"/>
      </rPr>
      <t>”</t>
    </r>
    <r>
      <rPr>
        <sz val="10"/>
        <rFont val="宋体"/>
        <family val="3"/>
        <charset val="134"/>
      </rPr>
      <t>表示产品与安全有关的特殊特性符号，关键产品参数</t>
    </r>
    <r>
      <rPr>
        <sz val="10"/>
        <rFont val="Times New Roman"/>
        <family val="1"/>
      </rPr>
      <t>/</t>
    </r>
    <r>
      <rPr>
        <sz val="10"/>
        <rFont val="宋体"/>
        <family val="3"/>
        <charset val="134"/>
      </rPr>
      <t>关键过程参数</t>
    </r>
    <r>
      <rPr>
        <sz val="10"/>
        <rFont val="Times New Roman"/>
        <family val="1"/>
      </rPr>
      <t>/</t>
    </r>
    <r>
      <rPr>
        <sz val="10"/>
        <rFont val="宋体"/>
        <family val="3"/>
        <charset val="134"/>
      </rPr>
      <t>关键工序；</t>
    </r>
    <r>
      <rPr>
        <sz val="10"/>
        <rFont val="Times New Roman"/>
        <family val="1"/>
      </rPr>
      <t>“</t>
    </r>
    <r>
      <rPr>
        <sz val="10"/>
        <rFont val="宋体"/>
        <family val="3"/>
        <charset val="134"/>
      </rPr>
      <t>☆</t>
    </r>
    <r>
      <rPr>
        <sz val="10"/>
        <rFont val="Times New Roman"/>
        <family val="1"/>
      </rPr>
      <t>”</t>
    </r>
    <r>
      <rPr>
        <sz val="10"/>
        <rFont val="宋体"/>
        <family val="3"/>
        <charset val="134"/>
      </rPr>
      <t>表示产品与安全无关的特殊特性符号，重要产品参数</t>
    </r>
    <r>
      <rPr>
        <sz val="10"/>
        <rFont val="Times New Roman"/>
        <family val="1"/>
      </rPr>
      <t>/</t>
    </r>
    <r>
      <rPr>
        <sz val="10"/>
        <rFont val="宋体"/>
        <family val="3"/>
        <charset val="134"/>
      </rPr>
      <t>重要过程参数</t>
    </r>
    <r>
      <rPr>
        <sz val="10"/>
        <rFont val="Times New Roman"/>
        <family val="1"/>
      </rPr>
      <t>/</t>
    </r>
    <r>
      <rPr>
        <sz val="10"/>
        <rFont val="宋体"/>
        <family val="3"/>
        <charset val="134"/>
      </rPr>
      <t>重要工序。</t>
    </r>
    <r>
      <rPr>
        <sz val="10"/>
        <rFont val="Times New Roman"/>
        <family val="1"/>
      </rPr>
      <t xml:space="preserve"> 
2</t>
    </r>
    <r>
      <rPr>
        <sz val="10"/>
        <rFont val="宋体"/>
        <family val="3"/>
        <charset val="134"/>
      </rPr>
      <t>、</t>
    </r>
    <r>
      <rPr>
        <sz val="10"/>
        <rFont val="Times New Roman"/>
        <family val="1"/>
      </rPr>
      <t>“</t>
    </r>
    <r>
      <rPr>
        <sz val="10"/>
        <rFont val="宋体"/>
        <family val="3"/>
        <charset val="134"/>
      </rPr>
      <t>★</t>
    </r>
    <r>
      <rPr>
        <sz val="10"/>
        <rFont val="Times New Roman"/>
        <family val="1"/>
      </rPr>
      <t>”: characteristics related with product safety and critical product parameter/process  parameter/ process;“</t>
    </r>
    <r>
      <rPr>
        <sz val="10"/>
        <rFont val="宋体"/>
        <family val="3"/>
        <charset val="134"/>
      </rPr>
      <t>☆</t>
    </r>
    <r>
      <rPr>
        <sz val="10"/>
        <rFont val="Times New Roman"/>
        <family val="1"/>
      </rPr>
      <t>”: characteristics related with significant product parameter/process  parameter/ process, but not related with product safety.
3</t>
    </r>
    <r>
      <rPr>
        <sz val="10"/>
        <rFont val="宋体"/>
        <family val="3"/>
        <charset val="134"/>
      </rPr>
      <t>、</t>
    </r>
    <r>
      <rPr>
        <sz val="10"/>
        <rFont val="Times New Roman"/>
        <family val="1"/>
      </rPr>
      <t>“</t>
    </r>
    <r>
      <rPr>
        <sz val="10"/>
        <rFont val="宋体"/>
        <family val="3"/>
        <charset val="134"/>
      </rPr>
      <t>△</t>
    </r>
    <r>
      <rPr>
        <sz val="10"/>
        <rFont val="Times New Roman"/>
        <family val="1"/>
      </rPr>
      <t>"</t>
    </r>
    <r>
      <rPr>
        <sz val="10"/>
        <rFont val="宋体"/>
        <family val="3"/>
        <charset val="134"/>
      </rPr>
      <t>表示该处生产设备</t>
    </r>
    <r>
      <rPr>
        <sz val="10"/>
        <rFont val="Times New Roman"/>
        <family val="1"/>
      </rPr>
      <t>/</t>
    </r>
    <r>
      <rPr>
        <sz val="10"/>
        <rFont val="宋体"/>
        <family val="3"/>
        <charset val="134"/>
      </rPr>
      <t xml:space="preserve">工装模具具有防错功能。
</t>
    </r>
    <r>
      <rPr>
        <sz val="10"/>
        <rFont val="Times New Roman"/>
        <family val="1"/>
      </rPr>
      <t>3</t>
    </r>
    <r>
      <rPr>
        <sz val="10"/>
        <rFont val="宋体"/>
        <family val="3"/>
        <charset val="134"/>
      </rPr>
      <t>、</t>
    </r>
    <r>
      <rPr>
        <sz val="10"/>
        <rFont val="Times New Roman"/>
        <family val="1"/>
      </rPr>
      <t>“</t>
    </r>
    <r>
      <rPr>
        <sz val="10"/>
        <rFont val="宋体"/>
        <family val="3"/>
        <charset val="134"/>
      </rPr>
      <t>△</t>
    </r>
    <r>
      <rPr>
        <sz val="10"/>
        <rFont val="Times New Roman"/>
        <family val="1"/>
      </rPr>
      <t>”: Machine/Tooling/Jig have error proofing function</t>
    </r>
    <r>
      <rPr>
        <sz val="10"/>
        <rFont val="宋体"/>
        <family val="3"/>
        <charset val="134"/>
      </rPr>
      <t>。</t>
    </r>
  </si>
  <si>
    <r>
      <rPr>
        <b/>
        <sz val="10"/>
        <rFont val="宋体"/>
        <family val="3"/>
        <charset val="134"/>
      </rPr>
      <t>编制</t>
    </r>
    <r>
      <rPr>
        <b/>
        <sz val="10"/>
        <rFont val="宋体"/>
        <family val="3"/>
        <charset val="134"/>
      </rPr>
      <t xml:space="preserve">
</t>
    </r>
    <r>
      <rPr>
        <b/>
        <sz val="10"/>
        <rFont val="Times New Roman"/>
        <family val="1"/>
      </rPr>
      <t>Editor</t>
    </r>
  </si>
  <si>
    <r>
      <rPr>
        <b/>
        <sz val="10"/>
        <rFont val="宋体"/>
        <family val="3"/>
        <charset val="134"/>
      </rPr>
      <t>审核</t>
    </r>
    <r>
      <rPr>
        <b/>
        <sz val="10"/>
        <rFont val="宋体"/>
        <family val="3"/>
        <charset val="134"/>
      </rPr>
      <t xml:space="preserve">
</t>
    </r>
    <r>
      <rPr>
        <b/>
        <sz val="10"/>
        <rFont val="Times New Roman"/>
        <family val="1"/>
      </rPr>
      <t>Audit</t>
    </r>
  </si>
  <si>
    <r>
      <rPr>
        <b/>
        <sz val="10"/>
        <rFont val="宋体"/>
        <family val="3"/>
        <charset val="134"/>
      </rPr>
      <t>会签</t>
    </r>
    <r>
      <rPr>
        <b/>
        <sz val="10"/>
        <rFont val="宋体"/>
        <family val="3"/>
        <charset val="134"/>
      </rPr>
      <t xml:space="preserve">
</t>
    </r>
    <r>
      <rPr>
        <b/>
        <sz val="10"/>
        <rFont val="Times New Roman"/>
        <family val="1"/>
      </rPr>
      <t>Countersign</t>
    </r>
  </si>
  <si>
    <r>
      <rPr>
        <b/>
        <sz val="10"/>
        <rFont val="宋体"/>
        <family val="3"/>
        <charset val="134"/>
      </rPr>
      <t>批准</t>
    </r>
    <r>
      <rPr>
        <b/>
        <sz val="10"/>
        <rFont val="宋体"/>
        <family val="3"/>
        <charset val="134"/>
      </rPr>
      <t xml:space="preserve">
</t>
    </r>
    <r>
      <rPr>
        <b/>
        <sz val="10"/>
        <rFont val="Times New Roman"/>
        <family val="1"/>
      </rPr>
      <t>Approval</t>
    </r>
  </si>
  <si>
    <r>
      <rPr>
        <b/>
        <sz val="12"/>
        <rFont val="Arial "/>
        <family val="2"/>
      </rPr>
      <t>L300F170A</t>
    </r>
    <r>
      <rPr>
        <b/>
        <sz val="12"/>
        <rFont val="宋体"/>
        <family val="3"/>
        <charset val="134"/>
      </rPr>
      <t>正极涂布控制计划附表</t>
    </r>
  </si>
  <si>
    <t>附表1 烘箱参数</t>
  </si>
  <si>
    <t>第一段</t>
  </si>
  <si>
    <t>第二段</t>
  </si>
  <si>
    <t>第三段</t>
  </si>
  <si>
    <t>第四段</t>
  </si>
  <si>
    <t>第五段</t>
  </si>
  <si>
    <t>第六段</t>
  </si>
  <si>
    <t>设定下限</t>
  </si>
  <si>
    <t>设定上限</t>
  </si>
  <si>
    <t>附表4 涂布面密度</t>
  </si>
  <si>
    <t>单面面密度
（g/m^2）</t>
  </si>
  <si>
    <t>箔材厚度
（um）</t>
  </si>
  <si>
    <t>箔材面密度
（g/m^2）</t>
  </si>
  <si>
    <t>取样小圆直径（mm）</t>
  </si>
  <si>
    <t>箔材小圆重量
（g）</t>
  </si>
  <si>
    <t>单面小圆重量（g）</t>
  </si>
  <si>
    <t>双面小圆重量（g）</t>
  </si>
  <si>
    <t>首件下限</t>
  </si>
  <si>
    <t>首件上限</t>
  </si>
  <si>
    <t>过程下限</t>
  </si>
  <si>
    <t>过程上限</t>
  </si>
  <si>
    <t>附图1 涂布示意图 Unit：mm</t>
  </si>
  <si>
    <t>备注：</t>
  </si>
  <si>
    <t>1、双面错位≤0.5mm；</t>
  </si>
  <si>
    <r>
      <rPr>
        <sz val="10"/>
        <color indexed="8"/>
        <rFont val="宋体"/>
        <family val="3"/>
        <charset val="134"/>
      </rPr>
      <t>温度</t>
    </r>
  </si>
  <si>
    <t>烘箱-单面</t>
  </si>
  <si>
    <t>烘箱-双面</t>
  </si>
  <si>
    <t>1#</t>
  </si>
  <si>
    <t>2#</t>
  </si>
  <si>
    <t>3#</t>
  </si>
  <si>
    <t>4#</t>
  </si>
  <si>
    <t>5#</t>
  </si>
  <si>
    <t>6#</t>
  </si>
  <si>
    <r>
      <rPr>
        <sz val="10"/>
        <color indexed="8"/>
        <rFont val="宋体"/>
        <family val="3"/>
        <charset val="134"/>
      </rPr>
      <t>基准值</t>
    </r>
    <r>
      <rPr>
        <sz val="10"/>
        <color indexed="8"/>
        <rFont val="Times New Roman"/>
        <family val="1"/>
      </rPr>
      <t>/</t>
    </r>
    <r>
      <rPr>
        <sz val="10"/>
        <color indexed="8"/>
        <rFont val="宋体"/>
        <family val="3"/>
        <charset val="134"/>
      </rPr>
      <t>℃（</t>
    </r>
    <r>
      <rPr>
        <sz val="10"/>
        <color indexed="8"/>
        <rFont val="Times New Roman"/>
        <family val="1"/>
      </rPr>
      <t>15.0m/min</t>
    </r>
    <r>
      <rPr>
        <sz val="10"/>
        <color indexed="8"/>
        <rFont val="宋体"/>
        <family val="3"/>
        <charset val="134"/>
      </rPr>
      <t>）</t>
    </r>
  </si>
  <si>
    <r>
      <rPr>
        <sz val="11"/>
        <color theme="1"/>
        <rFont val="宋体"/>
        <family val="3"/>
        <charset val="134"/>
        <scheme val="minor"/>
      </rPr>
      <t>15</t>
    </r>
    <r>
      <rPr>
        <sz val="11"/>
        <color theme="1"/>
        <rFont val="宋体"/>
        <family val="3"/>
        <charset val="134"/>
        <scheme val="minor"/>
      </rPr>
      <t>.0m/min</t>
    </r>
  </si>
  <si>
    <r>
      <rPr>
        <sz val="10"/>
        <color indexed="8"/>
        <rFont val="宋体"/>
        <family val="3"/>
        <charset val="134"/>
      </rPr>
      <t>温度设定上限</t>
    </r>
    <r>
      <rPr>
        <sz val="10"/>
        <color indexed="8"/>
        <rFont val="Times New Roman"/>
        <family val="1"/>
      </rPr>
      <t>/</t>
    </r>
    <r>
      <rPr>
        <sz val="10"/>
        <color indexed="8"/>
        <rFont val="宋体"/>
        <family val="3"/>
        <charset val="134"/>
      </rPr>
      <t>℃</t>
    </r>
  </si>
  <si>
    <r>
      <rPr>
        <sz val="11"/>
        <color theme="1"/>
        <rFont val="宋体"/>
        <family val="3"/>
        <charset val="134"/>
        <scheme val="minor"/>
      </rPr>
      <t>1</t>
    </r>
    <r>
      <rPr>
        <sz val="11"/>
        <color theme="1"/>
        <rFont val="宋体"/>
        <family val="3"/>
        <charset val="134"/>
        <scheme val="minor"/>
      </rPr>
      <t>2</t>
    </r>
    <r>
      <rPr>
        <sz val="11"/>
        <color theme="1"/>
        <rFont val="宋体"/>
        <family val="3"/>
        <charset val="134"/>
        <scheme val="minor"/>
      </rPr>
      <t>.0m/min</t>
    </r>
  </si>
  <si>
    <r>
      <rPr>
        <sz val="10"/>
        <color indexed="8"/>
        <rFont val="宋体"/>
        <family val="3"/>
        <charset val="134"/>
      </rPr>
      <t>温度设定下限</t>
    </r>
    <r>
      <rPr>
        <sz val="10"/>
        <color indexed="8"/>
        <rFont val="Times New Roman"/>
        <family val="1"/>
      </rPr>
      <t>/</t>
    </r>
    <r>
      <rPr>
        <sz val="10"/>
        <color indexed="8"/>
        <rFont val="宋体"/>
        <family val="3"/>
        <charset val="134"/>
      </rPr>
      <t>℃</t>
    </r>
  </si>
  <si>
    <r>
      <rPr>
        <sz val="10"/>
        <color indexed="8"/>
        <rFont val="宋体"/>
        <family val="3"/>
        <charset val="134"/>
      </rPr>
      <t>基准值</t>
    </r>
    <r>
      <rPr>
        <sz val="10"/>
        <color indexed="8"/>
        <rFont val="Times New Roman"/>
        <family val="1"/>
      </rPr>
      <t>/</t>
    </r>
    <r>
      <rPr>
        <sz val="10"/>
        <color indexed="8"/>
        <rFont val="宋体"/>
        <family val="3"/>
        <charset val="134"/>
      </rPr>
      <t>℃
（</t>
    </r>
    <r>
      <rPr>
        <sz val="10"/>
        <color indexed="8"/>
        <rFont val="Times New Roman"/>
        <family val="1"/>
      </rPr>
      <t>20.0m/min</t>
    </r>
    <r>
      <rPr>
        <sz val="10"/>
        <color indexed="8"/>
        <rFont val="宋体"/>
        <family val="3"/>
        <charset val="134"/>
      </rPr>
      <t>）</t>
    </r>
  </si>
  <si>
    <r>
      <rPr>
        <sz val="11"/>
        <color theme="1"/>
        <rFont val="宋体"/>
        <family val="3"/>
        <charset val="134"/>
        <scheme val="minor"/>
      </rPr>
      <t>20</t>
    </r>
    <r>
      <rPr>
        <sz val="11"/>
        <color theme="1"/>
        <rFont val="宋体"/>
        <family val="3"/>
        <charset val="134"/>
        <scheme val="minor"/>
      </rPr>
      <t>.0m/min</t>
    </r>
  </si>
  <si>
    <r>
      <rPr>
        <sz val="11"/>
        <color theme="1"/>
        <rFont val="宋体"/>
        <family val="3"/>
        <charset val="134"/>
        <scheme val="minor"/>
      </rPr>
      <t>1</t>
    </r>
    <r>
      <rPr>
        <sz val="11"/>
        <color theme="1"/>
        <rFont val="宋体"/>
        <family val="3"/>
        <charset val="134"/>
        <scheme val="minor"/>
      </rPr>
      <t>5</t>
    </r>
    <r>
      <rPr>
        <sz val="11"/>
        <color theme="1"/>
        <rFont val="宋体"/>
        <family val="3"/>
        <charset val="134"/>
        <scheme val="minor"/>
      </rPr>
      <t>.0m/min</t>
    </r>
  </si>
  <si>
    <t>风频</t>
  </si>
  <si>
    <r>
      <rPr>
        <sz val="10"/>
        <color indexed="8"/>
        <rFont val="宋体"/>
        <family val="3"/>
        <charset val="134"/>
      </rPr>
      <t>基准值</t>
    </r>
    <r>
      <rPr>
        <sz val="10"/>
        <color indexed="8"/>
        <rFont val="Times New Roman"/>
        <family val="1"/>
      </rPr>
      <t>/Hz</t>
    </r>
    <r>
      <rPr>
        <sz val="10"/>
        <color indexed="8"/>
        <rFont val="宋体"/>
        <family val="3"/>
        <charset val="134"/>
      </rPr>
      <t>（</t>
    </r>
    <r>
      <rPr>
        <sz val="10"/>
        <color indexed="8"/>
        <rFont val="Times New Roman"/>
        <family val="1"/>
      </rPr>
      <t>15.0m/min</t>
    </r>
    <r>
      <rPr>
        <sz val="10"/>
        <color indexed="8"/>
        <rFont val="宋体"/>
        <family val="3"/>
        <charset val="134"/>
      </rPr>
      <t>）</t>
    </r>
  </si>
  <si>
    <t>15.0m/min</t>
  </si>
  <si>
    <t>风频设定上限/Hz</t>
  </si>
  <si>
    <r>
      <rPr>
        <sz val="10"/>
        <color indexed="8"/>
        <rFont val="宋体"/>
        <family val="3"/>
        <charset val="134"/>
      </rPr>
      <t>风频设定下限</t>
    </r>
    <r>
      <rPr>
        <sz val="10"/>
        <color indexed="8"/>
        <rFont val="Times New Roman"/>
        <family val="1"/>
      </rPr>
      <t>/Hz</t>
    </r>
  </si>
  <si>
    <r>
      <rPr>
        <sz val="10"/>
        <color theme="1"/>
        <rFont val="宋体"/>
        <family val="3"/>
        <charset val="134"/>
      </rPr>
      <t>基准值</t>
    </r>
    <r>
      <rPr>
        <sz val="10"/>
        <color theme="1"/>
        <rFont val="Times New Roman"/>
        <family val="1"/>
      </rPr>
      <t>/Hz</t>
    </r>
    <r>
      <rPr>
        <sz val="10"/>
        <color theme="1"/>
        <rFont val="宋体"/>
        <family val="3"/>
        <charset val="134"/>
      </rPr>
      <t>（</t>
    </r>
    <r>
      <rPr>
        <sz val="10"/>
        <color theme="1"/>
        <rFont val="Times New Roman"/>
        <family val="1"/>
      </rPr>
      <t>20.0m/min</t>
    </r>
    <r>
      <rPr>
        <sz val="10"/>
        <color theme="1"/>
        <rFont val="宋体"/>
        <family val="3"/>
        <charset val="134"/>
      </rPr>
      <t>）</t>
    </r>
  </si>
  <si>
    <t>20.0m/min</t>
  </si>
  <si>
    <r>
      <rPr>
        <sz val="10"/>
        <color theme="1"/>
        <rFont val="宋体"/>
        <family val="3"/>
        <charset val="134"/>
      </rPr>
      <t>风频设定下限</t>
    </r>
    <r>
      <rPr>
        <sz val="10"/>
        <color theme="1"/>
        <rFont val="Times New Roman"/>
        <family val="1"/>
      </rPr>
      <t>/Hz</t>
    </r>
  </si>
  <si>
    <t>OP415</t>
    <phoneticPr fontId="45" type="noConversion"/>
  </si>
  <si>
    <t>正极涂布</t>
    <phoneticPr fontId="45" type="noConversion"/>
  </si>
  <si>
    <t>正极涂布</t>
    <phoneticPr fontId="45" type="noConversion"/>
  </si>
  <si>
    <t>正极涂布机（Δ）</t>
    <phoneticPr fontId="45" type="noConversion"/>
  </si>
  <si>
    <t>过滤器
（除磁车自带）</t>
  </si>
  <si>
    <t>筛网目数</t>
  </si>
  <si>
    <t>目视标签</t>
  </si>
  <si>
    <t>更换前确认</t>
  </si>
  <si>
    <t>每次</t>
  </si>
  <si>
    <t>1、目数不符通知班组长进行确认更换
2、超期未更换/清洗时，暂停生产</t>
  </si>
  <si>
    <t>表面无大面积结块浆料
筛网无破损</t>
    <phoneticPr fontId="45" type="noConversion"/>
  </si>
  <si>
    <t>1、继续清洗至无结块浆料残留
2、对破损筛网报废处理</t>
  </si>
  <si>
    <t>安装前确认</t>
  </si>
  <si>
    <t>1、更换筛网
2、通知质检按照不合格品处理流程处理</t>
  </si>
  <si>
    <t>浆料磁棒
（除磁车自带）</t>
  </si>
  <si>
    <t>磁棒表面无浆料和异物</t>
  </si>
  <si>
    <t>目视白色无纺布无异物</t>
  </si>
  <si>
    <t>班组对磁棒进行重新清洗直至符合要求</t>
  </si>
  <si>
    <t>磁感应强度</t>
  </si>
  <si>
    <t>高斯检测器</t>
  </si>
  <si>
    <t>三个月</t>
  </si>
  <si>
    <t>OP420</t>
    <phoneticPr fontId="45" type="noConversion"/>
  </si>
  <si>
    <t>OP420</t>
    <phoneticPr fontId="45" type="noConversion"/>
  </si>
  <si>
    <t>OP430</t>
    <phoneticPr fontId="45" type="noConversion"/>
  </si>
  <si>
    <t>正极浆料</t>
    <phoneticPr fontId="45" type="noConversion"/>
  </si>
  <si>
    <t>150目+200目</t>
    <phoneticPr fontId="45" type="noConversion"/>
  </si>
  <si>
    <t>极片磁棒</t>
    <phoneticPr fontId="45" type="noConversion"/>
  </si>
  <si>
    <t>1、通知设备工程师进行原因排查分析
2、通知工艺工程师进行判定</t>
    <phoneticPr fontId="45" type="noConversion"/>
  </si>
  <si>
    <t>磁棒边缘距极片距离</t>
    <phoneticPr fontId="45" type="noConversion"/>
  </si>
  <si>
    <t>双面极片失重率</t>
    <phoneticPr fontId="45" type="noConversion"/>
  </si>
  <si>
    <t>磁棒表面无异物</t>
    <phoneticPr fontId="45" type="noConversion"/>
  </si>
  <si>
    <t>磁棒清洁</t>
    <phoneticPr fontId="45" type="noConversion"/>
  </si>
  <si>
    <t>1、点检
2、定期校检</t>
    <phoneticPr fontId="45" type="noConversion"/>
  </si>
  <si>
    <t>1次</t>
    <phoneticPr fontId="45" type="noConversion"/>
  </si>
  <si>
    <t>电子天平（0.0001g）</t>
    <phoneticPr fontId="45" type="noConversion"/>
  </si>
  <si>
    <t>滤网清洁</t>
    <phoneticPr fontId="45" type="noConversion"/>
  </si>
  <si>
    <t>磁棒清洁</t>
    <phoneticPr fontId="45" type="noConversion"/>
  </si>
  <si>
    <t>筛网寿命</t>
    <phoneticPr fontId="45" type="noConversion"/>
  </si>
  <si>
    <t>电子天平
（0.0001g）/β-Ray测重仪</t>
    <phoneticPr fontId="45" type="noConversion"/>
  </si>
  <si>
    <t>4H</t>
    <phoneticPr fontId="45" type="noConversion"/>
  </si>
  <si>
    <t>六个月</t>
    <phoneticPr fontId="45" type="noConversion"/>
  </si>
  <si>
    <t>每卷</t>
    <phoneticPr fontId="45" type="noConversion"/>
  </si>
  <si>
    <t>正极涂布工序控制计划</t>
    <phoneticPr fontId="45" type="noConversion"/>
  </si>
  <si>
    <t>温度/℃</t>
    <phoneticPr fontId="45" type="noConversion"/>
  </si>
  <si>
    <t>风量/Hz</t>
    <phoneticPr fontId="45" type="noConversion"/>
  </si>
  <si>
    <t>附表2 涂布面密度</t>
    <phoneticPr fontId="45" type="noConversion"/>
  </si>
  <si>
    <r>
      <t>单面面密度
（g/m</t>
    </r>
    <r>
      <rPr>
        <vertAlign val="superscript"/>
        <sz val="10"/>
        <color theme="1"/>
        <rFont val="宋体"/>
        <family val="3"/>
        <charset val="134"/>
      </rPr>
      <t>2</t>
    </r>
    <r>
      <rPr>
        <sz val="10"/>
        <color theme="1"/>
        <rFont val="宋体"/>
        <family val="3"/>
        <charset val="134"/>
      </rPr>
      <t>）</t>
    </r>
    <phoneticPr fontId="45" type="noConversion"/>
  </si>
  <si>
    <t>箔材厚度
（um）</t>
    <phoneticPr fontId="45" type="noConversion"/>
  </si>
  <si>
    <t>12+1+1</t>
    <phoneticPr fontId="45" type="noConversion"/>
  </si>
  <si>
    <r>
      <t>箔材面密度
（g/m</t>
    </r>
    <r>
      <rPr>
        <vertAlign val="superscript"/>
        <sz val="10"/>
        <color theme="1"/>
        <rFont val="宋体"/>
        <family val="3"/>
        <charset val="134"/>
      </rPr>
      <t>2</t>
    </r>
    <r>
      <rPr>
        <sz val="10"/>
        <color theme="1"/>
        <rFont val="宋体"/>
        <family val="3"/>
        <charset val="134"/>
      </rPr>
      <t>）</t>
    </r>
    <phoneticPr fontId="45" type="noConversion"/>
  </si>
  <si>
    <t>取样小圆直径（mm）</t>
    <phoneticPr fontId="45" type="noConversion"/>
  </si>
  <si>
    <t>箔材小圆重量
（g）</t>
    <phoneticPr fontId="45" type="noConversion"/>
  </si>
  <si>
    <t>单面小圆重量（g）</t>
    <phoneticPr fontId="45" type="noConversion"/>
  </si>
  <si>
    <t>双面小圆重量（g）</t>
    <phoneticPr fontId="45" type="noConversion"/>
  </si>
  <si>
    <t>首件下限</t>
    <phoneticPr fontId="45" type="noConversion"/>
  </si>
  <si>
    <t>首件上限</t>
    <phoneticPr fontId="45" type="noConversion"/>
  </si>
  <si>
    <t>过程下限</t>
    <phoneticPr fontId="45" type="noConversion"/>
  </si>
  <si>
    <t>过程上限</t>
    <phoneticPr fontId="45" type="noConversion"/>
  </si>
  <si>
    <t>附表2 烘箱参数-Y16</t>
    <phoneticPr fontId="45" type="noConversion"/>
  </si>
  <si>
    <t>（5-30）m/min</t>
    <phoneticPr fontId="45" type="noConversion"/>
  </si>
  <si>
    <t>温湿度计/露点仪</t>
    <phoneticPr fontId="45" type="noConversion"/>
  </si>
  <si>
    <t>温湿度计/露点仪</t>
    <phoneticPr fontId="45" type="noConversion"/>
  </si>
  <si>
    <r>
      <t>2、极耳胶宽度</t>
    </r>
    <r>
      <rPr>
        <sz val="11"/>
        <color theme="1"/>
        <rFont val="宋体"/>
        <family val="3"/>
        <charset val="134"/>
        <scheme val="minor"/>
      </rPr>
      <t>7</t>
    </r>
    <r>
      <rPr>
        <sz val="11"/>
        <color theme="1"/>
        <rFont val="宋体"/>
        <family val="3"/>
        <charset val="134"/>
        <scheme val="minor"/>
      </rPr>
      <t>.0±1.</t>
    </r>
    <r>
      <rPr>
        <sz val="11"/>
        <color theme="1"/>
        <rFont val="宋体"/>
        <family val="3"/>
        <charset val="134"/>
        <scheme val="minor"/>
      </rPr>
      <t>5</t>
    </r>
    <r>
      <rPr>
        <sz val="11"/>
        <color theme="1"/>
        <rFont val="宋体"/>
        <family val="3"/>
        <charset val="134"/>
        <scheme val="minor"/>
      </rPr>
      <t xml:space="preserve">mm；
</t>
    </r>
    <phoneticPr fontId="45" type="noConversion"/>
  </si>
  <si>
    <r>
      <t>4、</t>
    </r>
    <r>
      <rPr>
        <sz val="11"/>
        <rFont val="宋体"/>
        <family val="3"/>
        <charset val="134"/>
        <scheme val="minor"/>
      </rPr>
      <t>☆A面面密度：(201.800±3.0)g/m2</t>
    </r>
    <phoneticPr fontId="45" type="noConversion"/>
  </si>
  <si>
    <t>5、☆A面+B面面密度：(403.600±6.0)g/m2</t>
    <phoneticPr fontId="45" type="noConversion"/>
  </si>
  <si>
    <t>铝箔面密度（含涂炭面密度）</t>
    <phoneticPr fontId="45" type="noConversion"/>
  </si>
  <si>
    <t>Z3-C1</t>
    <phoneticPr fontId="45" type="noConversion"/>
  </si>
  <si>
    <t>Z3-C1</t>
    <phoneticPr fontId="45" type="noConversion"/>
  </si>
  <si>
    <r>
      <t>≥</t>
    </r>
    <r>
      <rPr>
        <sz val="10"/>
        <color theme="1"/>
        <rFont val="Times New Roman"/>
        <family val="1"/>
      </rPr>
      <t>6.00N/m</t>
    </r>
    <phoneticPr fontId="45" type="noConversion"/>
  </si>
  <si>
    <t>/</t>
    <phoneticPr fontId="45" type="noConversion"/>
  </si>
  <si>
    <r>
      <t xml:space="preserve">
1</t>
    </r>
    <r>
      <rPr>
        <sz val="10"/>
        <rFont val="宋体"/>
        <family val="3"/>
        <charset val="134"/>
      </rPr>
      <t xml:space="preserve">、检验
</t>
    </r>
    <r>
      <rPr>
        <sz val="10"/>
        <rFont val="Times New Roman"/>
        <family val="1"/>
      </rPr>
      <t>2</t>
    </r>
    <r>
      <rPr>
        <sz val="10"/>
        <rFont val="宋体"/>
        <family val="3"/>
        <charset val="134"/>
      </rPr>
      <t>、定期校验</t>
    </r>
  </si>
  <si>
    <t>≥10000GS</t>
    <phoneticPr fontId="45" type="noConversion"/>
  </si>
  <si>
    <t>涂布工序</t>
    <phoneticPr fontId="45" type="noConversion"/>
  </si>
  <si>
    <t>Z3-C1</t>
    <phoneticPr fontId="45" type="noConversion"/>
  </si>
  <si>
    <t>/</t>
    <phoneticPr fontId="45" type="noConversion"/>
  </si>
  <si>
    <t>☆</t>
    <phoneticPr fontId="45" type="noConversion"/>
  </si>
  <si>
    <t>☆</t>
    <phoneticPr fontId="45" type="noConversion"/>
  </si>
  <si>
    <t>文审
DCC</t>
    <phoneticPr fontId="45" type="noConversion"/>
  </si>
  <si>
    <t>文控
DCC</t>
    <phoneticPr fontId="45" type="noConversion"/>
  </si>
  <si>
    <t>李晓坡</t>
    <phoneticPr fontId="45" type="noConversion"/>
  </si>
  <si>
    <t>李晓坡</t>
    <phoneticPr fontId="45" type="noConversion"/>
  </si>
  <si>
    <t>工序</t>
  </si>
  <si>
    <t>评价/测量设备</t>
  </si>
  <si>
    <t>防错装置</t>
  </si>
  <si>
    <t>防错级别</t>
  </si>
  <si>
    <t>防错检出结果</t>
  </si>
  <si>
    <t>防错装置功能描述</t>
  </si>
  <si>
    <t>防错验证类型</t>
  </si>
  <si>
    <t>验证方法</t>
  </si>
  <si>
    <t>防错验证频次</t>
  </si>
  <si>
    <t>防错样件名称</t>
  </si>
  <si>
    <t>防错样件编号</t>
  </si>
  <si>
    <t>防错样件类型（缺陷/计量）</t>
    <phoneticPr fontId="45" type="noConversion"/>
  </si>
  <si>
    <t>防错样件规格</t>
  </si>
  <si>
    <t>防错样件精度</t>
  </si>
  <si>
    <t>防错样件校准/确认频次</t>
  </si>
  <si>
    <t>反应计划</t>
  </si>
  <si>
    <t>警告</t>
  </si>
  <si>
    <t>NG</t>
  </si>
  <si>
    <t>其中防错级别（能够根据判定做出反应的装置）有三种：</t>
  </si>
  <si>
    <t>防错验证方式有三种：</t>
    <phoneticPr fontId="45" type="noConversion"/>
  </si>
  <si>
    <t>防错样件类型有两种：</t>
    <phoneticPr fontId="45" type="noConversion"/>
  </si>
  <si>
    <t>（1）防止：不制造缺陷，具有闭环控制功能的防错装置。如，涂布面密度β射线闭环控制。
（2）警告：当错误发生时可以自动发出信号（报警、提示界面等）的防错装置。如，充氦气机构无氦气时可报警。
（3）发现：不传递缺陷，当出现不合格品时系统会自动挑出的防错装置，比如装配线上电芯称重不合格后会挑选出来。</t>
  </si>
  <si>
    <t>（1）挑战参数：设置设备参数不符合工艺要求，看设备是否发出警告；
（2）挑战件：具有已知规范、经校准并且可追溯到标准的产品或工装，其预期结果（通过或不通过）用于确认防错装置或检具（如通止规）的功能性；
（3）OK/NG样件：当挑战件无法获取时，可使用合格/不合格的产品或工装作为防错样件，验证防错装置的功能性；</t>
    <phoneticPr fontId="45" type="noConversion"/>
  </si>
  <si>
    <t xml:space="preserve">（1）计量样件：防错样件的规格是可定量的。
（2）缺陷样件：防错样件的规格是不可定量的，是指通过防错装置时能证明不符合操作或者能被探测出的外观缺陷的产品/工装。
</t>
    <phoneticPr fontId="45" type="noConversion"/>
  </si>
  <si>
    <t>涂布</t>
  </si>
  <si>
    <t>涂布机</t>
  </si>
  <si>
    <t>1次/周</t>
    <phoneticPr fontId="45" type="noConversion"/>
  </si>
  <si>
    <t>1、暂停生产.
2、对不合格品进行标识隔离、通知质量工程师按照不合格品处理流程进行处理.</t>
  </si>
  <si>
    <t>在线面密度测试仪</t>
    <phoneticPr fontId="45" type="noConversion"/>
  </si>
  <si>
    <t>涂布</t>
    <phoneticPr fontId="45" type="noConversion"/>
  </si>
  <si>
    <t>涂布机</t>
    <phoneticPr fontId="45" type="noConversion"/>
  </si>
  <si>
    <t>CCD检测仪</t>
    <phoneticPr fontId="45" type="noConversion"/>
  </si>
  <si>
    <t>面密度不符合CP时，报警提示</t>
    <phoneticPr fontId="45" type="noConversion"/>
  </si>
  <si>
    <t>涂布尺寸不符合CP时，报警提示</t>
    <phoneticPr fontId="45" type="noConversion"/>
  </si>
  <si>
    <t>流程归档后自动生效</t>
    <phoneticPr fontId="45" type="noConversion"/>
  </si>
  <si>
    <r>
      <rPr>
        <b/>
        <sz val="10"/>
        <rFont val="宋体"/>
        <family val="3"/>
        <charset val="134"/>
      </rPr>
      <t xml:space="preserve">样本
</t>
    </r>
    <r>
      <rPr>
        <b/>
        <sz val="10"/>
        <rFont val="Times New Roman"/>
        <family val="1"/>
      </rPr>
      <t>Sample</t>
    </r>
    <phoneticPr fontId="45" type="noConversion"/>
  </si>
  <si>
    <r>
      <rPr>
        <b/>
        <sz val="10"/>
        <rFont val="宋体"/>
        <family val="3"/>
        <charset val="134"/>
      </rPr>
      <t xml:space="preserve">样本
</t>
    </r>
    <r>
      <rPr>
        <b/>
        <sz val="10"/>
        <rFont val="Times New Roman"/>
        <family val="1"/>
      </rPr>
      <t>Sample</t>
    </r>
    <phoneticPr fontId="45" type="noConversion"/>
  </si>
  <si>
    <r>
      <rPr>
        <b/>
        <sz val="10"/>
        <rFont val="宋体"/>
        <family val="3"/>
        <charset val="134"/>
      </rPr>
      <t xml:space="preserve">容量
</t>
    </r>
    <r>
      <rPr>
        <b/>
        <sz val="10"/>
        <rFont val="Times New Roman"/>
        <family val="1"/>
      </rPr>
      <t>Size</t>
    </r>
    <phoneticPr fontId="45" type="noConversion"/>
  </si>
  <si>
    <r>
      <rPr>
        <b/>
        <sz val="10"/>
        <rFont val="宋体"/>
        <family val="3"/>
        <charset val="134"/>
      </rPr>
      <t xml:space="preserve">容量
</t>
    </r>
    <r>
      <rPr>
        <b/>
        <sz val="10"/>
        <rFont val="Times New Roman"/>
        <family val="1"/>
      </rPr>
      <t>Size</t>
    </r>
    <phoneticPr fontId="45" type="noConversion"/>
  </si>
  <si>
    <r>
      <rPr>
        <b/>
        <sz val="10"/>
        <rFont val="宋体"/>
        <family val="3"/>
        <charset val="134"/>
      </rPr>
      <t xml:space="preserve">频率
</t>
    </r>
    <r>
      <rPr>
        <b/>
        <sz val="10"/>
        <rFont val="Times New Roman"/>
        <family val="1"/>
      </rPr>
      <t>Frequency</t>
    </r>
    <phoneticPr fontId="45" type="noConversion"/>
  </si>
  <si>
    <r>
      <rPr>
        <b/>
        <sz val="10"/>
        <rFont val="宋体"/>
        <family val="3"/>
        <charset val="134"/>
      </rPr>
      <t xml:space="preserve">频率
</t>
    </r>
    <r>
      <rPr>
        <b/>
        <sz val="10"/>
        <rFont val="Times New Roman"/>
        <family val="1"/>
      </rPr>
      <t>Frequency</t>
    </r>
    <phoneticPr fontId="45" type="noConversion"/>
  </si>
  <si>
    <t>/</t>
    <phoneticPr fontId="45" type="noConversion"/>
  </si>
  <si>
    <t>1、点检</t>
    <phoneticPr fontId="45" type="noConversion"/>
  </si>
  <si>
    <t>1、点检
2、定期校检</t>
    <phoneticPr fontId="45" type="noConversion"/>
  </si>
  <si>
    <t>/</t>
    <phoneticPr fontId="45" type="noConversion"/>
  </si>
  <si>
    <t>每卷</t>
    <phoneticPr fontId="45" type="noConversion"/>
  </si>
  <si>
    <t>1次</t>
    <phoneticPr fontId="45" type="noConversion"/>
  </si>
  <si>
    <t>4H</t>
    <phoneticPr fontId="45" type="noConversion"/>
  </si>
  <si>
    <t>1、点检
2、定期校检
3、质量确认</t>
    <phoneticPr fontId="45" type="noConversion"/>
  </si>
  <si>
    <t>每周</t>
    <phoneticPr fontId="45" type="noConversion"/>
  </si>
  <si>
    <t>首检</t>
    <phoneticPr fontId="45" type="noConversion"/>
  </si>
  <si>
    <t>1、机头员工输入、核对
2、设备自动控制</t>
    <phoneticPr fontId="45" type="noConversion"/>
  </si>
  <si>
    <t>1、点检
2、设备自动控制</t>
    <phoneticPr fontId="45" type="noConversion"/>
  </si>
  <si>
    <t>1、机尾员工输入、核对
2、设备自动控制</t>
    <phoneticPr fontId="45" type="noConversion"/>
  </si>
  <si>
    <t>1、点检
2、定期校检
3、设备自动控制</t>
    <phoneticPr fontId="45" type="noConversion"/>
  </si>
  <si>
    <t>每班</t>
    <phoneticPr fontId="45" type="noConversion"/>
  </si>
  <si>
    <t>六个月</t>
    <phoneticPr fontId="45" type="noConversion"/>
  </si>
  <si>
    <t>每4小时</t>
    <phoneticPr fontId="45" type="noConversion"/>
  </si>
  <si>
    <t>每卷</t>
    <phoneticPr fontId="45" type="noConversion"/>
  </si>
  <si>
    <t>1、点检
2、定期校检</t>
    <phoneticPr fontId="45" type="noConversion"/>
  </si>
  <si>
    <r>
      <rPr>
        <b/>
        <sz val="10"/>
        <rFont val="宋体"/>
        <family val="3"/>
        <charset val="134"/>
      </rPr>
      <t xml:space="preserve">生产
</t>
    </r>
    <r>
      <rPr>
        <b/>
        <sz val="10"/>
        <rFont val="Times New Roman"/>
        <family val="1"/>
      </rPr>
      <t>production</t>
    </r>
    <phoneticPr fontId="45" type="noConversion"/>
  </si>
  <si>
    <r>
      <rPr>
        <b/>
        <sz val="10"/>
        <rFont val="宋体"/>
        <family val="3"/>
        <charset val="134"/>
      </rPr>
      <t xml:space="preserve">检验
</t>
    </r>
    <r>
      <rPr>
        <b/>
        <sz val="10"/>
        <rFont val="Times New Roman"/>
        <family val="1"/>
      </rPr>
      <t>Inspection</t>
    </r>
    <phoneticPr fontId="45" type="noConversion"/>
  </si>
  <si>
    <t>使用前确认1次</t>
    <phoneticPr fontId="45" type="noConversion"/>
  </si>
  <si>
    <t>1、点检</t>
    <phoneticPr fontId="45" type="noConversion"/>
  </si>
  <si>
    <t>/</t>
    <phoneticPr fontId="45" type="noConversion"/>
  </si>
  <si>
    <t>1、点检
2、定期校检</t>
    <phoneticPr fontId="45" type="noConversion"/>
  </si>
  <si>
    <t>1次</t>
    <phoneticPr fontId="45" type="noConversion"/>
  </si>
  <si>
    <t>4H</t>
    <phoneticPr fontId="45" type="noConversion"/>
  </si>
  <si>
    <t>/</t>
    <phoneticPr fontId="45" type="noConversion"/>
  </si>
  <si>
    <t>每周</t>
    <phoneticPr fontId="45" type="noConversion"/>
  </si>
  <si>
    <t>1次</t>
    <phoneticPr fontId="45" type="noConversion"/>
  </si>
  <si>
    <t>每班</t>
    <phoneticPr fontId="45" type="noConversion"/>
  </si>
  <si>
    <t>首检</t>
    <phoneticPr fontId="45" type="noConversion"/>
  </si>
  <si>
    <t>首检</t>
    <phoneticPr fontId="45" type="noConversion"/>
  </si>
  <si>
    <t>每卷</t>
    <phoneticPr fontId="45" type="noConversion"/>
  </si>
  <si>
    <t>每班</t>
    <phoneticPr fontId="45" type="noConversion"/>
  </si>
  <si>
    <t>5-10mm</t>
    <phoneticPr fontId="45" type="noConversion"/>
  </si>
  <si>
    <t>1次/15min</t>
    <phoneticPr fontId="45" type="noConversion"/>
  </si>
  <si>
    <t>菲林尺/影像测量仪（0.1mm）</t>
    <phoneticPr fontId="45" type="noConversion"/>
  </si>
  <si>
    <t>菲林尺/影像测量仪 （0.1mm）</t>
    <phoneticPr fontId="45" type="noConversion"/>
  </si>
  <si>
    <t>菲林尺/影像测量仪  （0.1mm）</t>
    <phoneticPr fontId="45" type="noConversion"/>
  </si>
  <si>
    <t>江苏基地/JS中试工厂/Y16试制车间(检验)</t>
    <phoneticPr fontId="45" type="noConversion"/>
  </si>
  <si>
    <t>每卷</t>
    <phoneticPr fontId="45" type="noConversion"/>
  </si>
  <si>
    <t>陈颖</t>
    <phoneticPr fontId="45" type="noConversion"/>
  </si>
  <si>
    <t>王春光</t>
    <phoneticPr fontId="45" type="noConversion"/>
  </si>
  <si>
    <t>钱建业</t>
    <phoneticPr fontId="45" type="noConversion"/>
  </si>
  <si>
    <t>发放份数</t>
    <phoneticPr fontId="45" type="noConversion"/>
  </si>
  <si>
    <t>洁净度仪</t>
    <phoneticPr fontId="45" type="noConversion"/>
  </si>
  <si>
    <t>陈颖</t>
    <phoneticPr fontId="45" type="noConversion"/>
  </si>
  <si>
    <t>钱建业</t>
    <phoneticPr fontId="45" type="noConversion"/>
  </si>
  <si>
    <t>洁净度仪</t>
    <phoneticPr fontId="45" type="noConversion"/>
  </si>
  <si>
    <t>铝箔厚度</t>
    <phoneticPr fontId="45" type="noConversion"/>
  </si>
  <si>
    <t>B1</t>
    <phoneticPr fontId="45" type="noConversion"/>
  </si>
  <si>
    <t xml:space="preserve">  L246N183A正极合格浆料</t>
    <phoneticPr fontId="45" type="noConversion"/>
  </si>
  <si>
    <r>
      <t>L246N183A</t>
    </r>
    <r>
      <rPr>
        <b/>
        <sz val="10"/>
        <color theme="1"/>
        <rFont val="宋体"/>
        <family val="3"/>
        <charset val="134"/>
      </rPr>
      <t>锂离子电池研发</t>
    </r>
    <phoneticPr fontId="45" type="noConversion"/>
  </si>
  <si>
    <t>PM240707</t>
    <phoneticPr fontId="45" type="noConversion"/>
  </si>
  <si>
    <r>
      <rPr>
        <b/>
        <sz val="10"/>
        <color theme="1"/>
        <rFont val="宋体"/>
        <family val="3"/>
        <charset val="134"/>
      </rPr>
      <t xml:space="preserve">研发经理
</t>
    </r>
    <r>
      <rPr>
        <b/>
        <sz val="10"/>
        <color theme="1"/>
        <rFont val="Times New Roman"/>
        <family val="1"/>
      </rPr>
      <t>Development Manager</t>
    </r>
  </si>
  <si>
    <t>郭少华</t>
    <phoneticPr fontId="45" type="noConversion"/>
  </si>
  <si>
    <t>L246N183A</t>
    <phoneticPr fontId="45" type="noConversion"/>
  </si>
  <si>
    <t>（100±50）N</t>
    <phoneticPr fontId="45" type="noConversion"/>
  </si>
  <si>
    <t>（4±1）mm
见附图1</t>
    <phoneticPr fontId="45" type="noConversion"/>
  </si>
  <si>
    <t xml:space="preserve">           JSZ3-C1-L246N183A型号涂布工序防错清单</t>
    <phoneticPr fontId="45" type="noConversion"/>
  </si>
  <si>
    <r>
      <t>L246N183A</t>
    </r>
    <r>
      <rPr>
        <b/>
        <sz val="10"/>
        <color theme="1"/>
        <rFont val="宋体"/>
        <family val="3"/>
        <charset val="134"/>
      </rPr>
      <t>锂离子电池研发</t>
    </r>
    <phoneticPr fontId="45" type="noConversion"/>
  </si>
  <si>
    <t>郭少华</t>
    <phoneticPr fontId="45" type="noConversion"/>
  </si>
  <si>
    <t>L246N183A</t>
    <phoneticPr fontId="45" type="noConversion"/>
  </si>
  <si>
    <t>(12±1.0)μm</t>
    <phoneticPr fontId="45" type="noConversion"/>
  </si>
  <si>
    <t>使用时间≤24个月</t>
    <phoneticPr fontId="45" type="noConversion"/>
  </si>
  <si>
    <t>1、设备工程师更换磁棒
2、对已产出可疑产品进行追溯，识别并隔离异常产品，并通知工艺、质量工程师进行判定。</t>
    <phoneticPr fontId="45" type="noConversion"/>
  </si>
  <si>
    <t xml:space="preserve">  单面（120-250）μm
双面（180-280）μm</t>
    <phoneticPr fontId="45" type="noConversion"/>
  </si>
  <si>
    <t>(10-50)RPM</t>
    <phoneticPr fontId="45" type="noConversion"/>
  </si>
  <si>
    <t>（120±50）N</t>
    <phoneticPr fontId="45" type="noConversion"/>
  </si>
  <si>
    <t>（130±50）N</t>
    <phoneticPr fontId="45" type="noConversion"/>
  </si>
  <si>
    <t>1、设备工程师更换磁棒
2、对已产出可疑产品进行追溯，识别并隔离异常产品，并通知工艺、质量工程师进行判定。</t>
    <phoneticPr fontId="45" type="noConversion"/>
  </si>
  <si>
    <t>参照《电池单体极卷外观技术要求》</t>
    <phoneticPr fontId="45" type="noConversion"/>
  </si>
  <si>
    <t>1次</t>
    <phoneticPr fontId="45" type="noConversion"/>
  </si>
  <si>
    <t>☆</t>
    <phoneticPr fontId="45" type="noConversion"/>
  </si>
  <si>
    <t>☆</t>
    <phoneticPr fontId="45" type="noConversion"/>
  </si>
  <si>
    <t>☆</t>
    <phoneticPr fontId="45" type="noConversion"/>
  </si>
  <si>
    <t>极片A面＋B面密度（首检中值确认）</t>
    <phoneticPr fontId="45" type="noConversion"/>
  </si>
  <si>
    <t>高斯计</t>
    <phoneticPr fontId="45" type="noConversion"/>
  </si>
  <si>
    <t>1、点检并记录
2、质量部门对磁感应强度进行抽检
3、计量负责磁棒进厂首次校验</t>
    <phoneticPr fontId="45" type="noConversion"/>
  </si>
  <si>
    <t>≥12000GS</t>
    <phoneticPr fontId="45" type="noConversion"/>
  </si>
  <si>
    <t>动态10万级</t>
    <phoneticPr fontId="45" type="noConversion"/>
  </si>
  <si>
    <t>江苏基地/JS中试工厂/Y16试制车间</t>
    <phoneticPr fontId="45" type="noConversion"/>
  </si>
  <si>
    <t>PM240707-014</t>
    <phoneticPr fontId="45" type="noConversion"/>
  </si>
  <si>
    <t>PM240707-014</t>
    <phoneticPr fontId="45" type="noConversion"/>
  </si>
  <si>
    <t>涂布工序</t>
    <phoneticPr fontId="45" type="noConversion"/>
  </si>
  <si>
    <t>AB面涂布泵速</t>
    <phoneticPr fontId="45" type="noConversion"/>
  </si>
  <si>
    <t>(10-100)RPM</t>
    <phoneticPr fontId="45" type="noConversion"/>
  </si>
  <si>
    <t xml:space="preserve">双面边缘向内5mm处与正常区厚度极差 </t>
    <phoneticPr fontId="45" type="noConversion"/>
  </si>
  <si>
    <t>涂布后，极片面电阻</t>
    <phoneticPr fontId="45" type="noConversion"/>
  </si>
  <si>
    <t>涂布后，极片粘附力</t>
    <phoneticPr fontId="45" type="noConversion"/>
  </si>
  <si>
    <t>电子天平
（0.0001g）/β-Ray测重仪</t>
    <phoneticPr fontId="45" type="noConversion"/>
  </si>
  <si>
    <t>浆料流转标识卡</t>
  </si>
  <si>
    <t>挑战参数</t>
    <phoneticPr fontId="45" type="noConversion"/>
  </si>
  <si>
    <t>标准量块</t>
    <phoneticPr fontId="45" type="noConversion"/>
  </si>
  <si>
    <t>通过挑战参数验证CCD功能</t>
    <phoneticPr fontId="45" type="noConversion"/>
  </si>
  <si>
    <t>通过挑战参数验证测厚仪功能</t>
    <phoneticPr fontId="45" type="noConversion"/>
  </si>
  <si>
    <t>(454±0.5)mm
见附图1</t>
    <phoneticPr fontId="45" type="noConversion"/>
  </si>
  <si>
    <r>
      <rPr>
        <b/>
        <sz val="10"/>
        <rFont val="宋体"/>
        <family val="3"/>
        <charset val="134"/>
      </rPr>
      <t>□</t>
    </r>
    <r>
      <rPr>
        <b/>
        <sz val="10"/>
        <rFont val="Times New Roman"/>
        <family val="1"/>
      </rPr>
      <t xml:space="preserve"> A </t>
    </r>
    <r>
      <rPr>
        <b/>
        <sz val="10"/>
        <rFont val="宋体"/>
        <family val="3"/>
        <charset val="134"/>
      </rPr>
      <t>样件</t>
    </r>
    <r>
      <rPr>
        <b/>
        <sz val="10"/>
        <rFont val="Times New Roman"/>
        <family val="1"/>
      </rPr>
      <t xml:space="preserve">     </t>
    </r>
    <r>
      <rPr>
        <b/>
        <sz val="10"/>
        <rFont val="宋体"/>
        <family val="3"/>
        <charset val="134"/>
      </rPr>
      <t>■</t>
    </r>
    <r>
      <rPr>
        <b/>
        <sz val="10"/>
        <rFont val="Times New Roman"/>
        <family val="1"/>
      </rPr>
      <t xml:space="preserve">B </t>
    </r>
    <r>
      <rPr>
        <b/>
        <sz val="10"/>
        <rFont val="宋体"/>
        <family val="3"/>
        <charset val="134"/>
      </rPr>
      <t>样件</t>
    </r>
    <r>
      <rPr>
        <b/>
        <sz val="10"/>
        <rFont val="Times New Roman"/>
        <family val="1"/>
      </rPr>
      <t xml:space="preserve">        </t>
    </r>
    <r>
      <rPr>
        <b/>
        <sz val="10"/>
        <rFont val="宋体"/>
        <family val="3"/>
        <charset val="134"/>
      </rPr>
      <t>□</t>
    </r>
    <r>
      <rPr>
        <b/>
        <sz val="10"/>
        <rFont val="Times New Roman"/>
        <family val="1"/>
      </rPr>
      <t xml:space="preserve">C </t>
    </r>
    <r>
      <rPr>
        <b/>
        <sz val="10"/>
        <rFont val="宋体"/>
        <family val="3"/>
        <charset val="134"/>
      </rPr>
      <t>样件</t>
    </r>
    <r>
      <rPr>
        <b/>
        <sz val="10"/>
        <rFont val="Times New Roman"/>
        <family val="1"/>
      </rPr>
      <t xml:space="preserve">            </t>
    </r>
    <r>
      <rPr>
        <b/>
        <sz val="10"/>
        <rFont val="宋体"/>
        <family val="3"/>
        <charset val="134"/>
      </rPr>
      <t>□试生产</t>
    </r>
    <r>
      <rPr>
        <b/>
        <sz val="10"/>
        <rFont val="Times New Roman"/>
        <family val="1"/>
      </rPr>
      <t xml:space="preserve">              </t>
    </r>
    <r>
      <rPr>
        <b/>
        <sz val="10"/>
        <rFont val="宋体"/>
        <family val="3"/>
        <charset val="134"/>
      </rPr>
      <t xml:space="preserve">□量产
</t>
    </r>
    <r>
      <rPr>
        <b/>
        <sz val="10"/>
        <rFont val="Times New Roman"/>
        <family val="1"/>
      </rPr>
      <t>A-Sample         B-Sample         C-Sample      Pre-production      Production</t>
    </r>
    <phoneticPr fontId="45" type="noConversion"/>
  </si>
  <si>
    <r>
      <t xml:space="preserve"> </t>
    </r>
    <r>
      <rPr>
        <b/>
        <sz val="10"/>
        <rFont val="宋体"/>
        <family val="3"/>
        <charset val="134"/>
      </rPr>
      <t>□</t>
    </r>
    <r>
      <rPr>
        <b/>
        <sz val="10"/>
        <rFont val="Times New Roman"/>
        <family val="1"/>
      </rPr>
      <t xml:space="preserve"> A </t>
    </r>
    <r>
      <rPr>
        <b/>
        <sz val="10"/>
        <rFont val="宋体"/>
        <family val="3"/>
        <charset val="134"/>
      </rPr>
      <t>样件</t>
    </r>
    <r>
      <rPr>
        <b/>
        <sz val="10"/>
        <rFont val="Times New Roman"/>
        <family val="1"/>
      </rPr>
      <t xml:space="preserve">      </t>
    </r>
    <r>
      <rPr>
        <b/>
        <sz val="10"/>
        <rFont val="宋体"/>
        <family val="3"/>
        <charset val="134"/>
      </rPr>
      <t>■</t>
    </r>
    <r>
      <rPr>
        <b/>
        <sz val="10"/>
        <rFont val="Times New Roman"/>
        <family val="1"/>
      </rPr>
      <t xml:space="preserve">B </t>
    </r>
    <r>
      <rPr>
        <b/>
        <sz val="10"/>
        <rFont val="宋体"/>
        <family val="3"/>
        <charset val="134"/>
      </rPr>
      <t>样件</t>
    </r>
    <r>
      <rPr>
        <b/>
        <sz val="10"/>
        <rFont val="Times New Roman"/>
        <family val="1"/>
      </rPr>
      <t xml:space="preserve">        </t>
    </r>
    <r>
      <rPr>
        <b/>
        <sz val="10"/>
        <rFont val="宋体"/>
        <family val="3"/>
        <charset val="134"/>
      </rPr>
      <t>□</t>
    </r>
    <r>
      <rPr>
        <b/>
        <sz val="10"/>
        <rFont val="Times New Roman"/>
        <family val="1"/>
      </rPr>
      <t xml:space="preserve">C </t>
    </r>
    <r>
      <rPr>
        <b/>
        <sz val="10"/>
        <rFont val="宋体"/>
        <family val="3"/>
        <charset val="134"/>
      </rPr>
      <t>样件</t>
    </r>
    <r>
      <rPr>
        <b/>
        <sz val="10"/>
        <rFont val="Times New Roman"/>
        <family val="1"/>
      </rPr>
      <t xml:space="preserve">            </t>
    </r>
    <r>
      <rPr>
        <b/>
        <sz val="10"/>
        <rFont val="宋体"/>
        <family val="3"/>
        <charset val="134"/>
      </rPr>
      <t>□试生产</t>
    </r>
    <r>
      <rPr>
        <b/>
        <sz val="10"/>
        <rFont val="Times New Roman"/>
        <family val="1"/>
      </rPr>
      <t xml:space="preserve">              </t>
    </r>
    <r>
      <rPr>
        <b/>
        <sz val="10"/>
        <rFont val="宋体"/>
        <family val="3"/>
        <charset val="134"/>
      </rPr>
      <t xml:space="preserve">□量产
</t>
    </r>
    <r>
      <rPr>
        <b/>
        <sz val="10"/>
        <rFont val="Times New Roman"/>
        <family val="1"/>
      </rPr>
      <t>A-Sample         B-Sample         C-Sample      Pre-production      Production</t>
    </r>
    <phoneticPr fontId="45" type="noConversion"/>
  </si>
  <si>
    <t>A0</t>
  </si>
  <si>
    <r>
      <t>A</t>
    </r>
    <r>
      <rPr>
        <sz val="11"/>
        <rFont val="宋体"/>
        <family val="3"/>
        <charset val="134"/>
      </rPr>
      <t>样文件首版发行</t>
    </r>
    <phoneticPr fontId="45" type="noConversion"/>
  </si>
  <si>
    <t>钱建业</t>
    <phoneticPr fontId="45" type="noConversion"/>
  </si>
  <si>
    <t>（513±1.0）mm</t>
    <phoneticPr fontId="45" type="noConversion"/>
  </si>
  <si>
    <t>（10-40）μm
(不包含箔材)</t>
    <phoneticPr fontId="45" type="noConversion"/>
  </si>
  <si>
    <t>（20-80）μm
(不包含箔材)</t>
    <phoneticPr fontId="45" type="noConversion"/>
  </si>
  <si>
    <t>（0.0~0.5）mm</t>
    <phoneticPr fontId="45" type="noConversion"/>
  </si>
  <si>
    <t>B0</t>
    <phoneticPr fontId="45" type="noConversion"/>
  </si>
  <si>
    <t>2024.11.30</t>
    <phoneticPr fontId="45" type="noConversion"/>
  </si>
  <si>
    <t>B1</t>
    <phoneticPr fontId="45" type="noConversion"/>
  </si>
  <si>
    <t>(32.4±1.0)g/m2（以实测为准）</t>
    <phoneticPr fontId="45" type="noConversion"/>
  </si>
  <si>
    <t>2024.07.29</t>
    <phoneticPr fontId="45" type="noConversion"/>
  </si>
  <si>
    <t>2025.02.17</t>
    <phoneticPr fontId="45" type="noConversion"/>
  </si>
  <si>
    <t>陈颖</t>
    <phoneticPr fontId="45" type="noConversion"/>
  </si>
  <si>
    <t>B2</t>
    <phoneticPr fontId="45" type="noConversion"/>
  </si>
  <si>
    <t>钱建业</t>
    <phoneticPr fontId="45" type="noConversion"/>
  </si>
  <si>
    <t>2025.06.16</t>
    <phoneticPr fontId="45" type="noConversion"/>
  </si>
  <si>
    <r>
      <t>(149.1±1.8)g /m</t>
    </r>
    <r>
      <rPr>
        <vertAlign val="superscript"/>
        <sz val="10"/>
        <color theme="1"/>
        <rFont val="宋体"/>
        <family val="3"/>
        <charset val="134"/>
        <scheme val="minor"/>
      </rPr>
      <t>2</t>
    </r>
    <r>
      <rPr>
        <sz val="10"/>
        <color theme="1"/>
        <rFont val="宋体"/>
        <family val="3"/>
        <charset val="134"/>
        <scheme val="minor"/>
      </rPr>
      <t xml:space="preserve">
见附表2</t>
    </r>
    <phoneticPr fontId="45" type="noConversion"/>
  </si>
  <si>
    <r>
      <t>（298.2±4.5）g /m</t>
    </r>
    <r>
      <rPr>
        <vertAlign val="superscript"/>
        <sz val="10"/>
        <color theme="1"/>
        <rFont val="宋体"/>
        <family val="3"/>
        <charset val="134"/>
        <scheme val="minor"/>
      </rPr>
      <t>2</t>
    </r>
    <r>
      <rPr>
        <sz val="10"/>
        <color theme="1"/>
        <rFont val="宋体"/>
        <family val="3"/>
        <charset val="134"/>
        <scheme val="minor"/>
      </rPr>
      <t xml:space="preserve">  
见附表2         </t>
    </r>
    <phoneticPr fontId="45" type="noConversion"/>
  </si>
  <si>
    <r>
      <t>（298.2±3.6）g /m</t>
    </r>
    <r>
      <rPr>
        <vertAlign val="superscript"/>
        <sz val="10"/>
        <color theme="1"/>
        <rFont val="宋体"/>
        <family val="3"/>
        <charset val="134"/>
        <scheme val="minor"/>
      </rPr>
      <t>2</t>
    </r>
    <r>
      <rPr>
        <sz val="10"/>
        <color theme="1"/>
        <rFont val="宋体"/>
        <family val="3"/>
        <charset val="134"/>
        <scheme val="minor"/>
      </rPr>
      <t xml:space="preserve">  
见附表2</t>
    </r>
    <phoneticPr fontId="45" type="noConversion"/>
  </si>
  <si>
    <t>极片A/B面面密度</t>
    <phoneticPr fontId="45" type="noConversion"/>
  </si>
  <si>
    <t>极片A面＋B面密度</t>
    <phoneticPr fontId="45" type="noConversion"/>
  </si>
  <si>
    <t>B2</t>
    <phoneticPr fontId="45" type="noConversion"/>
  </si>
  <si>
    <t>φ44.28mm取样器</t>
    <phoneticPr fontId="45" type="noConversion"/>
  </si>
  <si>
    <t>正极涂布机（Δ）
φ44.28mm取样器</t>
    <phoneticPr fontId="45" type="noConversion"/>
  </si>
  <si>
    <t>正极涂布机（Δ）
φ44.28mm取样器</t>
    <phoneticPr fontId="45" type="noConversion"/>
  </si>
  <si>
    <t xml:space="preserve">单面边缘向内5mm处与正常区厚度极差 </t>
    <phoneticPr fontId="45" type="noConversion"/>
  </si>
  <si>
    <t xml:space="preserve">单面边缘向内1mm处与正常区厚度极差 </t>
    <phoneticPr fontId="45" type="noConversion"/>
  </si>
  <si>
    <t xml:space="preserve">双面边缘向内1mm处与正常区厚度极差 </t>
    <phoneticPr fontId="45" type="noConversion"/>
  </si>
  <si>
    <t xml:space="preserve">双面边缘向内3mm处与正常区厚度极差 </t>
    <phoneticPr fontId="45" type="noConversion"/>
  </si>
  <si>
    <t>（0.0,5.0）μm</t>
    <phoneticPr fontId="45" type="noConversion"/>
  </si>
  <si>
    <t>（单面削薄量+0.0,单面削薄量+5.0）μm</t>
    <phoneticPr fontId="45" type="noConversion"/>
  </si>
  <si>
    <r>
      <rPr>
        <sz val="10"/>
        <color theme="1"/>
        <rFont val="宋体"/>
        <family val="3"/>
        <charset val="134"/>
      </rPr>
      <t>（单面削薄量</t>
    </r>
    <r>
      <rPr>
        <sz val="10"/>
        <color theme="1"/>
        <rFont val="Times New Roman"/>
        <family val="1"/>
      </rPr>
      <t>+3.0μm</t>
    </r>
    <r>
      <rPr>
        <sz val="10"/>
        <color theme="1"/>
        <rFont val="等线"/>
        <family val="3"/>
        <charset val="134"/>
      </rPr>
      <t>）</t>
    </r>
    <r>
      <rPr>
        <sz val="10"/>
        <color theme="1"/>
        <rFont val="Times New Roman"/>
        <family val="1"/>
      </rPr>
      <t xml:space="preserve">~
</t>
    </r>
    <r>
      <rPr>
        <sz val="10"/>
        <color theme="1"/>
        <rFont val="等线"/>
        <family val="3"/>
        <charset val="134"/>
      </rPr>
      <t>（</t>
    </r>
    <r>
      <rPr>
        <sz val="10"/>
        <color theme="1"/>
        <rFont val="宋体"/>
        <family val="3"/>
        <charset val="134"/>
      </rPr>
      <t>单面削薄量</t>
    </r>
    <r>
      <rPr>
        <sz val="10"/>
        <color theme="1"/>
        <rFont val="Times New Roman"/>
        <family val="1"/>
      </rPr>
      <t>+8.0μm</t>
    </r>
    <r>
      <rPr>
        <sz val="10"/>
        <color theme="1"/>
        <rFont val="宋体"/>
        <family val="3"/>
        <charset val="134"/>
      </rPr>
      <t>）</t>
    </r>
    <phoneticPr fontId="45" type="noConversion"/>
  </si>
  <si>
    <t>1~5μm</t>
    <phoneticPr fontId="45" type="noConversion"/>
  </si>
  <si>
    <r>
      <rPr>
        <sz val="10"/>
        <color theme="1"/>
        <rFont val="宋体"/>
        <family val="3"/>
        <charset val="134"/>
      </rPr>
      <t>（单面削薄量</t>
    </r>
    <r>
      <rPr>
        <sz val="10"/>
        <color theme="1"/>
        <rFont val="Times New Roman"/>
        <family val="1"/>
      </rPr>
      <t>+1.0μm</t>
    </r>
    <r>
      <rPr>
        <sz val="10"/>
        <color theme="1"/>
        <rFont val="等线"/>
        <family val="3"/>
        <charset val="134"/>
      </rPr>
      <t>）</t>
    </r>
    <r>
      <rPr>
        <sz val="10"/>
        <color theme="1"/>
        <rFont val="Times New Roman"/>
        <family val="1"/>
      </rPr>
      <t xml:space="preserve">~
</t>
    </r>
    <r>
      <rPr>
        <sz val="10"/>
        <color theme="1"/>
        <rFont val="等线"/>
        <family val="3"/>
        <charset val="134"/>
      </rPr>
      <t>（</t>
    </r>
    <r>
      <rPr>
        <sz val="10"/>
        <color theme="1"/>
        <rFont val="宋体"/>
        <family val="3"/>
        <charset val="134"/>
      </rPr>
      <t>单面削薄量</t>
    </r>
    <r>
      <rPr>
        <sz val="10"/>
        <color theme="1"/>
        <rFont val="Times New Roman"/>
        <family val="1"/>
      </rPr>
      <t>+5.0μm</t>
    </r>
    <r>
      <rPr>
        <sz val="10"/>
        <color theme="1"/>
        <rFont val="宋体"/>
        <family val="3"/>
        <charset val="134"/>
      </rPr>
      <t>）</t>
    </r>
    <phoneticPr fontId="45" type="noConversion"/>
  </si>
  <si>
    <t>双面中间削薄区厚度差（中心处与正常区厚度之差）</t>
    <phoneticPr fontId="45" type="noConversion"/>
  </si>
  <si>
    <t>B2</t>
    <phoneticPr fontId="45" type="noConversion"/>
  </si>
  <si>
    <t>（29.5±0.7）mm
（含极耳胶宽度）
见附图1</t>
    <phoneticPr fontId="45" type="noConversion"/>
  </si>
  <si>
    <r>
      <t>(149.1±2.3）g /m</t>
    </r>
    <r>
      <rPr>
        <vertAlign val="superscript"/>
        <sz val="10"/>
        <color theme="1"/>
        <rFont val="宋体"/>
        <family val="3"/>
        <charset val="134"/>
        <scheme val="minor"/>
      </rPr>
      <t>2</t>
    </r>
    <r>
      <rPr>
        <sz val="10"/>
        <color theme="1"/>
        <rFont val="宋体"/>
        <family val="3"/>
        <charset val="134"/>
        <scheme val="minor"/>
      </rPr>
      <t xml:space="preserve"> 
见附表2</t>
    </r>
    <phoneticPr fontId="45" type="noConversion"/>
  </si>
  <si>
    <t>极片A/B面面密度（首检中值确认）</t>
    <phoneticPr fontId="45" type="noConversion"/>
  </si>
  <si>
    <t>≤1.5Ω（以实测为准）</t>
    <phoneticPr fontId="45" type="noConversion"/>
  </si>
  <si>
    <r>
      <t>拉力机</t>
    </r>
    <r>
      <rPr>
        <sz val="10"/>
        <color theme="1"/>
        <rFont val="Times New Roman"/>
        <family val="1"/>
      </rPr>
      <t xml:space="preserve">  </t>
    </r>
    <phoneticPr fontId="45" type="noConversion"/>
  </si>
  <si>
    <t>每天</t>
    <phoneticPr fontId="45" type="noConversion"/>
  </si>
  <si>
    <t>每天</t>
    <phoneticPr fontId="45" type="noConversion"/>
  </si>
  <si>
    <t>万分尺
（0.1μm）</t>
    <phoneticPr fontId="45" type="noConversion"/>
  </si>
  <si>
    <t>离线测厚仪
（0.1μm）</t>
    <phoneticPr fontId="45" type="noConversion"/>
  </si>
  <si>
    <t>首检1次
尾检1次
过程检1次</t>
    <phoneticPr fontId="45" type="noConversion"/>
  </si>
  <si>
    <t>首检</t>
    <phoneticPr fontId="45" type="noConversion"/>
  </si>
  <si>
    <t>（0.0,10.0）μm</t>
    <phoneticPr fontId="45" type="noConversion"/>
  </si>
  <si>
    <t xml:space="preserve">单面边缘向内3mm处与正常区厚度极差 </t>
    <phoneticPr fontId="45" type="noConversion"/>
  </si>
  <si>
    <t>（单面削薄量+0.0,单面削薄量+10.0）μm</t>
    <phoneticPr fontId="45" type="noConversion"/>
  </si>
  <si>
    <t>（0.0,6.0）μm</t>
    <phoneticPr fontId="45" type="noConversion"/>
  </si>
  <si>
    <t>（单面削薄量+0.0,单面削薄量+6.0）μm</t>
    <phoneticPr fontId="45" type="noConversion"/>
  </si>
  <si>
    <t>单面中间削薄区厚度差（中心处与正常区厚度之差）</t>
    <phoneticPr fontId="45" type="noConversion"/>
  </si>
  <si>
    <t>3~8μm</t>
    <phoneticPr fontId="45" type="noConversion"/>
  </si>
  <si>
    <t>单面中间6mm削薄区厚度差（中间6mm处与正常区厚度之差）</t>
    <phoneticPr fontId="45" type="noConversion"/>
  </si>
  <si>
    <t>双面中间6mm削薄区厚度差（中间6mm处与正常区厚度之差）</t>
    <phoneticPr fontId="45" type="noConversion"/>
  </si>
  <si>
    <t>1、对不合格品进行标识隔离、通知质检按照不合格品处理流程进行处理
2、操作人员调整涂布间隙、更换不同规格垫片
4、调整完成后对产品进行取样检验，持续两次取样合格后恢复正常检验</t>
  </si>
  <si>
    <t>1、对不合格品进行标识隔离、通知质检按照不合格品处理流程进行处理
2、操作人员调整涂布间隙、更换不同规格垫片
3、调整完成后对产品进行取样检验，持续两次取样合格后恢复正常检验</t>
    <phoneticPr fontId="45" type="noConversion"/>
  </si>
  <si>
    <t>高博、徐建伟、杨洁、丁正亚、郭少华、邢晨、顾梦洁、冯震世</t>
    <phoneticPr fontId="45" type="noConversion"/>
  </si>
  <si>
    <t>高博、徐建伟、杨洁、丁正亚、郭少华、邢晨、顾梦洁、冯震世</t>
    <phoneticPr fontId="45" type="noConversion"/>
  </si>
  <si>
    <t>取样器直径25mm变更为44.28mm</t>
    <phoneticPr fontId="45" type="noConversion"/>
  </si>
  <si>
    <t>单面面密度由（156.8±2.4）g/m2变更为（155.2±2.4）g/m2
双面面密度由（313.5±4.7）g/m2变更为（310.4±4.7）g/m2
单面极耳胶厚度由（10-25）μm变更为（10-40）μm
双面极耳胶厚度由（20-50）μm变更为（20-80）μm</t>
    <phoneticPr fontId="45" type="noConversion"/>
  </si>
  <si>
    <t>单面面密度由（155.2±2.4）g/m2变更为（149.1±2.3）g/m2
双面面密度由（310.4±4.7）g/m2变更为（298.2±4.5）g/m2
涂布电阻≤3Ω变更至≤1.5Ω
涂布留白区宽度由29.5±0.5mm变更至29.5±0.7mm
新增单面边缘向内1mm处与正常区厚度极差（0.0,10.0）μm
新增双面边缘向内1mm处与正常区厚度极差（单面削薄量+0.0,单面削薄量+10.0）μm 
新增单面边缘向内3mm处与正常区厚度极差（0.0,6.0）μm
新增双面边缘向内3mm处与正常区厚度极差（单面削薄量+0.0,单面削薄量+6.0）μm
单面边缘向内5mm处与正常区厚度极差（1.0,8.0）μm变更至（0.0,5.0）
双面边缘向内5mm处与正常区厚度极差（单面削薄量+1.0,单面削薄量+8.0）μm变更至（单面削薄量+0.0,单面削薄量+5.0）μm
单面中间削薄区厚度差（中心处与正常区厚度之差）（6.0,12.0）μm变更至（3.0,8.0）μm
双面中间削薄区厚度差（中心处与正常区厚度之差）（单面削薄量+6.0,单面削薄量+12.0）μm变更至（单面削薄量+3.0,单面削薄量+8.0）μm
新增单面中间6mm削薄区厚度差（中间6mm处与正常区厚度之差）（1.0,5.0）μm
新增双面中间6mm削薄区厚度差（中间6mm处与正常区厚度之差）（单面削薄量+1.0,单面削薄量+5.0）μm</t>
    <phoneticPr fontId="4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</si>
</sst>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76" formatCode="0.000_ "/>
    <numFmt numFmtId="177" formatCode="0.0"/>
    <numFmt numFmtId="178" formatCode="0.0_);[Red]\(0.0\)"/>
    <numFmt numFmtId="179" formatCode="[$-409]mmm/yy;@"/>
    <numFmt numFmtId="180" formatCode="0.00_ "/>
    <numFmt numFmtId="181" formatCode="0.0_ "/>
    <numFmt numFmtId="182" formatCode="0.0000_ "/>
    <numFmt numFmtId="183" formatCode="0_ "/>
    <numFmt numFmtId="184" formatCode="0.00_);[Red]\(0.00\)"/>
  </numFmts>
  <fonts count="63">
    <font>
      <sz val="11"/>
      <color theme="1"/>
      <name val="宋体"/>
      <charset val="134"/>
      <scheme val="minor"/>
    </font>
    <font>
      <b/>
      <sz val="11"/>
      <color theme="1"/>
      <name val="宋体"/>
      <family val="3"/>
      <charset val="134"/>
      <scheme val="minor"/>
    </font>
    <font>
      <sz val="10"/>
      <color indexed="8"/>
      <name val="Times New Roman"/>
      <family val="1"/>
    </font>
    <font>
      <sz val="10"/>
      <color theme="1"/>
      <name val="宋体"/>
      <family val="3"/>
      <charset val="134"/>
    </font>
    <font>
      <sz val="10"/>
      <color theme="1"/>
      <name val="Times New Roman"/>
      <family val="1"/>
    </font>
    <font>
      <sz val="10"/>
      <color indexed="8"/>
      <name val="宋体"/>
      <family val="3"/>
      <charset val="134"/>
    </font>
    <font>
      <sz val="10"/>
      <color theme="1"/>
      <name val="宋体"/>
      <family val="3"/>
      <charset val="134"/>
      <scheme val="minor"/>
    </font>
    <font>
      <sz val="10"/>
      <name val="宋体"/>
      <family val="3"/>
      <charset val="134"/>
      <scheme val="minor"/>
    </font>
    <font>
      <b/>
      <sz val="12"/>
      <name val="Arial "/>
      <family val="2"/>
    </font>
    <font>
      <b/>
      <sz val="10"/>
      <name val="Arial"/>
      <family val="2"/>
    </font>
    <font>
      <b/>
      <sz val="11"/>
      <name val="宋体"/>
      <family val="3"/>
      <charset val="134"/>
    </font>
    <font>
      <sz val="11"/>
      <name val="宋体"/>
      <family val="3"/>
      <charset val="134"/>
    </font>
    <font>
      <sz val="9"/>
      <color theme="1"/>
      <name val="宋体"/>
      <family val="3"/>
      <charset val="134"/>
    </font>
    <font>
      <b/>
      <sz val="18"/>
      <color theme="1"/>
      <name val="宋体"/>
      <family val="3"/>
      <charset val="134"/>
    </font>
    <font>
      <b/>
      <sz val="18"/>
      <color theme="1"/>
      <name val="Calibri"/>
      <family val="2"/>
    </font>
    <font>
      <sz val="12"/>
      <color theme="1"/>
      <name val="Calibri"/>
      <family val="2"/>
    </font>
    <font>
      <sz val="10"/>
      <name val="宋体"/>
      <family val="3"/>
      <charset val="134"/>
    </font>
    <font>
      <b/>
      <sz val="9"/>
      <color theme="1"/>
      <name val="宋体"/>
      <family val="3"/>
      <charset val="134"/>
    </font>
    <font>
      <sz val="10"/>
      <name val="Times New Roman"/>
      <family val="1"/>
    </font>
    <font>
      <sz val="11"/>
      <name val="宋体"/>
      <family val="3"/>
      <charset val="134"/>
      <scheme val="minor"/>
    </font>
    <font>
      <sz val="10"/>
      <color theme="1"/>
      <name val="Calibri"/>
      <family val="2"/>
    </font>
    <font>
      <sz val="11"/>
      <name val="Times New Roman"/>
      <family val="1"/>
    </font>
    <font>
      <b/>
      <sz val="18"/>
      <name val="宋体"/>
      <family val="3"/>
      <charset val="134"/>
    </font>
    <font>
      <b/>
      <sz val="10"/>
      <name val="Times New Roman"/>
      <family val="1"/>
    </font>
    <font>
      <b/>
      <sz val="10"/>
      <name val="宋体"/>
      <family val="3"/>
      <charset val="134"/>
    </font>
    <font>
      <b/>
      <sz val="10"/>
      <color theme="1"/>
      <name val="Times New Roman"/>
      <family val="1"/>
    </font>
    <font>
      <sz val="14"/>
      <name val="Times New Roman"/>
      <family val="1"/>
    </font>
    <font>
      <sz val="14"/>
      <color rgb="FFFF0000"/>
      <name val="Times New Roman"/>
      <family val="1"/>
    </font>
    <font>
      <sz val="11"/>
      <color theme="1"/>
      <name val="Times New Roman"/>
      <family val="1"/>
    </font>
    <font>
      <b/>
      <sz val="10"/>
      <color theme="1"/>
      <name val="宋体"/>
      <family val="3"/>
      <charset val="134"/>
    </font>
    <font>
      <b/>
      <sz val="10"/>
      <color theme="1"/>
      <name val="宋体"/>
      <family val="3"/>
      <charset val="134"/>
      <scheme val="minor"/>
    </font>
    <font>
      <sz val="11"/>
      <color theme="1"/>
      <name val="宋体"/>
      <family val="3"/>
      <charset val="134"/>
    </font>
    <font>
      <sz val="14"/>
      <color theme="1"/>
      <name val="Times New Roman"/>
      <family val="1"/>
    </font>
    <font>
      <b/>
      <sz val="18"/>
      <name val="Times New Roman"/>
      <family val="1"/>
    </font>
    <font>
      <b/>
      <sz val="12"/>
      <name val="宋体"/>
      <family val="3"/>
      <charset val="134"/>
    </font>
    <font>
      <sz val="12"/>
      <name val="宋体"/>
      <family val="3"/>
      <charset val="134"/>
    </font>
    <font>
      <sz val="12"/>
      <name val="Times New Roman"/>
      <family val="1"/>
    </font>
    <font>
      <b/>
      <sz val="16"/>
      <name val="Times New Roman"/>
      <family val="1"/>
    </font>
    <font>
      <sz val="11"/>
      <name val="黑体"/>
      <family val="3"/>
      <charset val="134"/>
    </font>
    <font>
      <b/>
      <sz val="12"/>
      <name val="Times New Roman"/>
      <family val="1"/>
    </font>
    <font>
      <sz val="11"/>
      <color theme="1"/>
      <name val="宋体"/>
      <family val="3"/>
      <charset val="134"/>
      <scheme val="minor"/>
    </font>
    <font>
      <sz val="11"/>
      <color indexed="8"/>
      <name val="宋体"/>
      <family val="3"/>
      <charset val="134"/>
    </font>
    <font>
      <sz val="12"/>
      <name val="華康中楷體"/>
      <family val="3"/>
    </font>
    <font>
      <b/>
      <sz val="16"/>
      <name val="宋体"/>
      <family val="3"/>
      <charset val="134"/>
    </font>
    <font>
      <sz val="11"/>
      <color theme="1"/>
      <name val="宋体"/>
      <family val="3"/>
      <charset val="134"/>
      <scheme val="minor"/>
    </font>
    <font>
      <sz val="9"/>
      <name val="宋体"/>
      <family val="3"/>
      <charset val="134"/>
      <scheme val="minor"/>
    </font>
    <font>
      <sz val="12"/>
      <color theme="1"/>
      <name val="宋体"/>
      <family val="3"/>
      <charset val="134"/>
    </font>
    <font>
      <sz val="14"/>
      <name val="Arial"/>
      <family val="2"/>
    </font>
    <font>
      <sz val="12"/>
      <color theme="1"/>
      <name val="宋体"/>
      <family val="3"/>
      <charset val="134"/>
      <scheme val="minor"/>
    </font>
    <font>
      <b/>
      <sz val="14"/>
      <name val="宋体"/>
      <family val="3"/>
      <charset val="134"/>
    </font>
    <font>
      <vertAlign val="superscript"/>
      <sz val="10"/>
      <color theme="1"/>
      <name val="宋体"/>
      <family val="3"/>
      <charset val="134"/>
    </font>
    <font>
      <vertAlign val="superscript"/>
      <sz val="10"/>
      <color theme="1"/>
      <name val="宋体"/>
      <family val="3"/>
      <charset val="134"/>
      <scheme val="minor"/>
    </font>
    <font>
      <b/>
      <sz val="12"/>
      <name val="等线"/>
      <family val="3"/>
      <charset val="134"/>
    </font>
    <font>
      <b/>
      <sz val="9"/>
      <name val="等线"/>
      <family val="3"/>
      <charset val="134"/>
    </font>
    <font>
      <b/>
      <sz val="8"/>
      <name val="等线"/>
      <family val="3"/>
      <charset val="134"/>
    </font>
    <font>
      <b/>
      <sz val="8"/>
      <name val="微软雅黑"/>
      <family val="2"/>
      <charset val="134"/>
    </font>
    <font>
      <sz val="10"/>
      <color theme="1"/>
      <name val="微软雅黑"/>
      <family val="2"/>
      <charset val="134"/>
    </font>
    <font>
      <sz val="10"/>
      <name val="微软雅黑"/>
      <family val="2"/>
      <charset val="134"/>
    </font>
    <font>
      <sz val="9"/>
      <name val="微软雅黑"/>
      <family val="2"/>
      <charset val="134"/>
    </font>
    <font>
      <sz val="9"/>
      <name val="宋体"/>
      <family val="3"/>
      <charset val="134"/>
    </font>
    <font>
      <b/>
      <sz val="6"/>
      <name val="等线"/>
      <family val="3"/>
      <charset val="134"/>
    </font>
    <font>
      <sz val="10"/>
      <color theme="1"/>
      <name val="等线"/>
      <family val="3"/>
      <charset val="134"/>
    </font>
    <font>
      <sz val="11"/>
      <color theme="0"/>
      <name val="宋体"/>
      <family val="3"/>
      <charset val="134"/>
      <scheme val="minor"/>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5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style="medium">
        <color auto="1"/>
      </top>
      <bottom style="thin">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style="medium">
        <color auto="1"/>
      </right>
      <top style="medium">
        <color auto="1"/>
      </top>
      <bottom style="thin">
        <color auto="1"/>
      </bottom>
      <diagonal/>
    </border>
    <border>
      <left style="medium">
        <color auto="1"/>
      </left>
      <right style="double">
        <color auto="1"/>
      </right>
      <top style="medium">
        <color auto="1"/>
      </top>
      <bottom/>
      <diagonal/>
    </border>
    <border>
      <left style="double">
        <color auto="1"/>
      </left>
      <right/>
      <top style="medium">
        <color auto="1"/>
      </top>
      <bottom style="thin">
        <color auto="1"/>
      </bottom>
      <diagonal/>
    </border>
    <border>
      <left style="medium">
        <color auto="1"/>
      </left>
      <right style="double">
        <color auto="1"/>
      </right>
      <top/>
      <bottom style="medium">
        <color auto="1"/>
      </bottom>
      <diagonal/>
    </border>
    <border>
      <left style="double">
        <color auto="1"/>
      </left>
      <right style="thin">
        <color auto="1"/>
      </right>
      <top style="thin">
        <color auto="1"/>
      </top>
      <bottom style="medium">
        <color auto="1"/>
      </bottom>
      <diagonal/>
    </border>
    <border>
      <left style="medium">
        <color auto="1"/>
      </left>
      <right/>
      <top/>
      <bottom style="thin">
        <color auto="1"/>
      </bottom>
      <diagonal/>
    </border>
    <border>
      <left style="double">
        <color auto="1"/>
      </left>
      <right style="thin">
        <color auto="1"/>
      </right>
      <top/>
      <bottom style="thin">
        <color auto="1"/>
      </bottom>
      <diagonal/>
    </border>
    <border>
      <left style="medium">
        <color auto="1"/>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double">
        <color auto="1"/>
      </right>
      <top style="medium">
        <color auto="1"/>
      </top>
      <bottom style="thin">
        <color auto="1"/>
      </bottom>
      <diagonal/>
    </border>
    <border>
      <left style="thin">
        <color auto="1"/>
      </left>
      <right style="double">
        <color auto="1"/>
      </right>
      <top style="thin">
        <color auto="1"/>
      </top>
      <bottom style="medium">
        <color auto="1"/>
      </bottom>
      <diagonal/>
    </border>
    <border>
      <left style="thin">
        <color auto="1"/>
      </left>
      <right style="thin">
        <color auto="1"/>
      </right>
      <top/>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right style="thin">
        <color auto="1"/>
      </right>
      <top style="medium">
        <color auto="1"/>
      </top>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right style="thin">
        <color auto="1"/>
      </right>
      <top/>
      <bottom/>
      <diagonal/>
    </border>
    <border>
      <left/>
      <right style="medium">
        <color auto="1"/>
      </right>
      <top style="thin">
        <color auto="1"/>
      </top>
      <bottom style="thin">
        <color auto="1"/>
      </bottom>
      <diagonal/>
    </border>
    <border>
      <left style="thin">
        <color auto="1"/>
      </left>
      <right/>
      <top/>
      <bottom style="thin">
        <color auto="1"/>
      </bottom>
      <diagonal/>
    </border>
    <border>
      <left/>
      <right style="medium">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top style="thin">
        <color auto="1"/>
      </top>
      <bottom style="medium">
        <color auto="1"/>
      </bottom>
      <diagonal/>
    </border>
    <border>
      <left style="double">
        <color auto="1"/>
      </left>
      <right style="thin">
        <color auto="1"/>
      </right>
      <top/>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right/>
      <top style="thin">
        <color auto="1"/>
      </top>
      <bottom style="medium">
        <color auto="1"/>
      </bottom>
      <diagonal/>
    </border>
    <border>
      <left/>
      <right style="medium">
        <color auto="1"/>
      </right>
      <top style="thin">
        <color auto="1"/>
      </top>
      <bottom/>
      <diagonal/>
    </border>
    <border>
      <left style="thin">
        <color auto="1"/>
      </left>
      <right/>
      <top/>
      <bottom/>
      <diagonal/>
    </border>
  </borders>
  <cellStyleXfs count="30">
    <xf numFmtId="179" fontId="0" fillId="0" borderId="0"/>
    <xf numFmtId="9" fontId="44" fillId="0" borderId="0" applyFont="0" applyFill="0" applyBorder="0" applyAlignment="0" applyProtection="0">
      <alignment vertical="center"/>
    </xf>
    <xf numFmtId="179" fontId="44" fillId="0" borderId="0"/>
    <xf numFmtId="0" fontId="44" fillId="0" borderId="0"/>
    <xf numFmtId="179" fontId="44" fillId="0" borderId="0"/>
    <xf numFmtId="0" fontId="44" fillId="0" borderId="0">
      <alignment vertical="center"/>
    </xf>
    <xf numFmtId="179" fontId="44" fillId="0" borderId="0">
      <alignment vertical="center"/>
    </xf>
    <xf numFmtId="179" fontId="41" fillId="0" borderId="0">
      <alignment vertical="center"/>
    </xf>
    <xf numFmtId="179" fontId="36" fillId="0" borderId="0"/>
    <xf numFmtId="179" fontId="41" fillId="0" borderId="0">
      <alignment vertical="center"/>
    </xf>
    <xf numFmtId="179" fontId="41" fillId="0" borderId="0">
      <alignment vertical="center"/>
    </xf>
    <xf numFmtId="179" fontId="44" fillId="0" borderId="0">
      <alignment vertical="center"/>
    </xf>
    <xf numFmtId="179" fontId="44" fillId="0" borderId="0">
      <alignment vertical="center"/>
    </xf>
    <xf numFmtId="179" fontId="41" fillId="0" borderId="0">
      <alignment vertical="center"/>
    </xf>
    <xf numFmtId="179" fontId="44" fillId="0" borderId="0">
      <alignment vertical="center"/>
    </xf>
    <xf numFmtId="179" fontId="44" fillId="0" borderId="0">
      <alignment vertical="center"/>
    </xf>
    <xf numFmtId="179" fontId="44" fillId="0" borderId="0"/>
    <xf numFmtId="179" fontId="41" fillId="0" borderId="0">
      <alignment vertical="center"/>
    </xf>
    <xf numFmtId="179" fontId="41" fillId="0" borderId="0">
      <alignment vertical="center"/>
    </xf>
    <xf numFmtId="0" fontId="44" fillId="0" borderId="0">
      <alignment vertical="center"/>
    </xf>
    <xf numFmtId="179" fontId="44" fillId="0" borderId="0"/>
    <xf numFmtId="179" fontId="44" fillId="0" borderId="0"/>
    <xf numFmtId="0" fontId="44" fillId="0" borderId="0"/>
    <xf numFmtId="179" fontId="44" fillId="0" borderId="0"/>
    <xf numFmtId="179" fontId="44" fillId="0" borderId="0"/>
    <xf numFmtId="179" fontId="44" fillId="0" borderId="0"/>
    <xf numFmtId="179" fontId="44" fillId="0" borderId="0"/>
    <xf numFmtId="179" fontId="44" fillId="0" borderId="0"/>
    <xf numFmtId="0" fontId="42" fillId="0" borderId="0"/>
    <xf numFmtId="0" fontId="40" fillId="0" borderId="0"/>
  </cellStyleXfs>
  <cellXfs count="446">
    <xf numFmtId="179" fontId="0" fillId="0" borderId="0" xfId="0"/>
    <xf numFmtId="179" fontId="0" fillId="0" borderId="0" xfId="0" applyBorder="1"/>
    <xf numFmtId="179" fontId="1" fillId="0" borderId="0" xfId="0" applyFont="1"/>
    <xf numFmtId="179" fontId="3" fillId="0" borderId="1" xfId="25" applyFont="1" applyBorder="1" applyAlignment="1">
      <alignment horizontal="center" vertical="center"/>
    </xf>
    <xf numFmtId="179" fontId="4" fillId="0" borderId="1" xfId="25" applyFont="1" applyBorder="1" applyAlignment="1">
      <alignment horizontal="center" vertical="center"/>
    </xf>
    <xf numFmtId="179" fontId="3" fillId="0" borderId="1" xfId="25" applyFont="1" applyBorder="1" applyAlignment="1">
      <alignment horizontal="center" vertical="center" wrapText="1"/>
    </xf>
    <xf numFmtId="0" fontId="44" fillId="2" borderId="1" xfId="3" applyFill="1" applyBorder="1"/>
    <xf numFmtId="179" fontId="2" fillId="0" borderId="1" xfId="25" applyFont="1" applyBorder="1" applyAlignment="1">
      <alignment horizontal="center" vertical="center" wrapText="1"/>
    </xf>
    <xf numFmtId="178" fontId="3" fillId="0" borderId="1" xfId="25" applyNumberFormat="1" applyFont="1" applyBorder="1" applyAlignment="1">
      <alignment horizontal="center" vertical="center"/>
    </xf>
    <xf numFmtId="179" fontId="2" fillId="0" borderId="1" xfId="25" applyFont="1" applyBorder="1" applyAlignment="1">
      <alignment horizontal="center" vertical="center"/>
    </xf>
    <xf numFmtId="179" fontId="2" fillId="0" borderId="3" xfId="25" applyFont="1" applyBorder="1" applyAlignment="1">
      <alignment horizontal="center" vertical="center" wrapText="1"/>
    </xf>
    <xf numFmtId="178" fontId="3" fillId="0" borderId="1" xfId="25" applyNumberFormat="1" applyFont="1" applyFill="1" applyBorder="1" applyAlignment="1">
      <alignment horizontal="center" vertical="center"/>
    </xf>
    <xf numFmtId="0" fontId="44" fillId="2" borderId="0" xfId="3" applyFill="1" applyBorder="1"/>
    <xf numFmtId="179" fontId="0" fillId="0" borderId="0" xfId="0" applyAlignment="1">
      <alignment horizontal="center" vertical="center"/>
    </xf>
    <xf numFmtId="179" fontId="0" fillId="0" borderId="0" xfId="0" applyFont="1" applyAlignment="1">
      <alignment horizontal="center" vertical="center"/>
    </xf>
    <xf numFmtId="179" fontId="5" fillId="0" borderId="1" xfId="25" applyFont="1" applyBorder="1" applyAlignment="1">
      <alignment horizontal="center" vertical="center"/>
    </xf>
    <xf numFmtId="177" fontId="6" fillId="0" borderId="1" xfId="25" applyNumberFormat="1" applyFont="1" applyBorder="1" applyAlignment="1">
      <alignment horizontal="center" vertical="center"/>
    </xf>
    <xf numFmtId="0" fontId="44" fillId="2" borderId="0" xfId="3" applyFill="1"/>
    <xf numFmtId="179" fontId="4" fillId="0" borderId="3" xfId="25" applyFont="1" applyBorder="1" applyAlignment="1">
      <alignment horizontal="center" vertical="center" wrapText="1"/>
    </xf>
    <xf numFmtId="179" fontId="4" fillId="0" borderId="0" xfId="25" applyFont="1" applyBorder="1" applyAlignment="1">
      <alignment horizontal="center" vertical="center"/>
    </xf>
    <xf numFmtId="179" fontId="3" fillId="0" borderId="0" xfId="25" applyFont="1" applyBorder="1" applyAlignment="1">
      <alignment horizontal="center" vertical="center" wrapText="1"/>
    </xf>
    <xf numFmtId="179" fontId="5" fillId="0" borderId="1" xfId="25" applyFont="1" applyBorder="1" applyAlignment="1">
      <alignment horizontal="center" vertical="center" wrapText="1"/>
    </xf>
    <xf numFmtId="178" fontId="3" fillId="0" borderId="0" xfId="25" applyNumberFormat="1" applyFont="1" applyBorder="1" applyAlignment="1">
      <alignment horizontal="center" vertical="center"/>
    </xf>
    <xf numFmtId="178" fontId="5" fillId="0" borderId="1" xfId="25" applyNumberFormat="1" applyFont="1" applyBorder="1" applyAlignment="1">
      <alignment horizontal="center" vertical="center"/>
    </xf>
    <xf numFmtId="178" fontId="3" fillId="0" borderId="0" xfId="25" applyNumberFormat="1" applyFont="1" applyFill="1" applyBorder="1" applyAlignment="1">
      <alignment horizontal="center" vertical="center"/>
    </xf>
    <xf numFmtId="178" fontId="5" fillId="0" borderId="1" xfId="25" applyNumberFormat="1" applyFont="1" applyFill="1" applyBorder="1" applyAlignment="1">
      <alignment horizontal="center" vertical="center"/>
    </xf>
    <xf numFmtId="179" fontId="0" fillId="0" borderId="0" xfId="0" applyFont="1" applyBorder="1" applyAlignment="1">
      <alignment horizontal="center" vertical="center"/>
    </xf>
    <xf numFmtId="179" fontId="3" fillId="0" borderId="0" xfId="25" applyFont="1" applyBorder="1" applyAlignment="1">
      <alignment horizontal="center" vertical="center"/>
    </xf>
    <xf numFmtId="177" fontId="6" fillId="0" borderId="0" xfId="25" applyNumberFormat="1" applyFont="1" applyBorder="1" applyAlignment="1">
      <alignment horizontal="center" vertical="center"/>
    </xf>
    <xf numFmtId="177" fontId="7" fillId="0" borderId="3" xfId="25" applyNumberFormat="1" applyFont="1" applyBorder="1" applyAlignment="1">
      <alignment horizontal="center" vertical="center"/>
    </xf>
    <xf numFmtId="0" fontId="9" fillId="2" borderId="7" xfId="5" applyFont="1" applyFill="1" applyBorder="1" applyAlignment="1">
      <alignment horizontal="center" vertical="center" wrapText="1"/>
    </xf>
    <xf numFmtId="0" fontId="9" fillId="2" borderId="8" xfId="5" applyFont="1" applyFill="1" applyBorder="1" applyAlignment="1">
      <alignment horizontal="center" vertical="center" wrapText="1"/>
    </xf>
    <xf numFmtId="0" fontId="8" fillId="2" borderId="8" xfId="5" applyFont="1" applyFill="1" applyBorder="1" applyAlignment="1">
      <alignment horizontal="center" vertical="center" wrapText="1"/>
    </xf>
    <xf numFmtId="0" fontId="44" fillId="2" borderId="9" xfId="3" applyFill="1" applyBorder="1"/>
    <xf numFmtId="0" fontId="12" fillId="2" borderId="0" xfId="3" applyFont="1" applyFill="1" applyAlignment="1">
      <alignment horizontal="center" vertical="center" wrapText="1"/>
    </xf>
    <xf numFmtId="0" fontId="12" fillId="2" borderId="9" xfId="3" applyFont="1" applyFill="1" applyBorder="1" applyAlignment="1">
      <alignment horizontal="center" wrapText="1"/>
    </xf>
    <xf numFmtId="0" fontId="44" fillId="2" borderId="10" xfId="3" applyFill="1" applyBorder="1"/>
    <xf numFmtId="0" fontId="44" fillId="2" borderId="11" xfId="3" applyFill="1" applyBorder="1"/>
    <xf numFmtId="0" fontId="44" fillId="2" borderId="18" xfId="3" applyFill="1" applyBorder="1"/>
    <xf numFmtId="0" fontId="44" fillId="2" borderId="19" xfId="3" applyFill="1" applyBorder="1"/>
    <xf numFmtId="10" fontId="0" fillId="2" borderId="0" xfId="1" applyNumberFormat="1" applyFont="1" applyFill="1" applyAlignment="1"/>
    <xf numFmtId="0" fontId="44" fillId="2" borderId="20" xfId="3" applyFill="1" applyBorder="1"/>
    <xf numFmtId="0" fontId="16" fillId="2" borderId="8" xfId="5" applyFont="1" applyFill="1" applyBorder="1" applyAlignment="1">
      <alignment vertical="center" wrapText="1"/>
    </xf>
    <xf numFmtId="176" fontId="44" fillId="2" borderId="0" xfId="3" applyNumberFormat="1" applyFill="1"/>
    <xf numFmtId="0" fontId="0" fillId="0" borderId="0" xfId="19" applyFont="1">
      <alignment vertical="center"/>
    </xf>
    <xf numFmtId="0" fontId="17" fillId="2" borderId="0" xfId="3" applyFont="1" applyFill="1" applyBorder="1" applyAlignment="1">
      <alignment horizontal="center" vertical="center" wrapText="1"/>
    </xf>
    <xf numFmtId="0" fontId="17" fillId="2" borderId="0" xfId="3" applyFont="1" applyFill="1" applyAlignment="1">
      <alignment horizontal="center" vertical="center" wrapText="1"/>
    </xf>
    <xf numFmtId="0" fontId="10" fillId="2" borderId="0" xfId="5" applyFont="1" applyFill="1" applyAlignment="1">
      <alignment horizontal="left" vertical="center"/>
    </xf>
    <xf numFmtId="0" fontId="3" fillId="2" borderId="0" xfId="3" applyFont="1" applyFill="1" applyAlignment="1">
      <alignment horizontal="center" vertical="center" wrapText="1"/>
    </xf>
    <xf numFmtId="180" fontId="3" fillId="2" borderId="0" xfId="3" applyNumberFormat="1" applyFont="1" applyFill="1" applyAlignment="1">
      <alignment horizontal="center" vertical="center" wrapText="1"/>
    </xf>
    <xf numFmtId="0" fontId="12" fillId="2" borderId="28" xfId="3" applyFont="1" applyFill="1" applyBorder="1" applyAlignment="1">
      <alignment horizontal="center" vertical="center" wrapText="1"/>
    </xf>
    <xf numFmtId="0" fontId="12" fillId="2" borderId="16" xfId="3" applyFont="1" applyFill="1" applyBorder="1" applyAlignment="1">
      <alignment horizontal="center" vertical="center" wrapText="1"/>
    </xf>
    <xf numFmtId="182" fontId="12" fillId="2" borderId="29" xfId="3" applyNumberFormat="1" applyFont="1" applyFill="1" applyBorder="1" applyAlignment="1">
      <alignment horizontal="center" vertical="center" wrapText="1"/>
    </xf>
    <xf numFmtId="182" fontId="12" fillId="3" borderId="31" xfId="3" applyNumberFormat="1" applyFont="1" applyFill="1" applyBorder="1" applyAlignment="1">
      <alignment horizontal="center" vertical="center" wrapText="1"/>
    </xf>
    <xf numFmtId="182" fontId="12" fillId="2" borderId="31" xfId="3" applyNumberFormat="1" applyFont="1" applyFill="1" applyBorder="1" applyAlignment="1">
      <alignment horizontal="center" vertical="center" wrapText="1"/>
    </xf>
    <xf numFmtId="0" fontId="0" fillId="2" borderId="0" xfId="19" applyFont="1" applyFill="1">
      <alignment vertical="center"/>
    </xf>
    <xf numFmtId="0" fontId="44" fillId="2" borderId="8" xfId="3" applyFill="1" applyBorder="1"/>
    <xf numFmtId="0" fontId="0" fillId="0" borderId="32" xfId="19" applyFont="1" applyBorder="1">
      <alignment vertical="center"/>
    </xf>
    <xf numFmtId="0" fontId="0" fillId="2" borderId="0" xfId="3" applyFont="1" applyFill="1" applyBorder="1" applyAlignment="1">
      <alignment vertical="top" wrapText="1"/>
    </xf>
    <xf numFmtId="0" fontId="44" fillId="2" borderId="33" xfId="3" applyFill="1" applyBorder="1"/>
    <xf numFmtId="0" fontId="0" fillId="2" borderId="0" xfId="3" applyFont="1" applyFill="1" applyBorder="1" applyAlignment="1">
      <alignment vertical="top"/>
    </xf>
    <xf numFmtId="0" fontId="0" fillId="2" borderId="19" xfId="3" applyFont="1" applyFill="1" applyBorder="1" applyAlignment="1">
      <alignment horizontal="left" vertical="top" wrapText="1"/>
    </xf>
    <xf numFmtId="179" fontId="19" fillId="0" borderId="0" xfId="12" applyFont="1" applyFill="1" applyBorder="1" applyAlignment="1" applyProtection="1">
      <alignment vertical="center"/>
      <protection locked="0"/>
    </xf>
    <xf numFmtId="0" fontId="0" fillId="2" borderId="19" xfId="3" applyFont="1" applyFill="1" applyBorder="1" applyAlignment="1">
      <alignment vertical="top" wrapText="1"/>
    </xf>
    <xf numFmtId="0" fontId="0" fillId="2" borderId="11" xfId="3" applyFont="1" applyFill="1" applyBorder="1" applyAlignment="1">
      <alignment vertical="top" wrapText="1"/>
    </xf>
    <xf numFmtId="0" fontId="0" fillId="2" borderId="20" xfId="3" applyFont="1" applyFill="1" applyBorder="1" applyAlignment="1">
      <alignment vertical="top" wrapText="1"/>
    </xf>
    <xf numFmtId="180" fontId="12" fillId="2" borderId="0" xfId="3" applyNumberFormat="1" applyFont="1" applyFill="1" applyAlignment="1">
      <alignment horizontal="center" vertical="center" wrapText="1"/>
    </xf>
    <xf numFmtId="0" fontId="12" fillId="2" borderId="35" xfId="3" applyFont="1" applyFill="1" applyBorder="1" applyAlignment="1">
      <alignment horizontal="center" vertical="center" wrapText="1"/>
    </xf>
    <xf numFmtId="0" fontId="12" fillId="2" borderId="23" xfId="3" applyFont="1" applyFill="1" applyBorder="1" applyAlignment="1">
      <alignment horizontal="center" vertical="center" wrapText="1"/>
    </xf>
    <xf numFmtId="179" fontId="0" fillId="2" borderId="0" xfId="0" applyFill="1"/>
    <xf numFmtId="0" fontId="20" fillId="0" borderId="0" xfId="0" applyNumberFormat="1" applyFont="1" applyAlignment="1">
      <alignment horizontal="center"/>
    </xf>
    <xf numFmtId="179" fontId="21" fillId="0" borderId="0" xfId="14" applyFont="1" applyFill="1" applyBorder="1" applyAlignment="1" applyProtection="1">
      <alignment horizontal="justify" vertical="center" wrapText="1"/>
      <protection locked="0"/>
    </xf>
    <xf numFmtId="179" fontId="21" fillId="0" borderId="0" xfId="14" applyFont="1" applyFill="1" applyBorder="1" applyAlignment="1" applyProtection="1">
      <alignment horizontal="center" vertical="center"/>
      <protection locked="0"/>
    </xf>
    <xf numFmtId="179" fontId="21" fillId="0" borderId="0" xfId="14" applyFont="1" applyFill="1" applyAlignment="1" applyProtection="1">
      <alignment vertical="center" wrapText="1"/>
      <protection locked="0"/>
    </xf>
    <xf numFmtId="179" fontId="21" fillId="0" borderId="0" xfId="14" applyFont="1" applyFill="1" applyBorder="1" applyAlignment="1" applyProtection="1">
      <alignment vertical="center"/>
      <protection locked="0"/>
    </xf>
    <xf numFmtId="179" fontId="21" fillId="0" borderId="0" xfId="14" applyFont="1" applyFill="1" applyBorder="1" applyAlignment="1" applyProtection="1">
      <alignment horizontal="left" vertical="center"/>
      <protection locked="0"/>
    </xf>
    <xf numFmtId="179" fontId="21" fillId="0" borderId="0" xfId="14" applyFont="1" applyFill="1" applyBorder="1" applyAlignment="1" applyProtection="1">
      <alignment horizontal="left" vertical="center" wrapText="1"/>
      <protection locked="0"/>
    </xf>
    <xf numFmtId="179" fontId="21" fillId="0" borderId="0" xfId="14" applyFont="1" applyFill="1" applyBorder="1" applyAlignment="1" applyProtection="1">
      <alignment horizontal="justify" vertical="center"/>
      <protection locked="0"/>
    </xf>
    <xf numFmtId="179" fontId="21" fillId="0" borderId="0" xfId="14" applyFont="1" applyFill="1" applyBorder="1" applyAlignment="1" applyProtection="1">
      <alignment vertical="center" wrapText="1"/>
      <protection locked="0"/>
    </xf>
    <xf numFmtId="179" fontId="26" fillId="0" borderId="0" xfId="0" applyFont="1" applyAlignment="1" applyProtection="1">
      <protection locked="0"/>
    </xf>
    <xf numFmtId="179" fontId="26" fillId="0" borderId="0" xfId="0" applyFont="1" applyAlignment="1" applyProtection="1">
      <alignment vertical="center"/>
      <protection locked="0"/>
    </xf>
    <xf numFmtId="179" fontId="26" fillId="2" borderId="0" xfId="0" applyFont="1" applyFill="1" applyBorder="1" applyAlignment="1" applyProtection="1">
      <alignment horizontal="center" vertical="center"/>
      <protection locked="0"/>
    </xf>
    <xf numFmtId="179" fontId="27" fillId="0" borderId="0" xfId="0" applyFont="1" applyAlignment="1" applyProtection="1">
      <protection locked="0"/>
    </xf>
    <xf numFmtId="179" fontId="27" fillId="2" borderId="0" xfId="0" applyFont="1" applyFill="1" applyBorder="1" applyAlignment="1" applyProtection="1">
      <alignment horizontal="center" vertical="center"/>
      <protection locked="0"/>
    </xf>
    <xf numFmtId="179" fontId="28" fillId="0" borderId="0" xfId="14" applyFont="1" applyFill="1" applyBorder="1" applyAlignment="1" applyProtection="1">
      <alignment horizontal="justify" vertical="center" wrapText="1"/>
      <protection locked="0"/>
    </xf>
    <xf numFmtId="179" fontId="28" fillId="0" borderId="0" xfId="14" applyFont="1" applyFill="1" applyBorder="1" applyAlignment="1" applyProtection="1">
      <alignment horizontal="center" vertical="center"/>
      <protection locked="0"/>
    </xf>
    <xf numFmtId="179" fontId="28" fillId="0" borderId="0" xfId="14" applyFont="1" applyFill="1" applyAlignment="1" applyProtection="1">
      <alignment vertical="center" wrapText="1"/>
      <protection locked="0"/>
    </xf>
    <xf numFmtId="179" fontId="28" fillId="0" borderId="0" xfId="14" applyFont="1" applyFill="1" applyBorder="1" applyAlignment="1" applyProtection="1">
      <alignment vertical="center"/>
      <protection locked="0"/>
    </xf>
    <xf numFmtId="179" fontId="28" fillId="0" borderId="0" xfId="14" applyFont="1" applyFill="1" applyBorder="1" applyAlignment="1" applyProtection="1">
      <alignment horizontal="left" vertical="center"/>
      <protection locked="0"/>
    </xf>
    <xf numFmtId="179" fontId="28" fillId="0" borderId="0" xfId="14" applyFont="1" applyFill="1" applyBorder="1" applyAlignment="1" applyProtection="1">
      <alignment horizontal="left" vertical="center" wrapText="1"/>
      <protection locked="0"/>
    </xf>
    <xf numFmtId="179" fontId="6" fillId="0" borderId="1" xfId="0" applyFont="1" applyBorder="1" applyAlignment="1">
      <alignment horizontal="center" vertical="center" wrapText="1"/>
    </xf>
    <xf numFmtId="0" fontId="6" fillId="0" borderId="1" xfId="5" applyFont="1" applyFill="1" applyBorder="1" applyAlignment="1">
      <alignment horizontal="center" vertical="center" wrapText="1"/>
    </xf>
    <xf numFmtId="179" fontId="6" fillId="0" borderId="1" xfId="0" applyFont="1" applyFill="1" applyBorder="1" applyAlignment="1">
      <alignment horizontal="center" vertical="center" wrapText="1"/>
    </xf>
    <xf numFmtId="0" fontId="6" fillId="2" borderId="1" xfId="5" applyFont="1" applyFill="1" applyBorder="1" applyAlignment="1">
      <alignment horizontal="center" vertical="center" wrapText="1"/>
    </xf>
    <xf numFmtId="179" fontId="6" fillId="2" borderId="1" xfId="12" applyFont="1" applyFill="1" applyBorder="1" applyAlignment="1" applyProtection="1">
      <alignment horizontal="center" vertical="center" wrapText="1"/>
      <protection locked="0"/>
    </xf>
    <xf numFmtId="0" fontId="6" fillId="0" borderId="1" xfId="12" applyNumberFormat="1" applyFont="1" applyFill="1" applyBorder="1" applyAlignment="1">
      <alignment horizontal="center" vertical="center" wrapText="1"/>
    </xf>
    <xf numFmtId="179" fontId="6" fillId="0" borderId="1" xfId="12" applyFont="1" applyFill="1" applyBorder="1" applyAlignment="1">
      <alignment horizontal="center" vertical="center" wrapText="1"/>
    </xf>
    <xf numFmtId="179" fontId="3" fillId="0" borderId="1" xfId="12" applyFont="1" applyFill="1" applyBorder="1" applyAlignment="1">
      <alignment horizontal="center" vertical="center" wrapText="1"/>
    </xf>
    <xf numFmtId="179" fontId="3" fillId="0" borderId="1" xfId="12" applyFont="1" applyFill="1" applyBorder="1" applyAlignment="1" applyProtection="1">
      <alignment horizontal="center" vertical="center" wrapText="1"/>
      <protection locked="0"/>
    </xf>
    <xf numFmtId="179" fontId="6" fillId="2" borderId="1" xfId="12" applyFont="1" applyFill="1" applyBorder="1" applyAlignment="1">
      <alignment horizontal="center" vertical="center" wrapText="1"/>
    </xf>
    <xf numFmtId="179" fontId="6" fillId="0" borderId="1" xfId="12" applyFont="1" applyFill="1" applyBorder="1" applyAlignment="1" applyProtection="1">
      <alignment horizontal="center" vertical="center" wrapText="1"/>
      <protection locked="0"/>
    </xf>
    <xf numFmtId="179" fontId="29" fillId="0" borderId="14" xfId="14" applyFont="1" applyFill="1" applyBorder="1" applyAlignment="1" applyProtection="1">
      <alignment horizontal="center" vertical="center"/>
      <protection locked="0"/>
    </xf>
    <xf numFmtId="179" fontId="4" fillId="0" borderId="0" xfId="0" applyFont="1" applyBorder="1" applyAlignment="1" applyProtection="1">
      <alignment horizontal="center" vertical="center"/>
      <protection locked="0"/>
    </xf>
    <xf numFmtId="179" fontId="28" fillId="0" borderId="0" xfId="14" applyFont="1" applyFill="1" applyBorder="1" applyAlignment="1" applyProtection="1">
      <alignment horizontal="justify" vertical="center"/>
      <protection locked="0"/>
    </xf>
    <xf numFmtId="179" fontId="30" fillId="0" borderId="1" xfId="14" applyFont="1" applyFill="1" applyBorder="1" applyAlignment="1">
      <alignment horizontal="center" vertical="center" wrapText="1"/>
    </xf>
    <xf numFmtId="179" fontId="25" fillId="0" borderId="22" xfId="14" applyFont="1" applyFill="1" applyBorder="1" applyAlignment="1" applyProtection="1">
      <alignment horizontal="center" vertical="center"/>
      <protection locked="0"/>
    </xf>
    <xf numFmtId="0" fontId="6" fillId="2" borderId="1" xfId="5" applyFont="1" applyFill="1" applyBorder="1" applyAlignment="1">
      <alignment horizontal="left" vertical="center" wrapText="1"/>
    </xf>
    <xf numFmtId="0" fontId="6" fillId="0" borderId="1" xfId="0" applyNumberFormat="1" applyFont="1" applyFill="1" applyBorder="1" applyAlignment="1">
      <alignment horizontal="center" vertical="center" wrapText="1"/>
    </xf>
    <xf numFmtId="179" fontId="6" fillId="0" borderId="5" xfId="12" applyFont="1" applyFill="1" applyBorder="1" applyAlignment="1" applyProtection="1">
      <alignment horizontal="center" vertical="center" wrapText="1"/>
    </xf>
    <xf numFmtId="179" fontId="6" fillId="0" borderId="5" xfId="12" applyFont="1" applyFill="1" applyBorder="1" applyAlignment="1">
      <alignment horizontal="center" vertical="center" wrapText="1"/>
    </xf>
    <xf numFmtId="179" fontId="31" fillId="0" borderId="0" xfId="14" applyFont="1" applyFill="1" applyAlignment="1" applyProtection="1">
      <alignment vertical="center" wrapText="1"/>
      <protection locked="0"/>
    </xf>
    <xf numFmtId="9" fontId="3" fillId="0" borderId="1" xfId="12" applyNumberFormat="1" applyFont="1" applyFill="1" applyBorder="1" applyAlignment="1">
      <alignment horizontal="center" vertical="center" wrapText="1"/>
    </xf>
    <xf numFmtId="179" fontId="3" fillId="2" borderId="1" xfId="12" applyFont="1" applyFill="1" applyBorder="1" applyAlignment="1" applyProtection="1">
      <alignment horizontal="center" vertical="center" wrapText="1"/>
      <protection locked="0"/>
    </xf>
    <xf numFmtId="179" fontId="4" fillId="2" borderId="1" xfId="7" applyFont="1" applyFill="1" applyBorder="1" applyAlignment="1" applyProtection="1">
      <alignment horizontal="center" vertical="center" wrapText="1"/>
      <protection locked="0"/>
    </xf>
    <xf numFmtId="179" fontId="3" fillId="2" borderId="1" xfId="7" applyFont="1" applyFill="1" applyBorder="1" applyAlignment="1" applyProtection="1">
      <alignment horizontal="center" vertical="center" wrapText="1"/>
      <protection locked="0"/>
    </xf>
    <xf numFmtId="179" fontId="32" fillId="0" borderId="0" xfId="0" applyFont="1" applyAlignment="1" applyProtection="1">
      <protection locked="0"/>
    </xf>
    <xf numFmtId="179" fontId="32" fillId="0" borderId="0" xfId="0" applyFont="1" applyAlignment="1" applyProtection="1">
      <alignment vertical="center"/>
      <protection locked="0"/>
    </xf>
    <xf numFmtId="179" fontId="32" fillId="2" borderId="0" xfId="0" applyFont="1" applyFill="1" applyBorder="1" applyAlignment="1" applyProtection="1">
      <alignment horizontal="center" vertical="center"/>
      <protection locked="0"/>
    </xf>
    <xf numFmtId="179" fontId="32" fillId="2" borderId="0" xfId="0" applyFont="1" applyFill="1" applyBorder="1" applyAlignment="1" applyProtection="1">
      <alignment vertical="center"/>
      <protection locked="0"/>
    </xf>
    <xf numFmtId="179" fontId="21" fillId="0" borderId="0" xfId="20" applyFont="1"/>
    <xf numFmtId="0" fontId="21" fillId="0" borderId="0" xfId="20" applyNumberFormat="1" applyFont="1"/>
    <xf numFmtId="0" fontId="34" fillId="0" borderId="1" xfId="20" applyNumberFormat="1" applyFont="1" applyBorder="1" applyAlignment="1">
      <alignment horizontal="center" vertical="center"/>
    </xf>
    <xf numFmtId="0" fontId="21" fillId="0" borderId="47" xfId="20" applyNumberFormat="1" applyFont="1" applyBorder="1"/>
    <xf numFmtId="179" fontId="21" fillId="0" borderId="48" xfId="20" applyFont="1" applyBorder="1"/>
    <xf numFmtId="0" fontId="35" fillId="0" borderId="1" xfId="20" applyNumberFormat="1" applyFont="1" applyBorder="1" applyAlignment="1">
      <alignment horizontal="center" vertical="center"/>
    </xf>
    <xf numFmtId="179" fontId="35" fillId="0" borderId="1" xfId="20" applyFont="1" applyBorder="1" applyAlignment="1">
      <alignment horizontal="center" vertical="center"/>
    </xf>
    <xf numFmtId="0" fontId="38" fillId="0" borderId="1" xfId="20" applyNumberFormat="1" applyFont="1" applyFill="1" applyBorder="1" applyAlignment="1" applyProtection="1">
      <alignment horizontal="center" vertical="center"/>
      <protection locked="0"/>
    </xf>
    <xf numFmtId="179" fontId="38" fillId="0" borderId="1" xfId="20" applyFont="1" applyFill="1" applyBorder="1" applyAlignment="1">
      <alignment horizontal="center" vertical="center"/>
    </xf>
    <xf numFmtId="0" fontId="21" fillId="0" borderId="1" xfId="20" applyNumberFormat="1" applyFont="1" applyBorder="1" applyAlignment="1">
      <alignment horizontal="center" vertical="center"/>
    </xf>
    <xf numFmtId="179" fontId="21" fillId="0" borderId="2" xfId="0" applyFont="1" applyBorder="1" applyAlignment="1">
      <alignment horizontal="center" vertical="center"/>
    </xf>
    <xf numFmtId="179" fontId="21" fillId="0" borderId="49" xfId="20" applyFont="1" applyBorder="1"/>
    <xf numFmtId="179" fontId="36" fillId="0" borderId="1" xfId="20" applyFont="1" applyBorder="1" applyAlignment="1">
      <alignment horizontal="center" vertical="center" wrapText="1"/>
    </xf>
    <xf numFmtId="14" fontId="28" fillId="0" borderId="1" xfId="0" applyNumberFormat="1" applyFont="1" applyBorder="1" applyAlignment="1">
      <alignment horizontal="center" vertical="center"/>
    </xf>
    <xf numFmtId="179" fontId="11" fillId="0" borderId="4" xfId="0" applyFont="1" applyBorder="1" applyAlignment="1">
      <alignment horizontal="center" vertical="center"/>
    </xf>
    <xf numFmtId="179" fontId="6" fillId="0" borderId="0" xfId="12" applyFont="1" applyFill="1" applyBorder="1" applyAlignment="1" applyProtection="1">
      <alignment vertical="center" wrapText="1"/>
    </xf>
    <xf numFmtId="179" fontId="28" fillId="0" borderId="0" xfId="14" applyFont="1" applyFill="1" applyBorder="1" applyAlignment="1" applyProtection="1">
      <alignment vertical="center" wrapText="1"/>
      <protection locked="0"/>
    </xf>
    <xf numFmtId="179" fontId="4" fillId="2" borderId="1" xfId="12" applyFont="1" applyFill="1" applyBorder="1" applyAlignment="1" applyProtection="1">
      <alignment horizontal="center" vertical="center" wrapText="1"/>
      <protection locked="0"/>
    </xf>
    <xf numFmtId="0" fontId="3" fillId="2" borderId="1" xfId="5" applyFont="1" applyFill="1" applyBorder="1" applyAlignment="1" applyProtection="1">
      <alignment horizontal="center" vertical="center" wrapText="1"/>
      <protection locked="0"/>
    </xf>
    <xf numFmtId="0" fontId="6" fillId="2" borderId="1" xfId="5" applyFont="1" applyFill="1" applyBorder="1" applyAlignment="1" applyProtection="1">
      <alignment horizontal="center" vertical="center" wrapText="1"/>
      <protection locked="0"/>
    </xf>
    <xf numFmtId="0" fontId="7" fillId="2" borderId="1" xfId="5" applyFont="1" applyFill="1" applyBorder="1" applyAlignment="1">
      <alignment horizontal="left" vertical="center" wrapText="1"/>
    </xf>
    <xf numFmtId="176" fontId="44" fillId="2" borderId="19" xfId="3" applyNumberFormat="1" applyFill="1" applyBorder="1"/>
    <xf numFmtId="182" fontId="12" fillId="3" borderId="50" xfId="3" applyNumberFormat="1" applyFont="1" applyFill="1" applyBorder="1" applyAlignment="1">
      <alignment horizontal="center" vertical="center" wrapText="1"/>
    </xf>
    <xf numFmtId="176" fontId="4" fillId="2" borderId="30" xfId="3" applyNumberFormat="1" applyFont="1" applyFill="1" applyBorder="1" applyAlignment="1">
      <alignment horizontal="center" vertical="center"/>
    </xf>
    <xf numFmtId="176" fontId="4" fillId="3" borderId="30" xfId="3" applyNumberFormat="1" applyFont="1" applyFill="1" applyBorder="1" applyAlignment="1">
      <alignment horizontal="center" vertical="center"/>
    </xf>
    <xf numFmtId="0" fontId="47" fillId="2" borderId="1" xfId="6" applyNumberFormat="1" applyFont="1" applyFill="1" applyBorder="1" applyAlignment="1">
      <alignment horizontal="center" vertical="center"/>
    </xf>
    <xf numFmtId="0" fontId="47" fillId="2" borderId="22" xfId="6" applyNumberFormat="1" applyFont="1" applyFill="1" applyBorder="1" applyAlignment="1">
      <alignment horizontal="center" vertical="center"/>
    </xf>
    <xf numFmtId="0" fontId="47" fillId="2" borderId="16" xfId="6" applyNumberFormat="1" applyFont="1" applyFill="1" applyBorder="1" applyAlignment="1">
      <alignment horizontal="center" vertical="center"/>
    </xf>
    <xf numFmtId="0" fontId="47" fillId="2" borderId="23" xfId="6" applyNumberFormat="1" applyFont="1" applyFill="1" applyBorder="1" applyAlignment="1">
      <alignment horizontal="center" vertical="center"/>
    </xf>
    <xf numFmtId="0" fontId="48" fillId="2" borderId="1" xfId="3" applyFont="1" applyFill="1" applyBorder="1" applyAlignment="1">
      <alignment horizontal="center" vertical="center"/>
    </xf>
    <xf numFmtId="0" fontId="48" fillId="2" borderId="16" xfId="3" applyFont="1" applyFill="1" applyBorder="1" applyAlignment="1">
      <alignment horizontal="center" vertical="center"/>
    </xf>
    <xf numFmtId="181" fontId="46" fillId="2" borderId="1" xfId="3" applyNumberFormat="1" applyFont="1" applyFill="1" applyBorder="1" applyAlignment="1">
      <alignment horizontal="center" vertical="center"/>
    </xf>
    <xf numFmtId="181" fontId="46" fillId="2" borderId="22" xfId="3" applyNumberFormat="1" applyFont="1" applyFill="1" applyBorder="1" applyAlignment="1">
      <alignment horizontal="center" vertical="center"/>
    </xf>
    <xf numFmtId="10" fontId="44" fillId="2" borderId="0" xfId="1" applyNumberFormat="1" applyFill="1" applyBorder="1" applyAlignment="1"/>
    <xf numFmtId="0" fontId="0" fillId="2" borderId="0" xfId="3" applyFont="1" applyFill="1" applyBorder="1" applyAlignment="1">
      <alignment horizontal="left" vertical="top" wrapText="1"/>
    </xf>
    <xf numFmtId="179" fontId="29" fillId="0" borderId="1" xfId="14" applyFont="1" applyFill="1" applyBorder="1" applyAlignment="1" applyProtection="1">
      <alignment horizontal="center" vertical="center" wrapText="1"/>
      <protection locked="0"/>
    </xf>
    <xf numFmtId="0" fontId="6" fillId="0" borderId="14" xfId="5" applyFont="1" applyBorder="1" applyAlignment="1">
      <alignment horizontal="center" vertical="center" wrapText="1"/>
    </xf>
    <xf numFmtId="0" fontId="6" fillId="0" borderId="1" xfId="5" applyFont="1" applyBorder="1" applyAlignment="1">
      <alignment horizontal="center" vertical="center" wrapText="1"/>
    </xf>
    <xf numFmtId="179" fontId="6" fillId="0" borderId="1" xfId="12" applyFont="1" applyFill="1" applyBorder="1" applyAlignment="1" applyProtection="1">
      <alignment horizontal="center" vertical="center" wrapText="1"/>
    </xf>
    <xf numFmtId="179" fontId="25" fillId="2" borderId="41" xfId="14" applyFont="1" applyFill="1" applyBorder="1" applyAlignment="1" applyProtection="1">
      <alignment horizontal="center" vertical="center" wrapText="1"/>
      <protection locked="0"/>
    </xf>
    <xf numFmtId="179" fontId="29" fillId="2" borderId="13" xfId="12" applyFont="1" applyFill="1" applyBorder="1" applyAlignment="1" applyProtection="1">
      <alignment horizontal="center" vertical="center" wrapText="1"/>
      <protection locked="0"/>
    </xf>
    <xf numFmtId="179" fontId="25" fillId="2" borderId="24" xfId="14" applyFont="1" applyFill="1" applyBorder="1" applyAlignment="1" applyProtection="1">
      <alignment horizontal="center" vertical="center" wrapText="1"/>
      <protection locked="0"/>
    </xf>
    <xf numFmtId="179" fontId="29" fillId="2" borderId="5" xfId="14" applyFont="1" applyFill="1" applyBorder="1" applyAlignment="1" applyProtection="1">
      <alignment horizontal="center" vertical="center"/>
      <protection locked="0"/>
    </xf>
    <xf numFmtId="179" fontId="29" fillId="2" borderId="1" xfId="12" applyFont="1" applyFill="1" applyBorder="1" applyAlignment="1" applyProtection="1">
      <alignment horizontal="center" vertical="center" wrapText="1"/>
      <protection locked="0"/>
    </xf>
    <xf numFmtId="179" fontId="25" fillId="2" borderId="44" xfId="14" applyFont="1" applyFill="1" applyBorder="1" applyAlignment="1" applyProtection="1">
      <alignment horizontal="center" vertical="center"/>
      <protection locked="0"/>
    </xf>
    <xf numFmtId="0" fontId="40" fillId="2" borderId="0" xfId="3" applyFont="1" applyFill="1" applyBorder="1" applyAlignment="1">
      <alignment vertical="center"/>
    </xf>
    <xf numFmtId="0" fontId="3" fillId="2" borderId="1" xfId="3" applyFont="1" applyFill="1" applyBorder="1" applyAlignment="1">
      <alignment horizontal="center" vertical="center" wrapText="1"/>
    </xf>
    <xf numFmtId="180" fontId="3" fillId="2" borderId="1" xfId="3" applyNumberFormat="1" applyFont="1" applyFill="1" applyBorder="1" applyAlignment="1">
      <alignment horizontal="center" vertical="center" wrapText="1"/>
    </xf>
    <xf numFmtId="0" fontId="12" fillId="2" borderId="1" xfId="3" applyFont="1" applyFill="1" applyBorder="1" applyAlignment="1">
      <alignment horizontal="center" vertical="center" wrapText="1"/>
    </xf>
    <xf numFmtId="182" fontId="12" fillId="2" borderId="1" xfId="3" applyNumberFormat="1" applyFont="1" applyFill="1" applyBorder="1" applyAlignment="1">
      <alignment horizontal="center" vertical="center" wrapText="1"/>
    </xf>
    <xf numFmtId="182" fontId="4" fillId="2" borderId="1" xfId="3" applyNumberFormat="1" applyFont="1" applyFill="1" applyBorder="1" applyAlignment="1">
      <alignment horizontal="center" vertical="center"/>
    </xf>
    <xf numFmtId="182" fontId="17" fillId="2" borderId="1" xfId="3" applyNumberFormat="1" applyFont="1" applyFill="1" applyBorder="1" applyAlignment="1">
      <alignment horizontal="center" vertical="center" wrapText="1"/>
    </xf>
    <xf numFmtId="0" fontId="12" fillId="2" borderId="9" xfId="3" applyFont="1" applyFill="1" applyBorder="1" applyAlignment="1">
      <alignment horizontal="center" vertical="center" wrapText="1"/>
    </xf>
    <xf numFmtId="0" fontId="12" fillId="2" borderId="51" xfId="3" applyFont="1" applyFill="1" applyBorder="1" applyAlignment="1">
      <alignment horizontal="center" vertical="center" wrapText="1"/>
    </xf>
    <xf numFmtId="0" fontId="12" fillId="2" borderId="43" xfId="3" applyFont="1" applyFill="1" applyBorder="1" applyAlignment="1">
      <alignment horizontal="center" vertical="center" wrapText="1"/>
    </xf>
    <xf numFmtId="0" fontId="12" fillId="2" borderId="0" xfId="3" applyFont="1" applyFill="1" applyBorder="1" applyAlignment="1">
      <alignment horizontal="center" vertical="center" wrapText="1"/>
    </xf>
    <xf numFmtId="179" fontId="23" fillId="0" borderId="14" xfId="14" applyFont="1" applyFill="1" applyBorder="1" applyAlignment="1" applyProtection="1">
      <alignment horizontal="center" vertical="center"/>
      <protection locked="0"/>
    </xf>
    <xf numFmtId="184" fontId="28" fillId="0" borderId="0" xfId="14" applyNumberFormat="1" applyFont="1" applyFill="1" applyAlignment="1" applyProtection="1">
      <alignment vertical="center" wrapText="1"/>
      <protection locked="0"/>
    </xf>
    <xf numFmtId="0" fontId="40" fillId="2" borderId="0" xfId="3" applyFont="1" applyFill="1"/>
    <xf numFmtId="179" fontId="36" fillId="0" borderId="5" xfId="20" applyFont="1" applyFill="1" applyBorder="1" applyAlignment="1">
      <alignment horizontal="center" vertical="center"/>
    </xf>
    <xf numFmtId="0" fontId="40" fillId="2" borderId="0" xfId="3" applyFont="1" applyFill="1" applyBorder="1" applyAlignment="1">
      <alignment vertical="top"/>
    </xf>
    <xf numFmtId="0" fontId="6" fillId="0" borderId="38" xfId="5" applyFont="1" applyBorder="1" applyAlignment="1">
      <alignment horizontal="center" vertical="center" wrapText="1"/>
    </xf>
    <xf numFmtId="0" fontId="6" fillId="0" borderId="36" xfId="5" applyFont="1" applyBorder="1" applyAlignment="1">
      <alignment horizontal="center" vertical="center" wrapText="1"/>
    </xf>
    <xf numFmtId="179" fontId="11" fillId="2" borderId="5" xfId="0" applyFont="1" applyFill="1" applyBorder="1" applyAlignment="1">
      <alignment horizontal="center" vertical="center" wrapText="1"/>
    </xf>
    <xf numFmtId="0" fontId="6" fillId="0" borderId="1" xfId="5" applyFont="1" applyBorder="1" applyAlignment="1">
      <alignment horizontal="center" vertical="center" wrapText="1"/>
    </xf>
    <xf numFmtId="0" fontId="53" fillId="0" borderId="5" xfId="29" applyFont="1" applyFill="1" applyBorder="1" applyAlignment="1">
      <alignment horizontal="center" vertical="center" wrapText="1"/>
    </xf>
    <xf numFmtId="0" fontId="53" fillId="0" borderId="6" xfId="29" applyFont="1" applyFill="1" applyBorder="1" applyAlignment="1">
      <alignment horizontal="center" vertical="center" wrapText="1"/>
    </xf>
    <xf numFmtId="0" fontId="53" fillId="0" borderId="48" xfId="29" applyFont="1" applyFill="1" applyBorder="1" applyAlignment="1">
      <alignment horizontal="center" vertical="center" wrapText="1"/>
    </xf>
    <xf numFmtId="0" fontId="53" fillId="0" borderId="6" xfId="29" applyFont="1" applyFill="1" applyBorder="1" applyAlignment="1">
      <alignment horizontal="left" vertical="center" wrapText="1"/>
    </xf>
    <xf numFmtId="0" fontId="53" fillId="0" borderId="49" xfId="29" applyFont="1" applyFill="1" applyBorder="1" applyAlignment="1">
      <alignment horizontal="center" vertical="center" wrapText="1"/>
    </xf>
    <xf numFmtId="0" fontId="56" fillId="0" borderId="1" xfId="0" applyNumberFormat="1" applyFont="1" applyFill="1" applyBorder="1" applyAlignment="1">
      <alignment horizontal="center" vertical="center"/>
    </xf>
    <xf numFmtId="179" fontId="56" fillId="0" borderId="1" xfId="0" applyFont="1" applyFill="1" applyBorder="1" applyAlignment="1">
      <alignment horizontal="center" vertical="center"/>
    </xf>
    <xf numFmtId="179" fontId="56" fillId="0" borderId="1" xfId="0" applyFont="1" applyFill="1" applyBorder="1" applyAlignment="1">
      <alignment horizontal="center" vertical="center" wrapText="1"/>
    </xf>
    <xf numFmtId="179" fontId="57" fillId="0" borderId="1" xfId="0" applyFont="1" applyFill="1" applyBorder="1" applyAlignment="1">
      <alignment horizontal="center" vertical="center" wrapText="1"/>
    </xf>
    <xf numFmtId="0" fontId="58" fillId="0" borderId="2" xfId="29" applyFont="1" applyFill="1" applyBorder="1" applyAlignment="1">
      <alignment horizontal="center" vertical="center"/>
    </xf>
    <xf numFmtId="179" fontId="57" fillId="0" borderId="1" xfId="0" applyFont="1" applyFill="1" applyBorder="1" applyAlignment="1">
      <alignment horizontal="center" vertical="center"/>
    </xf>
    <xf numFmtId="179" fontId="57" fillId="0" borderId="1" xfId="0" applyFont="1" applyFill="1" applyBorder="1" applyAlignment="1">
      <alignment horizontal="left" vertical="center" wrapText="1"/>
    </xf>
    <xf numFmtId="0" fontId="59" fillId="0" borderId="1" xfId="29" applyFont="1" applyFill="1" applyBorder="1" applyAlignment="1">
      <alignment horizontal="center" vertical="center"/>
    </xf>
    <xf numFmtId="0" fontId="59" fillId="0" borderId="1" xfId="29" applyFont="1" applyFill="1" applyBorder="1" applyAlignment="1">
      <alignment horizontal="center" vertical="center" wrapText="1"/>
    </xf>
    <xf numFmtId="0" fontId="59" fillId="0" borderId="1" xfId="29" applyFont="1" applyFill="1" applyBorder="1" applyAlignment="1">
      <alignment horizontal="left" vertical="center" wrapText="1"/>
    </xf>
    <xf numFmtId="179" fontId="6" fillId="0" borderId="1" xfId="12" applyFont="1" applyFill="1" applyBorder="1" applyAlignment="1" applyProtection="1">
      <alignment horizontal="center" vertical="center" wrapText="1"/>
    </xf>
    <xf numFmtId="179" fontId="18" fillId="0" borderId="1" xfId="12" applyFont="1" applyFill="1" applyBorder="1" applyAlignment="1" applyProtection="1">
      <alignment horizontal="left" vertical="center" wrapText="1"/>
      <protection locked="0"/>
    </xf>
    <xf numFmtId="179" fontId="11" fillId="0" borderId="0" xfId="14" applyFont="1" applyFill="1" applyBorder="1" applyAlignment="1" applyProtection="1">
      <alignment vertical="center"/>
      <protection locked="0"/>
    </xf>
    <xf numFmtId="0" fontId="6" fillId="2" borderId="1" xfId="12" applyNumberFormat="1" applyFont="1" applyFill="1" applyBorder="1" applyAlignment="1" applyProtection="1">
      <alignment horizontal="center" vertical="center" wrapText="1"/>
    </xf>
    <xf numFmtId="179" fontId="23" fillId="2" borderId="1" xfId="12" applyFont="1" applyFill="1" applyBorder="1" applyAlignment="1" applyProtection="1">
      <alignment horizontal="center" vertical="center" wrapText="1"/>
      <protection locked="0"/>
    </xf>
    <xf numFmtId="179" fontId="62" fillId="0" borderId="0" xfId="0" applyFont="1" applyAlignment="1">
      <alignment wrapText="1"/>
    </xf>
    <xf numFmtId="0" fontId="7" fillId="2" borderId="1" xfId="5" applyFont="1" applyFill="1" applyBorder="1" applyAlignment="1">
      <alignment horizontal="center" vertical="center" wrapText="1"/>
    </xf>
    <xf numFmtId="179" fontId="35" fillId="0" borderId="5" xfId="20" applyFont="1" applyFill="1" applyBorder="1" applyAlignment="1">
      <alignment vertical="center"/>
    </xf>
    <xf numFmtId="179" fontId="11" fillId="2" borderId="5" xfId="0" applyFont="1" applyFill="1" applyBorder="1" applyAlignment="1">
      <alignment vertical="center"/>
    </xf>
    <xf numFmtId="0" fontId="35" fillId="0" borderId="1" xfId="20" applyNumberFormat="1" applyFont="1" applyFill="1" applyBorder="1" applyAlignment="1">
      <alignment horizontal="center" vertical="center"/>
    </xf>
    <xf numFmtId="0" fontId="11" fillId="2" borderId="1" xfId="0" applyNumberFormat="1" applyFont="1" applyFill="1" applyBorder="1" applyAlignment="1">
      <alignment horizontal="center" vertical="center"/>
    </xf>
    <xf numFmtId="179" fontId="21" fillId="2" borderId="2" xfId="0" applyFont="1" applyFill="1" applyBorder="1" applyAlignment="1">
      <alignment horizontal="center" vertical="center"/>
    </xf>
    <xf numFmtId="179" fontId="11" fillId="0" borderId="1" xfId="0" applyFont="1" applyBorder="1" applyAlignment="1">
      <alignment horizontal="center" vertical="center"/>
    </xf>
    <xf numFmtId="179" fontId="29" fillId="0" borderId="14" xfId="14" applyFont="1" applyFill="1" applyBorder="1" applyAlignment="1" applyProtection="1">
      <alignment horizontal="center" vertical="center" wrapText="1"/>
      <protection locked="0"/>
    </xf>
    <xf numFmtId="179" fontId="29" fillId="0" borderId="1" xfId="5" applyNumberFormat="1" applyFont="1" applyFill="1" applyBorder="1" applyAlignment="1">
      <alignment horizontal="center" vertical="center" wrapText="1"/>
    </xf>
    <xf numFmtId="0" fontId="11" fillId="2" borderId="1" xfId="5" applyFont="1" applyFill="1" applyBorder="1" applyAlignment="1">
      <alignment horizontal="center" vertical="center" wrapText="1"/>
    </xf>
    <xf numFmtId="0" fontId="54" fillId="2" borderId="36" xfId="29" applyFont="1" applyFill="1" applyBorder="1" applyAlignment="1">
      <alignment horizontal="center" vertical="center" wrapText="1"/>
    </xf>
    <xf numFmtId="179" fontId="6" fillId="2" borderId="0" xfId="12" applyFont="1" applyFill="1" applyBorder="1" applyAlignment="1" applyProtection="1">
      <alignment vertical="center" wrapText="1"/>
    </xf>
    <xf numFmtId="0" fontId="6" fillId="0" borderId="1" xfId="5" applyFont="1" applyBorder="1" applyAlignment="1">
      <alignment horizontal="center" vertical="center" wrapText="1"/>
    </xf>
    <xf numFmtId="179" fontId="28" fillId="2" borderId="0" xfId="14" applyFont="1" applyFill="1" applyAlignment="1" applyProtection="1">
      <alignment vertical="center" wrapText="1"/>
      <protection locked="0"/>
    </xf>
    <xf numFmtId="179" fontId="7" fillId="2" borderId="1" xfId="12" applyFont="1" applyFill="1" applyBorder="1" applyAlignment="1">
      <alignment horizontal="left" vertical="center" wrapText="1"/>
    </xf>
    <xf numFmtId="179" fontId="6" fillId="2" borderId="1" xfId="12" applyFont="1" applyFill="1" applyBorder="1" applyAlignment="1" applyProtection="1">
      <alignment horizontal="center" vertical="center" wrapText="1"/>
    </xf>
    <xf numFmtId="179" fontId="6" fillId="2" borderId="3" xfId="12" applyFont="1" applyFill="1" applyBorder="1" applyAlignment="1" applyProtection="1">
      <alignment horizontal="center" vertical="center" wrapText="1"/>
    </xf>
    <xf numFmtId="179" fontId="6" fillId="2" borderId="5" xfId="12" applyFont="1" applyFill="1" applyBorder="1" applyAlignment="1" applyProtection="1">
      <alignment horizontal="center" vertical="center" wrapText="1"/>
    </xf>
    <xf numFmtId="0" fontId="7" fillId="2" borderId="1" xfId="5" applyFont="1" applyFill="1" applyBorder="1" applyAlignment="1" applyProtection="1">
      <alignment horizontal="center" vertical="center" wrapText="1"/>
      <protection locked="0"/>
    </xf>
    <xf numFmtId="0" fontId="16" fillId="2" borderId="1" xfId="5" applyFont="1" applyFill="1" applyBorder="1" applyAlignment="1" applyProtection="1">
      <alignment horizontal="center" vertical="center" wrapText="1"/>
      <protection locked="0"/>
    </xf>
    <xf numFmtId="179" fontId="6" fillId="0" borderId="1" xfId="12" applyFont="1" applyFill="1" applyBorder="1" applyAlignment="1">
      <alignment horizontal="left" vertical="center" wrapText="1"/>
    </xf>
    <xf numFmtId="0" fontId="3" fillId="0" borderId="1" xfId="5" applyFont="1" applyFill="1" applyBorder="1" applyAlignment="1" applyProtection="1">
      <alignment horizontal="center" vertical="center" wrapText="1"/>
      <protection locked="0"/>
    </xf>
    <xf numFmtId="179" fontId="57" fillId="4" borderId="1" xfId="0" applyFont="1" applyFill="1" applyBorder="1" applyAlignment="1">
      <alignment horizontal="center" vertical="center" wrapText="1"/>
    </xf>
    <xf numFmtId="179" fontId="6" fillId="2" borderId="1" xfId="0" applyFont="1" applyFill="1" applyBorder="1" applyAlignment="1">
      <alignment horizontal="center" vertical="center" wrapText="1"/>
    </xf>
    <xf numFmtId="179" fontId="16" fillId="2" borderId="1" xfId="12" applyFont="1" applyFill="1" applyBorder="1" applyAlignment="1">
      <alignment horizontal="center" vertical="center" wrapText="1"/>
    </xf>
    <xf numFmtId="179" fontId="18" fillId="2" borderId="1" xfId="12" applyFont="1" applyFill="1" applyBorder="1" applyAlignment="1">
      <alignment horizontal="center" vertical="center" wrapText="1"/>
    </xf>
    <xf numFmtId="179" fontId="4" fillId="2" borderId="1" xfId="12" applyFont="1" applyFill="1" applyBorder="1" applyAlignment="1">
      <alignment horizontal="center" vertical="center" wrapText="1"/>
    </xf>
    <xf numFmtId="179" fontId="3" fillId="2" borderId="1" xfId="12" applyFont="1" applyFill="1" applyBorder="1" applyAlignment="1">
      <alignment horizontal="center" vertical="center" wrapText="1"/>
    </xf>
    <xf numFmtId="179" fontId="7" fillId="2" borderId="1" xfId="12" applyFont="1" applyFill="1" applyBorder="1" applyAlignment="1">
      <alignment horizontal="center" vertical="center" wrapText="1"/>
    </xf>
    <xf numFmtId="0" fontId="21" fillId="2" borderId="1" xfId="21" applyNumberFormat="1" applyFont="1" applyFill="1" applyBorder="1" applyAlignment="1">
      <alignment horizontal="center" vertical="center"/>
    </xf>
    <xf numFmtId="183" fontId="4" fillId="2" borderId="1" xfId="12" applyNumberFormat="1" applyFont="1" applyFill="1" applyBorder="1" applyAlignment="1" applyProtection="1">
      <alignment horizontal="center" vertical="center" wrapText="1"/>
      <protection locked="0"/>
    </xf>
    <xf numFmtId="0" fontId="6" fillId="0" borderId="38" xfId="5" applyFont="1" applyBorder="1" applyAlignment="1">
      <alignment horizontal="center" vertical="center" wrapText="1"/>
    </xf>
    <xf numFmtId="0" fontId="6" fillId="0" borderId="1" xfId="5" applyFont="1" applyBorder="1" applyAlignment="1">
      <alignment horizontal="center" vertical="center" wrapText="1"/>
    </xf>
    <xf numFmtId="0" fontId="6" fillId="0" borderId="36" xfId="5" applyFont="1" applyBorder="1" applyAlignment="1">
      <alignment horizontal="center" vertical="center" wrapText="1"/>
    </xf>
    <xf numFmtId="179" fontId="18" fillId="0" borderId="1" xfId="12" applyFont="1" applyFill="1" applyBorder="1" applyAlignment="1" applyProtection="1">
      <alignment horizontal="left" vertical="center" wrapText="1"/>
      <protection locked="0"/>
    </xf>
    <xf numFmtId="179" fontId="36" fillId="0" borderId="1" xfId="20" applyFont="1" applyBorder="1" applyAlignment="1">
      <alignment horizontal="center" vertical="center"/>
    </xf>
    <xf numFmtId="179" fontId="21" fillId="0" borderId="5" xfId="0" applyFont="1" applyBorder="1" applyAlignment="1">
      <alignment vertical="center" wrapText="1"/>
    </xf>
    <xf numFmtId="179" fontId="21" fillId="0" borderId="6" xfId="0" applyFont="1" applyBorder="1" applyAlignment="1">
      <alignment vertical="center" wrapText="1"/>
    </xf>
    <xf numFmtId="179" fontId="21" fillId="0" borderId="4" xfId="0" applyFont="1" applyBorder="1" applyAlignment="1">
      <alignment vertical="center" wrapText="1"/>
    </xf>
    <xf numFmtId="179" fontId="11" fillId="0" borderId="5" xfId="0" applyFont="1" applyBorder="1" applyAlignment="1">
      <alignment vertical="center" wrapText="1"/>
    </xf>
    <xf numFmtId="0" fontId="22" fillId="0" borderId="5" xfId="20" applyNumberFormat="1" applyFont="1" applyBorder="1" applyAlignment="1">
      <alignment horizontal="center" vertical="center"/>
    </xf>
    <xf numFmtId="0" fontId="33" fillId="0" borderId="6" xfId="20" applyNumberFormat="1" applyFont="1" applyBorder="1" applyAlignment="1">
      <alignment horizontal="center" vertical="center"/>
    </xf>
    <xf numFmtId="0" fontId="33" fillId="0" borderId="4" xfId="20" applyNumberFormat="1" applyFont="1" applyBorder="1" applyAlignment="1">
      <alignment horizontal="center" vertical="center"/>
    </xf>
    <xf numFmtId="0" fontId="34" fillId="0" borderId="1" xfId="20" applyNumberFormat="1" applyFont="1" applyBorder="1" applyAlignment="1">
      <alignment horizontal="center" vertical="center"/>
    </xf>
    <xf numFmtId="14" fontId="35" fillId="2" borderId="1" xfId="20" applyNumberFormat="1" applyFont="1" applyFill="1" applyBorder="1" applyAlignment="1">
      <alignment horizontal="center" vertical="center" wrapText="1"/>
    </xf>
    <xf numFmtId="0" fontId="36" fillId="2" borderId="1" xfId="20" applyNumberFormat="1" applyFont="1" applyFill="1" applyBorder="1" applyAlignment="1">
      <alignment horizontal="center" vertical="center"/>
    </xf>
    <xf numFmtId="0" fontId="35" fillId="0" borderId="1" xfId="20" applyNumberFormat="1" applyFont="1" applyBorder="1" applyAlignment="1">
      <alignment horizontal="center" vertical="center" wrapText="1"/>
    </xf>
    <xf numFmtId="0" fontId="39" fillId="0" borderId="1" xfId="20" applyNumberFormat="1" applyFont="1" applyBorder="1" applyAlignment="1">
      <alignment horizontal="center" vertical="center"/>
    </xf>
    <xf numFmtId="179" fontId="37" fillId="0" borderId="48" xfId="20" applyFont="1" applyBorder="1" applyAlignment="1">
      <alignment horizontal="center" vertical="center"/>
    </xf>
    <xf numFmtId="179" fontId="19" fillId="0" borderId="1" xfId="21" applyFont="1" applyFill="1" applyBorder="1" applyAlignment="1">
      <alignment vertical="center" wrapText="1"/>
    </xf>
    <xf numFmtId="179" fontId="19" fillId="0" borderId="1" xfId="21" applyFont="1" applyFill="1" applyBorder="1" applyAlignment="1">
      <alignment vertical="center"/>
    </xf>
    <xf numFmtId="179" fontId="11" fillId="2" borderId="5" xfId="0" applyFont="1" applyFill="1" applyBorder="1" applyAlignment="1">
      <alignment horizontal="center" vertical="center" wrapText="1"/>
    </xf>
    <xf numFmtId="179" fontId="11" fillId="2" borderId="6" xfId="0" applyFont="1" applyFill="1" applyBorder="1" applyAlignment="1">
      <alignment horizontal="center" vertical="center" wrapText="1"/>
    </xf>
    <xf numFmtId="179" fontId="11" fillId="2" borderId="4" xfId="0" applyFont="1" applyFill="1" applyBorder="1" applyAlignment="1">
      <alignment horizontal="center" vertical="center" wrapText="1"/>
    </xf>
    <xf numFmtId="0" fontId="21" fillId="0" borderId="5" xfId="20" applyNumberFormat="1" applyFont="1" applyBorder="1" applyAlignment="1">
      <alignment horizontal="center" vertical="center"/>
    </xf>
    <xf numFmtId="0" fontId="21" fillId="0" borderId="4" xfId="20" applyNumberFormat="1" applyFont="1" applyBorder="1" applyAlignment="1">
      <alignment horizontal="center" vertical="center"/>
    </xf>
    <xf numFmtId="179" fontId="35" fillId="0" borderId="5" xfId="20" applyFont="1" applyBorder="1" applyAlignment="1">
      <alignment horizontal="center" vertical="center"/>
    </xf>
    <xf numFmtId="179" fontId="35" fillId="0" borderId="4" xfId="20" applyFont="1" applyBorder="1" applyAlignment="1">
      <alignment horizontal="center" vertical="center"/>
    </xf>
    <xf numFmtId="179" fontId="37" fillId="0" borderId="5" xfId="20" applyFont="1" applyBorder="1" applyAlignment="1">
      <alignment horizontal="center" vertical="center"/>
    </xf>
    <xf numFmtId="179" fontId="37" fillId="0" borderId="6" xfId="20" applyFont="1" applyBorder="1" applyAlignment="1">
      <alignment horizontal="center" vertical="center"/>
    </xf>
    <xf numFmtId="179" fontId="37" fillId="0" borderId="4" xfId="20" applyFont="1" applyBorder="1" applyAlignment="1">
      <alignment horizontal="center" vertical="center"/>
    </xf>
    <xf numFmtId="179" fontId="35" fillId="0" borderId="5" xfId="20" applyFont="1" applyFill="1" applyBorder="1" applyAlignment="1">
      <alignment horizontal="center" vertical="center"/>
    </xf>
    <xf numFmtId="179" fontId="35" fillId="0" borderId="6" xfId="20" applyFont="1" applyFill="1" applyBorder="1" applyAlignment="1">
      <alignment horizontal="center" vertical="center"/>
    </xf>
    <xf numFmtId="179" fontId="35" fillId="0" borderId="4" xfId="20" applyFont="1" applyFill="1" applyBorder="1" applyAlignment="1">
      <alignment horizontal="center" vertical="center"/>
    </xf>
    <xf numFmtId="179" fontId="6" fillId="0" borderId="5" xfId="9" applyFont="1" applyFill="1" applyBorder="1" applyAlignment="1">
      <alignment horizontal="center" vertical="center" wrapText="1"/>
    </xf>
    <xf numFmtId="179" fontId="6" fillId="0" borderId="44" xfId="9" applyFont="1" applyFill="1" applyBorder="1" applyAlignment="1">
      <alignment horizontal="center" vertical="center" wrapText="1"/>
    </xf>
    <xf numFmtId="179" fontId="6" fillId="0" borderId="47" xfId="9" applyFont="1" applyFill="1" applyBorder="1" applyAlignment="1">
      <alignment horizontal="center" vertical="center" wrapText="1"/>
    </xf>
    <xf numFmtId="179" fontId="6" fillId="0" borderId="55" xfId="9" applyFont="1" applyFill="1" applyBorder="1" applyAlignment="1">
      <alignment horizontal="center" vertical="center" wrapText="1"/>
    </xf>
    <xf numFmtId="179" fontId="6" fillId="0" borderId="56" xfId="9" applyFont="1" applyFill="1" applyBorder="1" applyAlignment="1">
      <alignment horizontal="center" vertical="center" wrapText="1"/>
    </xf>
    <xf numFmtId="179" fontId="6" fillId="0" borderId="19" xfId="9" applyFont="1" applyFill="1" applyBorder="1" applyAlignment="1">
      <alignment horizontal="center" vertical="center" wrapText="1"/>
    </xf>
    <xf numFmtId="179" fontId="6" fillId="0" borderId="45" xfId="9" applyFont="1" applyFill="1" applyBorder="1" applyAlignment="1">
      <alignment horizontal="center" vertical="center" wrapText="1"/>
    </xf>
    <xf numFmtId="179" fontId="6" fillId="0" borderId="46" xfId="9" applyFont="1" applyFill="1" applyBorder="1" applyAlignment="1">
      <alignment horizontal="center" vertical="center" wrapText="1"/>
    </xf>
    <xf numFmtId="179" fontId="29" fillId="0" borderId="2" xfId="0" applyFont="1" applyBorder="1" applyAlignment="1" applyProtection="1">
      <alignment horizontal="center" vertical="center" wrapText="1"/>
      <protection locked="0"/>
    </xf>
    <xf numFmtId="179" fontId="29" fillId="0" borderId="36" xfId="0" applyFont="1" applyBorder="1" applyAlignment="1" applyProtection="1">
      <alignment horizontal="center" vertical="center" wrapText="1"/>
      <protection locked="0"/>
    </xf>
    <xf numFmtId="179" fontId="29" fillId="0" borderId="3" xfId="0" applyFont="1" applyBorder="1" applyAlignment="1" applyProtection="1">
      <alignment horizontal="center" vertical="center" wrapText="1"/>
      <protection locked="0"/>
    </xf>
    <xf numFmtId="179" fontId="28" fillId="0" borderId="0" xfId="14" applyFont="1" applyFill="1" applyBorder="1" applyAlignment="1" applyProtection="1">
      <alignment horizontal="left" vertical="center" wrapText="1"/>
      <protection locked="0"/>
    </xf>
    <xf numFmtId="179" fontId="29" fillId="0" borderId="41" xfId="12" applyFont="1" applyFill="1" applyBorder="1" applyAlignment="1" applyProtection="1">
      <alignment horizontal="center" vertical="center" wrapText="1"/>
      <protection locked="0"/>
    </xf>
    <xf numFmtId="179" fontId="25" fillId="0" borderId="42" xfId="12" applyFont="1" applyFill="1" applyBorder="1" applyAlignment="1" applyProtection="1">
      <alignment horizontal="center" vertical="center" wrapText="1"/>
      <protection locked="0"/>
    </xf>
    <xf numFmtId="179" fontId="29" fillId="0" borderId="5" xfId="12" applyFont="1" applyFill="1" applyBorder="1" applyAlignment="1" applyProtection="1">
      <alignment horizontal="center" vertical="center" wrapText="1"/>
      <protection locked="0"/>
    </xf>
    <xf numFmtId="179" fontId="25" fillId="0" borderId="4" xfId="12" applyFont="1" applyFill="1" applyBorder="1" applyAlignment="1" applyProtection="1">
      <alignment horizontal="center" vertical="center" wrapText="1"/>
      <protection locked="0"/>
    </xf>
    <xf numFmtId="179" fontId="29" fillId="0" borderId="14" xfId="14" applyFont="1" applyFill="1" applyBorder="1" applyAlignment="1" applyProtection="1">
      <alignment horizontal="center" vertical="center" wrapText="1"/>
      <protection locked="0"/>
    </xf>
    <xf numFmtId="179" fontId="25" fillId="0" borderId="1" xfId="14" applyFont="1" applyFill="1" applyBorder="1" applyAlignment="1" applyProtection="1">
      <alignment horizontal="center" vertical="center" wrapText="1"/>
      <protection locked="0"/>
    </xf>
    <xf numFmtId="179" fontId="23" fillId="0" borderId="1" xfId="15" applyFont="1" applyBorder="1" applyAlignment="1" applyProtection="1">
      <alignment horizontal="center" vertical="center" wrapText="1"/>
      <protection locked="0"/>
    </xf>
    <xf numFmtId="179" fontId="29" fillId="2" borderId="5" xfId="12" applyFont="1" applyFill="1" applyBorder="1" applyAlignment="1" applyProtection="1">
      <alignment horizontal="center" vertical="center" wrapText="1"/>
      <protection locked="0"/>
    </xf>
    <xf numFmtId="179" fontId="25" fillId="2" borderId="4" xfId="12" applyFont="1" applyFill="1" applyBorder="1" applyAlignment="1" applyProtection="1">
      <alignment horizontal="center" vertical="center" wrapText="1"/>
      <protection locked="0"/>
    </xf>
    <xf numFmtId="179" fontId="25" fillId="0" borderId="1" xfId="5" applyNumberFormat="1" applyFont="1" applyFill="1" applyBorder="1" applyAlignment="1">
      <alignment horizontal="center" vertical="center" wrapText="1"/>
    </xf>
    <xf numFmtId="179" fontId="29" fillId="0" borderId="1" xfId="5" applyNumberFormat="1" applyFont="1" applyFill="1" applyBorder="1" applyAlignment="1">
      <alignment horizontal="center" vertical="center" wrapText="1"/>
    </xf>
    <xf numFmtId="179" fontId="29" fillId="0" borderId="1" xfId="14" applyFont="1" applyFill="1" applyBorder="1" applyAlignment="1" applyProtection="1">
      <alignment horizontal="center" vertical="center"/>
      <protection locked="0"/>
    </xf>
    <xf numFmtId="179" fontId="25" fillId="0" borderId="1" xfId="14" applyFont="1" applyFill="1" applyBorder="1" applyAlignment="1" applyProtection="1">
      <alignment horizontal="center" vertical="center"/>
      <protection locked="0"/>
    </xf>
    <xf numFmtId="179" fontId="13" fillId="0" borderId="7" xfId="14" applyFont="1" applyFill="1" applyBorder="1" applyAlignment="1" applyProtection="1">
      <alignment horizontal="center" vertical="center" wrapText="1"/>
      <protection locked="0"/>
    </xf>
    <xf numFmtId="179" fontId="13" fillId="0" borderId="8" xfId="14" applyFont="1" applyFill="1" applyBorder="1" applyAlignment="1" applyProtection="1">
      <alignment horizontal="center" vertical="center" wrapText="1"/>
      <protection locked="0"/>
    </xf>
    <xf numFmtId="179" fontId="13" fillId="0" borderId="40" xfId="14" applyFont="1" applyFill="1" applyBorder="1" applyAlignment="1" applyProtection="1">
      <alignment horizontal="center" vertical="center" wrapText="1"/>
      <protection locked="0"/>
    </xf>
    <xf numFmtId="179" fontId="13" fillId="0" borderId="9" xfId="14" applyFont="1" applyFill="1" applyBorder="1" applyAlignment="1" applyProtection="1">
      <alignment horizontal="center" vertical="center" wrapText="1"/>
      <protection locked="0"/>
    </xf>
    <xf numFmtId="179" fontId="13" fillId="0" borderId="0" xfId="14" applyFont="1" applyFill="1" applyBorder="1" applyAlignment="1" applyProtection="1">
      <alignment horizontal="center" vertical="center" wrapText="1"/>
      <protection locked="0"/>
    </xf>
    <xf numFmtId="179" fontId="13" fillId="0" borderId="43" xfId="14" applyFont="1" applyFill="1" applyBorder="1" applyAlignment="1" applyProtection="1">
      <alignment horizontal="center" vertical="center" wrapText="1"/>
      <protection locked="0"/>
    </xf>
    <xf numFmtId="179" fontId="25" fillId="2" borderId="41" xfId="14" applyFont="1" applyFill="1" applyBorder="1" applyAlignment="1" applyProtection="1">
      <alignment horizontal="center" vertical="center" wrapText="1"/>
      <protection locked="0"/>
    </xf>
    <xf numFmtId="179" fontId="25" fillId="2" borderId="17" xfId="14" applyFont="1" applyFill="1" applyBorder="1" applyAlignment="1" applyProtection="1">
      <alignment horizontal="center" vertical="center" wrapText="1"/>
      <protection locked="0"/>
    </xf>
    <xf numFmtId="179" fontId="25" fillId="2" borderId="42" xfId="14" applyFont="1" applyFill="1" applyBorder="1" applyAlignment="1" applyProtection="1">
      <alignment horizontal="center" vertical="center" wrapText="1"/>
      <protection locked="0"/>
    </xf>
    <xf numFmtId="179" fontId="29" fillId="2" borderId="5" xfId="14" applyFont="1" applyFill="1" applyBorder="1" applyAlignment="1" applyProtection="1">
      <alignment horizontal="center" vertical="center"/>
      <protection locked="0"/>
    </xf>
    <xf numFmtId="179" fontId="29" fillId="2" borderId="6" xfId="14" applyFont="1" applyFill="1" applyBorder="1" applyAlignment="1" applyProtection="1">
      <alignment horizontal="center" vertical="center"/>
      <protection locked="0"/>
    </xf>
    <xf numFmtId="179" fontId="29" fillId="2" borderId="4" xfId="14" applyFont="1" applyFill="1" applyBorder="1" applyAlignment="1" applyProtection="1">
      <alignment horizontal="center" vertical="center"/>
      <protection locked="0"/>
    </xf>
    <xf numFmtId="179" fontId="29" fillId="2" borderId="5" xfId="14" applyFont="1" applyFill="1" applyBorder="1" applyAlignment="1" applyProtection="1">
      <alignment horizontal="center" vertical="center" wrapText="1"/>
      <protection locked="0"/>
    </xf>
    <xf numFmtId="179" fontId="29" fillId="2" borderId="6" xfId="14" applyFont="1" applyFill="1" applyBorder="1" applyAlignment="1" applyProtection="1">
      <alignment horizontal="center" vertical="center" wrapText="1"/>
      <protection locked="0"/>
    </xf>
    <xf numFmtId="179" fontId="29" fillId="2" borderId="44" xfId="14" applyFont="1" applyFill="1" applyBorder="1" applyAlignment="1" applyProtection="1">
      <alignment horizontal="center" vertical="center" wrapText="1"/>
      <protection locked="0"/>
    </xf>
    <xf numFmtId="179" fontId="6" fillId="0" borderId="5" xfId="12" applyFont="1" applyFill="1" applyBorder="1" applyAlignment="1" applyProtection="1">
      <alignment horizontal="left" vertical="center" wrapText="1"/>
      <protection locked="0"/>
    </xf>
    <xf numFmtId="179" fontId="6" fillId="0" borderId="44" xfId="12" applyFont="1" applyFill="1" applyBorder="1" applyAlignment="1" applyProtection="1">
      <alignment horizontal="left" vertical="center" wrapText="1"/>
      <protection locked="0"/>
    </xf>
    <xf numFmtId="179" fontId="6" fillId="0" borderId="1" xfId="9" applyFont="1" applyFill="1" applyBorder="1" applyAlignment="1" applyProtection="1">
      <alignment horizontal="left" vertical="center" wrapText="1"/>
      <protection locked="0"/>
    </xf>
    <xf numFmtId="179" fontId="6" fillId="0" borderId="22" xfId="9" applyFont="1" applyFill="1" applyBorder="1" applyAlignment="1" applyProtection="1">
      <alignment horizontal="left" vertical="center" wrapText="1"/>
      <protection locked="0"/>
    </xf>
    <xf numFmtId="179" fontId="6" fillId="0" borderId="5" xfId="9" applyFont="1" applyFill="1" applyBorder="1" applyAlignment="1">
      <alignment horizontal="left" vertical="center" wrapText="1"/>
    </xf>
    <xf numFmtId="179" fontId="6" fillId="0" borderId="44" xfId="9" applyFont="1" applyFill="1" applyBorder="1" applyAlignment="1">
      <alignment horizontal="left" vertical="center" wrapText="1"/>
    </xf>
    <xf numFmtId="179" fontId="6" fillId="0" borderId="1" xfId="9" applyFont="1" applyFill="1" applyBorder="1" applyAlignment="1">
      <alignment horizontal="left" vertical="center" wrapText="1"/>
    </xf>
    <xf numFmtId="179" fontId="6" fillId="0" borderId="22" xfId="9" applyFont="1" applyFill="1" applyBorder="1" applyAlignment="1">
      <alignment horizontal="left" vertical="center" wrapText="1"/>
    </xf>
    <xf numFmtId="179" fontId="6" fillId="2" borderId="1" xfId="12" applyFont="1" applyFill="1" applyBorder="1" applyAlignment="1" applyProtection="1">
      <alignment vertical="center" wrapText="1"/>
    </xf>
    <xf numFmtId="179" fontId="6" fillId="2" borderId="22" xfId="12" applyFont="1" applyFill="1" applyBorder="1" applyAlignment="1" applyProtection="1">
      <alignment vertical="center" wrapText="1"/>
    </xf>
    <xf numFmtId="179" fontId="3" fillId="2" borderId="5" xfId="12" applyFont="1" applyFill="1" applyBorder="1" applyAlignment="1" applyProtection="1">
      <alignment horizontal="left" vertical="center" wrapText="1"/>
      <protection locked="0"/>
    </xf>
    <xf numFmtId="179" fontId="4" fillId="2" borderId="44" xfId="12" applyFont="1" applyFill="1" applyBorder="1" applyAlignment="1" applyProtection="1">
      <alignment horizontal="left" vertical="center" wrapText="1"/>
      <protection locked="0"/>
    </xf>
    <xf numFmtId="179" fontId="6" fillId="2" borderId="1" xfId="12" applyFont="1" applyFill="1" applyBorder="1" applyAlignment="1" applyProtection="1">
      <alignment horizontal="left" vertical="center" wrapText="1"/>
      <protection locked="0"/>
    </xf>
    <xf numFmtId="179" fontId="6" fillId="2" borderId="22" xfId="12" applyFont="1" applyFill="1" applyBorder="1" applyAlignment="1" applyProtection="1">
      <alignment horizontal="left" vertical="center" wrapText="1"/>
      <protection locked="0"/>
    </xf>
    <xf numFmtId="179" fontId="6" fillId="0" borderId="1" xfId="17" applyFont="1" applyFill="1" applyBorder="1" applyAlignment="1">
      <alignment vertical="center" wrapText="1"/>
    </xf>
    <xf numFmtId="179" fontId="6" fillId="0" borderId="22" xfId="17" applyFont="1" applyFill="1" applyBorder="1" applyAlignment="1">
      <alignment vertical="center" wrapText="1"/>
    </xf>
    <xf numFmtId="179" fontId="29" fillId="0" borderId="1" xfId="0" applyFont="1" applyBorder="1" applyAlignment="1" applyProtection="1">
      <alignment horizontal="center" vertical="center" wrapText="1"/>
      <protection locked="0"/>
    </xf>
    <xf numFmtId="179" fontId="25" fillId="0" borderId="22" xfId="0" applyFont="1" applyBorder="1" applyAlignment="1" applyProtection="1">
      <alignment horizontal="center" vertical="center" wrapText="1"/>
      <protection locked="0"/>
    </xf>
    <xf numFmtId="179" fontId="25" fillId="0" borderId="1" xfId="0" applyFont="1" applyBorder="1" applyAlignment="1" applyProtection="1">
      <alignment horizontal="center" vertical="center" wrapText="1"/>
      <protection locked="0"/>
    </xf>
    <xf numFmtId="179" fontId="25" fillId="0" borderId="1" xfId="0" applyFont="1" applyBorder="1" applyAlignment="1" applyProtection="1">
      <alignment horizontal="center" vertical="center"/>
      <protection locked="0"/>
    </xf>
    <xf numFmtId="179" fontId="23" fillId="2" borderId="5" xfId="0" applyFont="1" applyFill="1" applyBorder="1" applyAlignment="1" applyProtection="1">
      <alignment horizontal="center" vertical="center" wrapText="1"/>
      <protection locked="0"/>
    </xf>
    <xf numFmtId="179" fontId="23" fillId="2" borderId="4" xfId="0" applyFont="1" applyFill="1" applyBorder="1" applyAlignment="1" applyProtection="1">
      <alignment horizontal="center" vertical="center" wrapText="1"/>
      <protection locked="0"/>
    </xf>
    <xf numFmtId="0" fontId="6" fillId="0" borderId="1" xfId="5" applyFont="1" applyFill="1" applyBorder="1" applyAlignment="1">
      <alignment horizontal="left" vertical="center" wrapText="1"/>
    </xf>
    <xf numFmtId="0" fontId="6" fillId="0" borderId="22" xfId="5" applyFont="1" applyFill="1" applyBorder="1" applyAlignment="1">
      <alignment horizontal="left" vertical="center" wrapText="1"/>
    </xf>
    <xf numFmtId="179" fontId="29" fillId="0" borderId="2" xfId="14" applyFont="1" applyFill="1" applyBorder="1" applyAlignment="1" applyProtection="1">
      <alignment horizontal="center" vertical="center" wrapText="1"/>
      <protection locked="0"/>
    </xf>
    <xf numFmtId="179" fontId="29" fillId="0" borderId="36" xfId="14" applyFont="1" applyFill="1" applyBorder="1" applyAlignment="1" applyProtection="1">
      <alignment horizontal="center" vertical="center" wrapText="1"/>
      <protection locked="0"/>
    </xf>
    <xf numFmtId="179" fontId="29" fillId="0" borderId="3" xfId="14" applyFont="1" applyFill="1" applyBorder="1" applyAlignment="1" applyProtection="1">
      <alignment horizontal="center" vertical="center" wrapText="1"/>
      <protection locked="0"/>
    </xf>
    <xf numFmtId="179" fontId="29" fillId="0" borderId="2" xfId="0" applyFont="1" applyFill="1" applyBorder="1" applyAlignment="1" applyProtection="1">
      <alignment horizontal="center" vertical="center" wrapText="1"/>
      <protection locked="0"/>
    </xf>
    <xf numFmtId="179" fontId="29" fillId="0" borderId="36" xfId="0" applyFont="1" applyFill="1" applyBorder="1" applyAlignment="1" applyProtection="1">
      <alignment horizontal="center" vertical="center" wrapText="1"/>
      <protection locked="0"/>
    </xf>
    <xf numFmtId="179" fontId="29" fillId="0" borderId="3" xfId="0" applyFont="1" applyFill="1" applyBorder="1" applyAlignment="1" applyProtection="1">
      <alignment horizontal="center" vertical="center" wrapText="1"/>
      <protection locked="0"/>
    </xf>
    <xf numFmtId="179" fontId="6" fillId="0" borderId="1" xfId="12" applyFont="1" applyFill="1" applyBorder="1" applyAlignment="1" applyProtection="1">
      <alignment vertical="center" wrapText="1"/>
    </xf>
    <xf numFmtId="179" fontId="6" fillId="0" borderId="5" xfId="17" applyFont="1" applyFill="1" applyBorder="1" applyAlignment="1">
      <alignment vertical="center" wrapText="1"/>
    </xf>
    <xf numFmtId="179" fontId="6" fillId="0" borderId="44" xfId="17" applyFont="1" applyFill="1" applyBorder="1" applyAlignment="1">
      <alignment vertical="center" wrapText="1"/>
    </xf>
    <xf numFmtId="179" fontId="4" fillId="0" borderId="1" xfId="12" applyFont="1" applyFill="1" applyBorder="1" applyAlignment="1" applyProtection="1">
      <alignment horizontal="left" vertical="center" wrapText="1"/>
      <protection locked="0"/>
    </xf>
    <xf numFmtId="179" fontId="4" fillId="0" borderId="22" xfId="12" applyFont="1" applyFill="1" applyBorder="1" applyAlignment="1" applyProtection="1">
      <alignment horizontal="left" vertical="center" wrapText="1"/>
      <protection locked="0"/>
    </xf>
    <xf numFmtId="179" fontId="24" fillId="2" borderId="1" xfId="14" applyFont="1" applyFill="1" applyBorder="1" applyAlignment="1" applyProtection="1">
      <alignment horizontal="center" vertical="center" wrapText="1"/>
      <protection locked="0"/>
    </xf>
    <xf numFmtId="179" fontId="23" fillId="2" borderId="1" xfId="14" applyFont="1" applyFill="1" applyBorder="1" applyAlignment="1" applyProtection="1">
      <alignment horizontal="center" vertical="center"/>
      <protection locked="0"/>
    </xf>
    <xf numFmtId="179" fontId="24" fillId="2" borderId="5" xfId="14" applyFont="1" applyFill="1" applyBorder="1" applyAlignment="1" applyProtection="1">
      <alignment horizontal="center" vertical="center" wrapText="1"/>
      <protection locked="0"/>
    </xf>
    <xf numFmtId="179" fontId="24" fillId="2" borderId="4" xfId="14" applyFont="1" applyFill="1" applyBorder="1" applyAlignment="1" applyProtection="1">
      <alignment horizontal="center" vertical="center" wrapText="1"/>
      <protection locked="0"/>
    </xf>
    <xf numFmtId="179" fontId="23" fillId="2" borderId="1" xfId="14" applyFont="1" applyFill="1" applyBorder="1" applyAlignment="1" applyProtection="1">
      <alignment horizontal="center" vertical="center" wrapText="1"/>
      <protection locked="0"/>
    </xf>
    <xf numFmtId="179" fontId="24" fillId="2" borderId="6" xfId="14" applyFont="1" applyFill="1" applyBorder="1" applyAlignment="1" applyProtection="1">
      <alignment horizontal="center" vertical="center" wrapText="1"/>
      <protection locked="0"/>
    </xf>
    <xf numFmtId="179" fontId="4" fillId="0" borderId="5" xfId="9" applyFont="1" applyFill="1" applyBorder="1" applyAlignment="1">
      <alignment horizontal="left" vertical="center" wrapText="1"/>
    </xf>
    <xf numFmtId="179" fontId="4" fillId="0" borderId="44" xfId="9" applyFont="1" applyFill="1" applyBorder="1" applyAlignment="1">
      <alignment horizontal="left" vertical="center" wrapText="1"/>
    </xf>
    <xf numFmtId="179" fontId="4" fillId="0" borderId="5" xfId="9" applyFont="1" applyFill="1" applyBorder="1" applyAlignment="1" applyProtection="1">
      <alignment horizontal="left" vertical="center" wrapText="1"/>
      <protection locked="0"/>
    </xf>
    <xf numFmtId="179" fontId="4" fillId="0" borderId="44" xfId="9" applyFont="1" applyFill="1" applyBorder="1" applyAlignment="1" applyProtection="1">
      <alignment horizontal="left" vertical="center" wrapText="1"/>
      <protection locked="0"/>
    </xf>
    <xf numFmtId="179" fontId="29" fillId="2" borderId="16" xfId="14" applyFont="1" applyFill="1" applyBorder="1" applyAlignment="1" applyProtection="1">
      <alignment horizontal="center" vertical="center"/>
      <protection locked="0"/>
    </xf>
    <xf numFmtId="179" fontId="25" fillId="2" borderId="23" xfId="14" applyFont="1" applyFill="1" applyBorder="1" applyAlignment="1" applyProtection="1">
      <alignment horizontal="center" vertical="center"/>
      <protection locked="0"/>
    </xf>
    <xf numFmtId="179" fontId="25" fillId="0" borderId="14" xfId="14" applyFont="1" applyFill="1" applyBorder="1" applyAlignment="1" applyProtection="1">
      <alignment horizontal="center" vertical="center" wrapText="1"/>
      <protection locked="0"/>
    </xf>
    <xf numFmtId="0" fontId="6" fillId="0" borderId="14" xfId="5" applyFont="1" applyBorder="1" applyAlignment="1">
      <alignment horizontal="center" vertical="center" wrapText="1"/>
    </xf>
    <xf numFmtId="179" fontId="6" fillId="0" borderId="14" xfId="14" applyFont="1" applyFill="1" applyBorder="1" applyAlignment="1" applyProtection="1">
      <alignment horizontal="center" vertical="center" wrapText="1"/>
      <protection locked="0"/>
    </xf>
    <xf numFmtId="0" fontId="6" fillId="0" borderId="37" xfId="5" applyFont="1" applyBorder="1" applyAlignment="1">
      <alignment horizontal="center" vertical="center" wrapText="1"/>
    </xf>
    <xf numFmtId="0" fontId="6" fillId="0" borderId="38" xfId="5" applyFont="1" applyBorder="1" applyAlignment="1">
      <alignment horizontal="center" vertical="center" wrapText="1"/>
    </xf>
    <xf numFmtId="0" fontId="6" fillId="0" borderId="39" xfId="5" applyFont="1" applyBorder="1" applyAlignment="1">
      <alignment horizontal="center" vertical="center" wrapText="1"/>
    </xf>
    <xf numFmtId="179" fontId="29" fillId="0" borderId="1" xfId="14" applyFont="1" applyFill="1" applyBorder="1" applyAlignment="1" applyProtection="1">
      <alignment horizontal="center" vertical="center" wrapText="1"/>
      <protection locked="0"/>
    </xf>
    <xf numFmtId="0" fontId="6" fillId="0" borderId="1" xfId="5" applyFont="1" applyBorder="1" applyAlignment="1">
      <alignment horizontal="center" vertical="center" wrapText="1"/>
    </xf>
    <xf numFmtId="179" fontId="6" fillId="0" borderId="1" xfId="12" applyFont="1" applyFill="1" applyBorder="1" applyAlignment="1" applyProtection="1">
      <alignment horizontal="center" vertical="center" wrapText="1"/>
    </xf>
    <xf numFmtId="0" fontId="6" fillId="0" borderId="2" xfId="5" applyFont="1" applyBorder="1" applyAlignment="1">
      <alignment horizontal="center" vertical="center" wrapText="1"/>
    </xf>
    <xf numFmtId="0" fontId="6" fillId="0" borderId="36" xfId="5" applyFont="1" applyBorder="1" applyAlignment="1">
      <alignment horizontal="center" vertical="center" wrapText="1"/>
    </xf>
    <xf numFmtId="0" fontId="6" fillId="0" borderId="3" xfId="5" applyFont="1" applyBorder="1" applyAlignment="1">
      <alignment horizontal="center" vertical="center" wrapText="1"/>
    </xf>
    <xf numFmtId="179" fontId="4" fillId="2" borderId="45" xfId="12" applyFont="1" applyFill="1" applyBorder="1" applyAlignment="1" applyProtection="1">
      <alignment horizontal="left" vertical="center" wrapText="1"/>
      <protection locked="0"/>
    </xf>
    <xf numFmtId="179" fontId="4" fillId="2" borderId="46" xfId="12" applyFont="1" applyFill="1" applyBorder="1" applyAlignment="1" applyProtection="1">
      <alignment horizontal="left" vertical="center" wrapText="1"/>
      <protection locked="0"/>
    </xf>
    <xf numFmtId="179" fontId="29" fillId="2" borderId="52" xfId="14" applyFont="1" applyFill="1" applyBorder="1" applyAlignment="1" applyProtection="1">
      <alignment horizontal="center" vertical="center" wrapText="1"/>
      <protection locked="0"/>
    </xf>
    <xf numFmtId="179" fontId="29" fillId="2" borderId="54" xfId="14" applyFont="1" applyFill="1" applyBorder="1" applyAlignment="1" applyProtection="1">
      <alignment horizontal="center" vertical="center" wrapText="1"/>
      <protection locked="0"/>
    </xf>
    <xf numFmtId="179" fontId="29" fillId="2" borderId="53" xfId="14" applyFont="1" applyFill="1" applyBorder="1" applyAlignment="1" applyProtection="1">
      <alignment horizontal="center" vertical="center" wrapText="1"/>
      <protection locked="0"/>
    </xf>
    <xf numFmtId="179" fontId="29" fillId="2" borderId="52" xfId="14" applyFont="1" applyFill="1" applyBorder="1" applyAlignment="1" applyProtection="1">
      <alignment horizontal="center" vertical="center"/>
      <protection locked="0"/>
    </xf>
    <xf numFmtId="179" fontId="6" fillId="0" borderId="2" xfId="12" applyFont="1" applyFill="1" applyBorder="1" applyAlignment="1">
      <alignment horizontal="center" vertical="center" wrapText="1"/>
    </xf>
    <xf numFmtId="179" fontId="6" fillId="0" borderId="36" xfId="12" applyFont="1" applyFill="1" applyBorder="1" applyAlignment="1">
      <alignment horizontal="center" vertical="center" wrapText="1"/>
    </xf>
    <xf numFmtId="179" fontId="6" fillId="0" borderId="3" xfId="12" applyFont="1" applyFill="1" applyBorder="1" applyAlignment="1">
      <alignment horizontal="center" vertical="center" wrapText="1"/>
    </xf>
    <xf numFmtId="179" fontId="29" fillId="2" borderId="15" xfId="14" applyFont="1" applyFill="1" applyBorder="1" applyAlignment="1" applyProtection="1">
      <alignment horizontal="center" vertical="center"/>
      <protection locked="0"/>
    </xf>
    <xf numFmtId="179" fontId="25" fillId="2" borderId="16" xfId="14" applyFont="1" applyFill="1" applyBorder="1" applyAlignment="1" applyProtection="1">
      <alignment horizontal="center" vertical="center"/>
      <protection locked="0"/>
    </xf>
    <xf numFmtId="179" fontId="6" fillId="0" borderId="37" xfId="12" applyFont="1" applyFill="1" applyBorder="1" applyAlignment="1" applyProtection="1">
      <alignment horizontal="center" vertical="center" wrapText="1"/>
    </xf>
    <xf numFmtId="179" fontId="6" fillId="0" borderId="38" xfId="12" applyFont="1" applyFill="1" applyBorder="1" applyAlignment="1" applyProtection="1">
      <alignment horizontal="center" vertical="center" wrapText="1"/>
    </xf>
    <xf numFmtId="179" fontId="6" fillId="0" borderId="39" xfId="12" applyFont="1" applyFill="1" applyBorder="1" applyAlignment="1" applyProtection="1">
      <alignment horizontal="center" vertical="center" wrapText="1"/>
    </xf>
    <xf numFmtId="179" fontId="6" fillId="0" borderId="2" xfId="12" applyFont="1" applyFill="1" applyBorder="1" applyAlignment="1" applyProtection="1">
      <alignment horizontal="center" vertical="center" wrapText="1"/>
    </xf>
    <xf numFmtId="179" fontId="6" fillId="0" borderId="36" xfId="12" applyFont="1" applyFill="1" applyBorder="1" applyAlignment="1" applyProtection="1">
      <alignment horizontal="center" vertical="center" wrapText="1"/>
    </xf>
    <xf numFmtId="179" fontId="6" fillId="0" borderId="3" xfId="12" applyFont="1" applyFill="1" applyBorder="1" applyAlignment="1" applyProtection="1">
      <alignment horizontal="center" vertical="center" wrapText="1"/>
    </xf>
    <xf numFmtId="179" fontId="29" fillId="2" borderId="16" xfId="14" applyFont="1" applyFill="1" applyBorder="1" applyAlignment="1" applyProtection="1">
      <alignment horizontal="center" vertical="center" wrapText="1"/>
      <protection locked="0"/>
    </xf>
    <xf numFmtId="179" fontId="25" fillId="2" borderId="16" xfId="14" applyFont="1" applyFill="1" applyBorder="1" applyAlignment="1" applyProtection="1">
      <alignment horizontal="center" vertical="center" wrapText="1"/>
      <protection locked="0"/>
    </xf>
    <xf numFmtId="179" fontId="29" fillId="2" borderId="53" xfId="14" applyFont="1" applyFill="1" applyBorder="1" applyAlignment="1" applyProtection="1">
      <alignment horizontal="center" vertical="center"/>
      <protection locked="0"/>
    </xf>
    <xf numFmtId="179" fontId="21" fillId="0" borderId="0" xfId="14" applyFont="1" applyFill="1" applyBorder="1" applyAlignment="1" applyProtection="1">
      <alignment horizontal="left" vertical="center" wrapText="1"/>
      <protection locked="0"/>
    </xf>
    <xf numFmtId="179" fontId="18" fillId="0" borderId="1" xfId="12" applyFont="1" applyFill="1" applyBorder="1" applyAlignment="1" applyProtection="1">
      <alignment horizontal="left" vertical="center" wrapText="1"/>
      <protection locked="0"/>
    </xf>
    <xf numFmtId="179" fontId="18" fillId="0" borderId="22" xfId="12" applyFont="1" applyFill="1" applyBorder="1" applyAlignment="1" applyProtection="1">
      <alignment horizontal="left" vertical="center" wrapText="1"/>
      <protection locked="0"/>
    </xf>
    <xf numFmtId="179" fontId="18" fillId="0" borderId="14" xfId="12" applyFont="1" applyFill="1" applyBorder="1" applyAlignment="1" applyProtection="1">
      <alignment horizontal="center" vertical="center" wrapText="1"/>
      <protection locked="0"/>
    </xf>
    <xf numFmtId="179" fontId="18" fillId="0" borderId="1" xfId="12" applyFont="1" applyFill="1" applyBorder="1" applyAlignment="1" applyProtection="1">
      <alignment horizontal="center" vertical="center" wrapText="1"/>
      <protection locked="0"/>
    </xf>
    <xf numFmtId="179" fontId="18" fillId="0" borderId="22" xfId="12" applyFont="1" applyFill="1" applyBorder="1" applyAlignment="1" applyProtection="1">
      <alignment horizontal="center" vertical="center" wrapText="1"/>
      <protection locked="0"/>
    </xf>
    <xf numFmtId="0" fontId="52" fillId="0" borderId="5" xfId="29" applyFont="1" applyFill="1" applyBorder="1" applyAlignment="1">
      <alignment horizontal="center" vertical="center" wrapText="1"/>
    </xf>
    <xf numFmtId="0" fontId="52" fillId="0" borderId="6" xfId="29" applyFont="1" applyFill="1" applyBorder="1" applyAlignment="1">
      <alignment horizontal="center" vertical="center" wrapText="1"/>
    </xf>
    <xf numFmtId="0" fontId="52" fillId="0" borderId="4" xfId="29" applyFont="1" applyFill="1" applyBorder="1" applyAlignment="1">
      <alignment horizontal="center" vertical="center" wrapText="1"/>
    </xf>
    <xf numFmtId="0" fontId="54" fillId="0" borderId="1" xfId="29" applyFont="1" applyFill="1" applyBorder="1" applyAlignment="1">
      <alignment horizontal="center" vertical="center" wrapText="1"/>
    </xf>
    <xf numFmtId="0" fontId="54" fillId="0" borderId="2" xfId="29" applyFont="1" applyFill="1" applyBorder="1" applyAlignment="1">
      <alignment horizontal="center" vertical="center" wrapText="1"/>
    </xf>
    <xf numFmtId="0" fontId="54" fillId="0" borderId="3" xfId="29" applyFont="1" applyFill="1" applyBorder="1" applyAlignment="1">
      <alignment horizontal="center" vertical="center" wrapText="1"/>
    </xf>
    <xf numFmtId="0" fontId="60" fillId="0" borderId="1" xfId="29" applyFont="1" applyFill="1" applyBorder="1" applyAlignment="1">
      <alignment horizontal="left" vertical="center" wrapText="1"/>
    </xf>
    <xf numFmtId="0" fontId="60" fillId="2" borderId="5" xfId="29" applyFont="1" applyFill="1" applyBorder="1" applyAlignment="1">
      <alignment horizontal="left" vertical="center" wrapText="1"/>
    </xf>
    <xf numFmtId="0" fontId="60" fillId="2" borderId="6" xfId="29" applyFont="1" applyFill="1" applyBorder="1" applyAlignment="1">
      <alignment horizontal="left" vertical="center" wrapText="1"/>
    </xf>
    <xf numFmtId="0" fontId="60" fillId="2" borderId="4" xfId="29" applyFont="1" applyFill="1" applyBorder="1" applyAlignment="1">
      <alignment horizontal="left" vertical="center" wrapText="1"/>
    </xf>
    <xf numFmtId="0" fontId="54" fillId="2" borderId="1" xfId="29" applyFont="1" applyFill="1" applyBorder="1" applyAlignment="1">
      <alignment horizontal="center" vertical="center" wrapText="1"/>
    </xf>
    <xf numFmtId="0" fontId="55" fillId="0" borderId="2" xfId="29" applyFont="1" applyFill="1" applyBorder="1" applyAlignment="1">
      <alignment horizontal="center" vertical="center" wrapText="1"/>
    </xf>
    <xf numFmtId="0" fontId="55" fillId="0" borderId="3" xfId="29" applyFont="1" applyFill="1" applyBorder="1" applyAlignment="1">
      <alignment horizontal="center" vertical="center" wrapText="1"/>
    </xf>
    <xf numFmtId="0" fontId="10" fillId="2" borderId="7" xfId="5" applyFont="1" applyFill="1" applyBorder="1" applyAlignment="1">
      <alignment horizontal="center" vertical="center"/>
    </xf>
    <xf numFmtId="0" fontId="10" fillId="2" borderId="8" xfId="5" applyFont="1" applyFill="1" applyBorder="1" applyAlignment="1">
      <alignment horizontal="center" vertical="center"/>
    </xf>
    <xf numFmtId="0" fontId="13" fillId="0" borderId="0" xfId="0" applyNumberFormat="1" applyFont="1" applyAlignment="1">
      <alignment horizontal="center" vertical="center"/>
    </xf>
    <xf numFmtId="0" fontId="14" fillId="0" borderId="0" xfId="0" applyNumberFormat="1" applyFont="1" applyAlignment="1">
      <alignment horizontal="center" vertical="center"/>
    </xf>
    <xf numFmtId="0" fontId="15" fillId="0" borderId="0" xfId="0" applyNumberFormat="1" applyFont="1" applyAlignment="1">
      <alignment horizontal="center"/>
    </xf>
    <xf numFmtId="0" fontId="49" fillId="2" borderId="12" xfId="5" applyFont="1" applyFill="1" applyBorder="1" applyAlignment="1">
      <alignment horizontal="center" vertical="center"/>
    </xf>
    <xf numFmtId="0" fontId="49" fillId="2" borderId="13" xfId="5" applyFont="1" applyFill="1" applyBorder="1" applyAlignment="1">
      <alignment horizontal="center" vertical="center"/>
    </xf>
    <xf numFmtId="0" fontId="49" fillId="2" borderId="21" xfId="5" applyFont="1" applyFill="1" applyBorder="1" applyAlignment="1">
      <alignment horizontal="center" vertical="center"/>
    </xf>
    <xf numFmtId="0" fontId="11" fillId="2" borderId="14" xfId="5" applyFont="1" applyFill="1" applyBorder="1" applyAlignment="1">
      <alignment horizontal="center" vertical="center"/>
    </xf>
    <xf numFmtId="0" fontId="11" fillId="2" borderId="1" xfId="5" applyFont="1" applyFill="1" applyBorder="1" applyAlignment="1">
      <alignment horizontal="center" vertical="center"/>
    </xf>
    <xf numFmtId="0" fontId="46" fillId="2" borderId="14" xfId="3" applyFont="1" applyFill="1" applyBorder="1" applyAlignment="1">
      <alignment horizontal="center" vertical="center" wrapText="1"/>
    </xf>
    <xf numFmtId="0" fontId="46" fillId="2" borderId="15" xfId="3" applyFont="1" applyFill="1" applyBorder="1" applyAlignment="1">
      <alignment horizontal="center" vertical="center" wrapText="1"/>
    </xf>
    <xf numFmtId="178" fontId="8" fillId="2" borderId="7" xfId="5" applyNumberFormat="1" applyFont="1" applyFill="1" applyBorder="1" applyAlignment="1">
      <alignment horizontal="center" vertical="center" wrapText="1"/>
    </xf>
    <xf numFmtId="178" fontId="8" fillId="2" borderId="8" xfId="5" applyNumberFormat="1" applyFont="1" applyFill="1" applyBorder="1" applyAlignment="1">
      <alignment horizontal="center" vertical="center" wrapText="1"/>
    </xf>
    <xf numFmtId="178" fontId="8" fillId="2" borderId="9" xfId="5" applyNumberFormat="1" applyFont="1" applyFill="1" applyBorder="1" applyAlignment="1">
      <alignment horizontal="center" vertical="center" wrapText="1"/>
    </xf>
    <xf numFmtId="178" fontId="8" fillId="2" borderId="0" xfId="5" applyNumberFormat="1" applyFont="1" applyFill="1" applyAlignment="1">
      <alignment horizontal="center" vertical="center" wrapText="1"/>
    </xf>
    <xf numFmtId="178" fontId="8" fillId="2" borderId="10" xfId="5" applyNumberFormat="1" applyFont="1" applyFill="1" applyBorder="1" applyAlignment="1">
      <alignment horizontal="center" vertical="center" wrapText="1"/>
    </xf>
    <xf numFmtId="178" fontId="8" fillId="2" borderId="11" xfId="5" applyNumberFormat="1" applyFont="1" applyFill="1" applyBorder="1" applyAlignment="1">
      <alignment horizontal="center" vertical="center" wrapText="1"/>
    </xf>
    <xf numFmtId="0" fontId="10" fillId="2" borderId="1" xfId="5" applyFont="1" applyFill="1" applyBorder="1" applyAlignment="1">
      <alignment horizontal="center" vertical="center"/>
    </xf>
    <xf numFmtId="0" fontId="12" fillId="2" borderId="1" xfId="3" applyFont="1" applyFill="1" applyBorder="1" applyAlignment="1">
      <alignment horizontal="center" vertical="center" wrapText="1"/>
    </xf>
    <xf numFmtId="0" fontId="12" fillId="2" borderId="25" xfId="3" applyFont="1" applyFill="1" applyBorder="1" applyAlignment="1">
      <alignment horizontal="center" vertical="center" wrapText="1"/>
    </xf>
    <xf numFmtId="0" fontId="12" fillId="2" borderId="27" xfId="3" applyFont="1" applyFill="1" applyBorder="1" applyAlignment="1">
      <alignment horizontal="center" vertical="center" wrapText="1"/>
    </xf>
    <xf numFmtId="0" fontId="12" fillId="2" borderId="26" xfId="3" applyFont="1" applyFill="1" applyBorder="1" applyAlignment="1">
      <alignment horizontal="center" vertical="center" wrapText="1"/>
    </xf>
    <xf numFmtId="0" fontId="12" fillId="2" borderId="17" xfId="3" applyFont="1" applyFill="1" applyBorder="1" applyAlignment="1">
      <alignment horizontal="center" vertical="center" wrapText="1"/>
    </xf>
    <xf numFmtId="0" fontId="12" fillId="2" borderId="34" xfId="3" applyFont="1" applyFill="1" applyBorder="1" applyAlignment="1">
      <alignment horizontal="center" vertical="center" wrapText="1"/>
    </xf>
    <xf numFmtId="0" fontId="12" fillId="2" borderId="24" xfId="3" applyFont="1" applyFill="1" applyBorder="1" applyAlignment="1">
      <alignment horizontal="center" vertical="center" wrapText="1"/>
    </xf>
    <xf numFmtId="180" fontId="3" fillId="2" borderId="5" xfId="3" applyNumberFormat="1" applyFont="1" applyFill="1" applyBorder="1" applyAlignment="1">
      <alignment horizontal="center" vertical="center" wrapText="1"/>
    </xf>
    <xf numFmtId="180" fontId="3" fillId="2" borderId="4" xfId="3" applyNumberFormat="1" applyFont="1" applyFill="1" applyBorder="1" applyAlignment="1">
      <alignment horizontal="center" vertical="center" wrapText="1"/>
    </xf>
    <xf numFmtId="179" fontId="5" fillId="0" borderId="4" xfId="25" applyFont="1" applyBorder="1" applyAlignment="1">
      <alignment horizontal="center" vertical="center"/>
    </xf>
    <xf numFmtId="179" fontId="2" fillId="0" borderId="1" xfId="25" applyFont="1" applyBorder="1" applyAlignment="1">
      <alignment horizontal="center" vertical="center"/>
    </xf>
    <xf numFmtId="179" fontId="3" fillId="0" borderId="1" xfId="25" applyFont="1" applyBorder="1" applyAlignment="1">
      <alignment horizontal="center" vertical="center"/>
    </xf>
    <xf numFmtId="179" fontId="5" fillId="0" borderId="5" xfId="25" applyFont="1" applyBorder="1" applyAlignment="1">
      <alignment horizontal="center" vertical="center"/>
    </xf>
    <xf numFmtId="179" fontId="5" fillId="0" borderId="6" xfId="25" applyFont="1" applyBorder="1" applyAlignment="1">
      <alignment horizontal="center" vertical="center"/>
    </xf>
    <xf numFmtId="0" fontId="44" fillId="2" borderId="1" xfId="3" applyFill="1" applyBorder="1" applyAlignment="1">
      <alignment horizontal="center" vertical="center"/>
    </xf>
    <xf numFmtId="0" fontId="0" fillId="2" borderId="1" xfId="3" applyFont="1" applyFill="1" applyBorder="1" applyAlignment="1">
      <alignment horizontal="center" vertical="center"/>
    </xf>
    <xf numFmtId="179" fontId="2" fillId="0" borderId="2" xfId="25" applyFont="1" applyBorder="1" applyAlignment="1">
      <alignment horizontal="center" vertical="center"/>
    </xf>
    <xf numFmtId="179" fontId="2" fillId="0" borderId="3" xfId="25" applyFont="1" applyBorder="1" applyAlignment="1">
      <alignment horizontal="center" vertical="center"/>
    </xf>
    <xf numFmtId="179" fontId="5" fillId="0" borderId="1" xfId="25" applyFont="1" applyBorder="1" applyAlignment="1">
      <alignment horizontal="center" vertical="center"/>
    </xf>
    <xf numFmtId="179" fontId="4" fillId="0" borderId="1" xfId="25" applyFont="1" applyBorder="1" applyAlignment="1">
      <alignment horizontal="center" vertical="center"/>
    </xf>
  </cellXfs>
  <cellStyles count="30">
    <cellStyle name="Normal_DEI-003" xfId="8"/>
    <cellStyle name="百分比" xfId="1" builtinId="5"/>
    <cellStyle name="常规" xfId="0" builtinId="0"/>
    <cellStyle name="常规 2" xfId="12"/>
    <cellStyle name="常规 2 15" xfId="13"/>
    <cellStyle name="常规 2 18" xfId="14"/>
    <cellStyle name="常规 2 18 2" xfId="5"/>
    <cellStyle name="常规 2 18 3" xfId="15"/>
    <cellStyle name="常规 2 2" xfId="9"/>
    <cellStyle name="常规 2 2 5" xfId="7"/>
    <cellStyle name="常规 2 2 5 2" xfId="17"/>
    <cellStyle name="常规 2 3" xfId="11"/>
    <cellStyle name="常规 24" xfId="18"/>
    <cellStyle name="常规 3" xfId="16"/>
    <cellStyle name="常规 3 12" xfId="10"/>
    <cellStyle name="常规 3 2" xfId="6"/>
    <cellStyle name="常规 3 2 2" xfId="4"/>
    <cellStyle name="常规 3 2 3" xfId="19"/>
    <cellStyle name="常规 3 3" xfId="20"/>
    <cellStyle name="常规 3 3 2" xfId="21"/>
    <cellStyle name="常规 3 5" xfId="22"/>
    <cellStyle name="常规 35" xfId="23"/>
    <cellStyle name="常规 36" xfId="24"/>
    <cellStyle name="常规 4" xfId="25"/>
    <cellStyle name="常规 4 2" xfId="26"/>
    <cellStyle name="常规 5" xfId="27"/>
    <cellStyle name="常规 5 2" xfId="3"/>
    <cellStyle name="常规 6" xfId="2"/>
    <cellStyle name="常规 7" xfId="29"/>
    <cellStyle name="一般_NLX" xfId="28"/>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1</xdr:col>
      <xdr:colOff>38100</xdr:colOff>
      <xdr:row>0</xdr:row>
      <xdr:rowOff>152400</xdr:rowOff>
    </xdr:from>
    <xdr:to>
      <xdr:col>4</xdr:col>
      <xdr:colOff>190500</xdr:colOff>
      <xdr:row>0</xdr:row>
      <xdr:rowOff>485775</xdr:rowOff>
    </xdr:to>
    <xdr:sp macro="" textlink="">
      <xdr:nvSpPr>
        <xdr:cNvPr id="2" name="文本框 1"/>
        <xdr:cNvSpPr txBox="1"/>
      </xdr:nvSpPr>
      <xdr:spPr>
        <a:xfrm>
          <a:off x="190500" y="152400"/>
          <a:ext cx="1771650"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200">
              <a:latin typeface="+mn-ea"/>
              <a:ea typeface="+mn-ea"/>
            </a:rPr>
            <a:t>CALB</a:t>
          </a:r>
          <a:r>
            <a:rPr lang="zh-CN" altLang="en-US" sz="1200">
              <a:latin typeface="+mn-ea"/>
              <a:ea typeface="+mn-ea"/>
            </a:rPr>
            <a:t>普通商密▲</a:t>
          </a:r>
          <a:r>
            <a:rPr lang="en-US" altLang="zh-CN" sz="1200">
              <a:latin typeface="+mn-ea"/>
              <a:ea typeface="+mn-ea"/>
            </a:rPr>
            <a:t>3</a:t>
          </a:r>
          <a:r>
            <a:rPr lang="zh-CN" altLang="en-US" sz="1200">
              <a:latin typeface="+mn-ea"/>
              <a:ea typeface="+mn-ea"/>
            </a:rPr>
            <a:t>年</a:t>
          </a:r>
        </a:p>
      </xdr:txBody>
    </xdr:sp>
    <xdr:clientData/>
  </xdr:twoCellAnchor>
  <xdr:twoCellAnchor editAs="oneCell">
    <xdr:from>
      <xdr:col>8</xdr:col>
      <xdr:colOff>402167</xdr:colOff>
      <xdr:row>0</xdr:row>
      <xdr:rowOff>243416</xdr:rowOff>
    </xdr:from>
    <xdr:to>
      <xdr:col>9</xdr:col>
      <xdr:colOff>730082</xdr:colOff>
      <xdr:row>0</xdr:row>
      <xdr:rowOff>548216</xdr:rowOff>
    </xdr:to>
    <xdr:pic>
      <xdr:nvPicPr>
        <xdr:cNvPr id="4" name="图片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73750" y="243416"/>
          <a:ext cx="1005248" cy="304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293687</xdr:colOff>
      <xdr:row>13</xdr:row>
      <xdr:rowOff>539854</xdr:rowOff>
    </xdr:from>
    <xdr:to>
      <xdr:col>12</xdr:col>
      <xdr:colOff>732117</xdr:colOff>
      <xdr:row>13</xdr:row>
      <xdr:rowOff>2597728</xdr:rowOff>
    </xdr:to>
    <xdr:grpSp>
      <xdr:nvGrpSpPr>
        <xdr:cNvPr id="129" name="组合 128">
          <a:extLst>
            <a:ext uri="{FF2B5EF4-FFF2-40B4-BE49-F238E27FC236}">
              <a16:creationId xmlns:a16="http://schemas.microsoft.com/office/drawing/2014/main" id="{00000000-0008-0000-0200-000033000000}"/>
            </a:ext>
          </a:extLst>
        </xdr:cNvPr>
        <xdr:cNvGrpSpPr/>
      </xdr:nvGrpSpPr>
      <xdr:grpSpPr>
        <a:xfrm>
          <a:off x="368393" y="3849325"/>
          <a:ext cx="8499195" cy="2057874"/>
          <a:chOff x="3539857" y="2495291"/>
          <a:chExt cx="6953726" cy="2052627"/>
        </a:xfrm>
      </xdr:grpSpPr>
      <xdr:grpSp>
        <xdr:nvGrpSpPr>
          <xdr:cNvPr id="130" name="组合 129">
            <a:extLst>
              <a:ext uri="{FF2B5EF4-FFF2-40B4-BE49-F238E27FC236}">
                <a16:creationId xmlns:a16="http://schemas.microsoft.com/office/drawing/2014/main" id="{00000000-0008-0000-0200-000034000000}"/>
              </a:ext>
            </a:extLst>
          </xdr:cNvPr>
          <xdr:cNvGrpSpPr/>
        </xdr:nvGrpSpPr>
        <xdr:grpSpPr>
          <a:xfrm>
            <a:off x="4483097" y="2495291"/>
            <a:ext cx="6010486" cy="2052627"/>
            <a:chOff x="3255189" y="2329829"/>
            <a:chExt cx="6010486" cy="2052627"/>
          </a:xfrm>
        </xdr:grpSpPr>
        <xdr:sp macro="" textlink="">
          <xdr:nvSpPr>
            <xdr:cNvPr id="137" name="矩形 136">
              <a:extLst>
                <a:ext uri="{FF2B5EF4-FFF2-40B4-BE49-F238E27FC236}">
                  <a16:creationId xmlns:a16="http://schemas.microsoft.com/office/drawing/2014/main" id="{00000000-0008-0000-0200-00003B000000}"/>
                </a:ext>
              </a:extLst>
            </xdr:cNvPr>
            <xdr:cNvSpPr/>
          </xdr:nvSpPr>
          <xdr:spPr>
            <a:xfrm>
              <a:off x="3255189" y="2696165"/>
              <a:ext cx="4493846" cy="1462941"/>
            </a:xfrm>
            <a:prstGeom prst="rect">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zh-CN" altLang="en-US" sz="1100"/>
            </a:p>
          </xdr:txBody>
        </xdr:sp>
        <xdr:sp macro="" textlink="">
          <xdr:nvSpPr>
            <xdr:cNvPr id="138" name="矩形 137">
              <a:extLst>
                <a:ext uri="{FF2B5EF4-FFF2-40B4-BE49-F238E27FC236}">
                  <a16:creationId xmlns:a16="http://schemas.microsoft.com/office/drawing/2014/main" id="{00000000-0008-0000-0200-00003C000000}"/>
                </a:ext>
              </a:extLst>
            </xdr:cNvPr>
            <xdr:cNvSpPr/>
          </xdr:nvSpPr>
          <xdr:spPr>
            <a:xfrm>
              <a:off x="3259790" y="2475544"/>
              <a:ext cx="4488785" cy="211845"/>
            </a:xfrm>
            <a:prstGeom prst="rect">
              <a:avLst/>
            </a:pr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zh-CN" altLang="en-US" sz="1100"/>
            </a:p>
          </xdr:txBody>
        </xdr:sp>
        <xdr:sp macro="" textlink="">
          <xdr:nvSpPr>
            <xdr:cNvPr id="139" name="矩形 138">
              <a:extLst>
                <a:ext uri="{FF2B5EF4-FFF2-40B4-BE49-F238E27FC236}">
                  <a16:creationId xmlns:a16="http://schemas.microsoft.com/office/drawing/2014/main" id="{00000000-0008-0000-0200-00003D000000}"/>
                </a:ext>
              </a:extLst>
            </xdr:cNvPr>
            <xdr:cNvSpPr/>
          </xdr:nvSpPr>
          <xdr:spPr>
            <a:xfrm>
              <a:off x="3259790" y="4170612"/>
              <a:ext cx="4488785" cy="211844"/>
            </a:xfrm>
            <a:prstGeom prst="rect">
              <a:avLst/>
            </a:pr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zh-CN" altLang="en-US" sz="1100"/>
            </a:p>
          </xdr:txBody>
        </xdr:sp>
        <xdr:cxnSp macro="">
          <xdr:nvCxnSpPr>
            <xdr:cNvPr id="140" name="直接连接符 139">
              <a:extLst>
                <a:ext uri="{FF2B5EF4-FFF2-40B4-BE49-F238E27FC236}">
                  <a16:creationId xmlns:a16="http://schemas.microsoft.com/office/drawing/2014/main" id="{00000000-0008-0000-0200-00003E000000}"/>
                </a:ext>
              </a:extLst>
            </xdr:cNvPr>
            <xdr:cNvCxnSpPr/>
          </xdr:nvCxnSpPr>
          <xdr:spPr>
            <a:xfrm>
              <a:off x="7748575" y="2688005"/>
              <a:ext cx="428774"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41" name="直接连接符 140">
              <a:extLst>
                <a:ext uri="{FF2B5EF4-FFF2-40B4-BE49-F238E27FC236}">
                  <a16:creationId xmlns:a16="http://schemas.microsoft.com/office/drawing/2014/main" id="{00000000-0008-0000-0200-00003F000000}"/>
                </a:ext>
              </a:extLst>
            </xdr:cNvPr>
            <xdr:cNvCxnSpPr/>
          </xdr:nvCxnSpPr>
          <xdr:spPr>
            <a:xfrm>
              <a:off x="7748575" y="4159106"/>
              <a:ext cx="428774"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42" name="直接箭头连接符 141">
              <a:extLst>
                <a:ext uri="{FF2B5EF4-FFF2-40B4-BE49-F238E27FC236}">
                  <a16:creationId xmlns:a16="http://schemas.microsoft.com/office/drawing/2014/main" id="{00000000-0008-0000-0200-000040000000}"/>
                </a:ext>
              </a:extLst>
            </xdr:cNvPr>
            <xdr:cNvCxnSpPr/>
          </xdr:nvCxnSpPr>
          <xdr:spPr>
            <a:xfrm>
              <a:off x="7962962" y="2696165"/>
              <a:ext cx="0" cy="1462941"/>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43" name="文本框 11">
              <a:extLst>
                <a:ext uri="{FF2B5EF4-FFF2-40B4-BE49-F238E27FC236}">
                  <a16:creationId xmlns:a16="http://schemas.microsoft.com/office/drawing/2014/main" id="{00000000-0008-0000-0200-000041000000}"/>
                </a:ext>
              </a:extLst>
            </xdr:cNvPr>
            <xdr:cNvSpPr txBox="1"/>
          </xdr:nvSpPr>
          <xdr:spPr>
            <a:xfrm>
              <a:off x="7962962" y="3126377"/>
              <a:ext cx="798617" cy="358158"/>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800"/>
                <a:t>涂覆区宽度</a:t>
              </a:r>
              <a:endParaRPr lang="en-US" altLang="zh-CN" sz="800"/>
            </a:p>
            <a:p>
              <a:r>
                <a:rPr lang="en-US" altLang="zh-CN" sz="800"/>
                <a:t>454±0.5mm</a:t>
              </a:r>
              <a:endParaRPr lang="zh-CN" altLang="en-US" sz="800"/>
            </a:p>
          </xdr:txBody>
        </xdr:sp>
        <xdr:cxnSp macro="">
          <xdr:nvCxnSpPr>
            <xdr:cNvPr id="144" name="直接连接符 143">
              <a:extLst>
                <a:ext uri="{FF2B5EF4-FFF2-40B4-BE49-F238E27FC236}">
                  <a16:creationId xmlns:a16="http://schemas.microsoft.com/office/drawing/2014/main" id="{00000000-0008-0000-0200-000042000000}"/>
                </a:ext>
              </a:extLst>
            </xdr:cNvPr>
            <xdr:cNvCxnSpPr/>
          </xdr:nvCxnSpPr>
          <xdr:spPr>
            <a:xfrm>
              <a:off x="7748575" y="2475544"/>
              <a:ext cx="428774"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45" name="直接箭头连接符 144">
              <a:extLst>
                <a:ext uri="{FF2B5EF4-FFF2-40B4-BE49-F238E27FC236}">
                  <a16:creationId xmlns:a16="http://schemas.microsoft.com/office/drawing/2014/main" id="{00000000-0008-0000-0200-000043000000}"/>
                </a:ext>
              </a:extLst>
            </xdr:cNvPr>
            <xdr:cNvCxnSpPr/>
          </xdr:nvCxnSpPr>
          <xdr:spPr>
            <a:xfrm flipV="1">
              <a:off x="7962962" y="2475545"/>
              <a:ext cx="0" cy="211845"/>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46" name="文本框 15">
              <a:extLst>
                <a:ext uri="{FF2B5EF4-FFF2-40B4-BE49-F238E27FC236}">
                  <a16:creationId xmlns:a16="http://schemas.microsoft.com/office/drawing/2014/main" id="{00000000-0008-0000-0200-000044000000}"/>
                </a:ext>
              </a:extLst>
            </xdr:cNvPr>
            <xdr:cNvSpPr txBox="1"/>
          </xdr:nvSpPr>
          <xdr:spPr>
            <a:xfrm>
              <a:off x="8250923" y="2329829"/>
              <a:ext cx="1014752" cy="601609"/>
            </a:xfrm>
            <a:prstGeom prst="rect">
              <a:avLst/>
            </a:prstGeom>
            <a:noFill/>
          </xdr:spPr>
          <xdr:txBody>
            <a:bodyPr wrap="square" rtlCol="0">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800"/>
                <a:t>留白宽度（包含极耳胶</a:t>
              </a:r>
              <a:r>
                <a:rPr lang="en-US" altLang="zh-CN" sz="800"/>
                <a:t>4mm</a:t>
              </a:r>
              <a:r>
                <a:rPr lang="zh-CN" altLang="en-US" sz="800"/>
                <a:t>）</a:t>
              </a:r>
              <a:endParaRPr lang="en-US" altLang="zh-CN" sz="800"/>
            </a:p>
            <a:p>
              <a:r>
                <a:rPr lang="en-US" altLang="zh-CN" sz="800"/>
                <a:t>29.5±0.7mm</a:t>
              </a:r>
              <a:endParaRPr lang="zh-CN" altLang="en-US" sz="800"/>
            </a:p>
          </xdr:txBody>
        </xdr:sp>
        <xdr:sp macro="" textlink="">
          <xdr:nvSpPr>
            <xdr:cNvPr id="147" name="矩形 146">
              <a:extLst>
                <a:ext uri="{FF2B5EF4-FFF2-40B4-BE49-F238E27FC236}">
                  <a16:creationId xmlns:a16="http://schemas.microsoft.com/office/drawing/2014/main" id="{00000000-0008-0000-0200-000045000000}"/>
                </a:ext>
              </a:extLst>
            </xdr:cNvPr>
            <xdr:cNvSpPr/>
          </xdr:nvSpPr>
          <xdr:spPr>
            <a:xfrm>
              <a:off x="3255189" y="2641669"/>
              <a:ext cx="4493386" cy="4571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sp macro="" textlink="">
          <xdr:nvSpPr>
            <xdr:cNvPr id="148" name="矩形 147">
              <a:extLst>
                <a:ext uri="{FF2B5EF4-FFF2-40B4-BE49-F238E27FC236}">
                  <a16:creationId xmlns:a16="http://schemas.microsoft.com/office/drawing/2014/main" id="{00000000-0008-0000-0200-000046000000}"/>
                </a:ext>
              </a:extLst>
            </xdr:cNvPr>
            <xdr:cNvSpPr/>
          </xdr:nvSpPr>
          <xdr:spPr>
            <a:xfrm>
              <a:off x="3255189" y="4170237"/>
              <a:ext cx="4493386" cy="4571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a:p>
          </xdr:txBody>
        </xdr:sp>
      </xdr:grpSp>
      <xdr:cxnSp macro="">
        <xdr:nvCxnSpPr>
          <xdr:cNvPr id="131" name="直接连接符 130">
            <a:extLst>
              <a:ext uri="{FF2B5EF4-FFF2-40B4-BE49-F238E27FC236}">
                <a16:creationId xmlns:a16="http://schemas.microsoft.com/office/drawing/2014/main" id="{00000000-0008-0000-0200-000035000000}"/>
              </a:ext>
            </a:extLst>
          </xdr:cNvPr>
          <xdr:cNvCxnSpPr>
            <a:stCxn id="148" idx="1"/>
            <a:endCxn id="148" idx="1"/>
          </xdr:cNvCxnSpPr>
        </xdr:nvCxnSpPr>
        <xdr:spPr>
          <a:xfrm>
            <a:off x="4483097" y="4358559"/>
            <a:ext cx="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32" name="直接连接符 131">
            <a:extLst>
              <a:ext uri="{FF2B5EF4-FFF2-40B4-BE49-F238E27FC236}">
                <a16:creationId xmlns:a16="http://schemas.microsoft.com/office/drawing/2014/main" id="{00000000-0008-0000-0200-000036000000}"/>
              </a:ext>
            </a:extLst>
          </xdr:cNvPr>
          <xdr:cNvCxnSpPr/>
        </xdr:nvCxnSpPr>
        <xdr:spPr>
          <a:xfrm>
            <a:off x="4184647" y="4324568"/>
            <a:ext cx="29845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33" name="直接连接符 132">
            <a:extLst>
              <a:ext uri="{FF2B5EF4-FFF2-40B4-BE49-F238E27FC236}">
                <a16:creationId xmlns:a16="http://schemas.microsoft.com/office/drawing/2014/main" id="{00000000-0008-0000-0200-000037000000}"/>
              </a:ext>
            </a:extLst>
          </xdr:cNvPr>
          <xdr:cNvCxnSpPr/>
        </xdr:nvCxnSpPr>
        <xdr:spPr>
          <a:xfrm>
            <a:off x="4184647" y="4381636"/>
            <a:ext cx="29845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34" name="直接箭头连接符 133">
            <a:extLst>
              <a:ext uri="{FF2B5EF4-FFF2-40B4-BE49-F238E27FC236}">
                <a16:creationId xmlns:a16="http://schemas.microsoft.com/office/drawing/2014/main" id="{00000000-0008-0000-0200-000038000000}"/>
              </a:ext>
            </a:extLst>
          </xdr:cNvPr>
          <xdr:cNvCxnSpPr/>
        </xdr:nvCxnSpPr>
        <xdr:spPr>
          <a:xfrm>
            <a:off x="4333872" y="4178300"/>
            <a:ext cx="0" cy="14626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35" name="直接箭头连接符 134">
            <a:extLst>
              <a:ext uri="{FF2B5EF4-FFF2-40B4-BE49-F238E27FC236}">
                <a16:creationId xmlns:a16="http://schemas.microsoft.com/office/drawing/2014/main" id="{00000000-0008-0000-0200-000039000000}"/>
              </a:ext>
            </a:extLst>
          </xdr:cNvPr>
          <xdr:cNvCxnSpPr/>
        </xdr:nvCxnSpPr>
        <xdr:spPr>
          <a:xfrm flipV="1">
            <a:off x="4333872" y="4381418"/>
            <a:ext cx="0" cy="1665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36" name="文本框 45">
            <a:extLst>
              <a:ext uri="{FF2B5EF4-FFF2-40B4-BE49-F238E27FC236}">
                <a16:creationId xmlns:a16="http://schemas.microsoft.com/office/drawing/2014/main" id="{00000000-0008-0000-0200-00003A000000}"/>
              </a:ext>
            </a:extLst>
          </xdr:cNvPr>
          <xdr:cNvSpPr txBox="1"/>
        </xdr:nvSpPr>
        <xdr:spPr>
          <a:xfrm>
            <a:off x="3539857" y="4191595"/>
            <a:ext cx="697627" cy="352873"/>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800"/>
              <a:t>涂胶区宽度</a:t>
            </a:r>
            <a:endParaRPr lang="en-US" altLang="zh-CN" sz="800"/>
          </a:p>
          <a:p>
            <a:r>
              <a:rPr lang="en-US" altLang="zh-CN" sz="800"/>
              <a:t>4±1mm</a:t>
            </a:r>
            <a:endParaRPr lang="zh-CN" altLang="en-US" sz="800"/>
          </a:p>
        </xdr:txBody>
      </xdr:sp>
    </xdr:grpSp>
    <xdr:clientData/>
  </xdr:twoCellAnchor>
  <xdr:twoCellAnchor editAs="oneCell">
    <xdr:from>
      <xdr:col>1</xdr:col>
      <xdr:colOff>100217</xdr:colOff>
      <xdr:row>5</xdr:row>
      <xdr:rowOff>65408</xdr:rowOff>
    </xdr:from>
    <xdr:to>
      <xdr:col>9</xdr:col>
      <xdr:colOff>1063116</xdr:colOff>
      <xdr:row>13</xdr:row>
      <xdr:rowOff>224337</xdr:rowOff>
    </xdr:to>
    <xdr:pic>
      <xdr:nvPicPr>
        <xdr:cNvPr id="7" name="图片 6" descr="C:\Users\FEIPIN~1.WAN\AppData\Local\Temp\企业微信截图_16298965956815.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6808" y="1953090"/>
          <a:ext cx="6799126" cy="16829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552532</xdr:colOff>
      <xdr:row>13</xdr:row>
      <xdr:rowOff>378527</xdr:rowOff>
    </xdr:from>
    <xdr:ext cx="2573205" cy="325730"/>
    <xdr:sp macro="" textlink="">
      <xdr:nvSpPr>
        <xdr:cNvPr id="8" name="文本框 7">
          <a:extLst>
            <a:ext uri="{FF2B5EF4-FFF2-40B4-BE49-F238E27FC236}">
              <a16:creationId xmlns:a16="http://schemas.microsoft.com/office/drawing/2014/main" id="{00000000-0008-0000-0200-000002000000}"/>
            </a:ext>
          </a:extLst>
        </xdr:cNvPr>
        <xdr:cNvSpPr txBox="1"/>
      </xdr:nvSpPr>
      <xdr:spPr>
        <a:xfrm>
          <a:off x="639123" y="4153891"/>
          <a:ext cx="2573205" cy="3257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zh-CN" altLang="en-US" sz="1400" b="1"/>
            <a:t>附图</a:t>
          </a:r>
          <a:r>
            <a:rPr lang="en-US" altLang="zh-CN" sz="1400" b="1"/>
            <a:t>1</a:t>
          </a:r>
          <a:r>
            <a:rPr lang="zh-CN" altLang="en-US" sz="1400" b="1" baseline="0"/>
            <a:t>   涂布示意图   </a:t>
          </a:r>
          <a:r>
            <a:rPr lang="en-US" altLang="zh-CN" sz="1400" b="1" baseline="0"/>
            <a:t>Unit</a:t>
          </a:r>
          <a:r>
            <a:rPr lang="zh-CN" altLang="en-US" sz="1400" b="1" baseline="0"/>
            <a:t>：</a:t>
          </a:r>
          <a:r>
            <a:rPr lang="en-US" altLang="zh-CN" sz="1400" b="1" baseline="0"/>
            <a:t>mm</a:t>
          </a:r>
          <a:endParaRPr lang="zh-CN" altLang="en-US" sz="1400" b="1"/>
        </a:p>
      </xdr:txBody>
    </xdr:sp>
    <xdr:clientData/>
  </xdr:oneCellAnchor>
  <xdr:twoCellAnchor>
    <xdr:from>
      <xdr:col>5</xdr:col>
      <xdr:colOff>562428</xdr:colOff>
      <xdr:row>13</xdr:row>
      <xdr:rowOff>644072</xdr:rowOff>
    </xdr:from>
    <xdr:to>
      <xdr:col>8</xdr:col>
      <xdr:colOff>815294</xdr:colOff>
      <xdr:row>13</xdr:row>
      <xdr:rowOff>644072</xdr:rowOff>
    </xdr:to>
    <xdr:cxnSp macro="">
      <xdr:nvCxnSpPr>
        <xdr:cNvPr id="9" name="直接箭头连接符 8"/>
        <xdr:cNvCxnSpPr/>
      </xdr:nvCxnSpPr>
      <xdr:spPr>
        <a:xfrm flipV="1">
          <a:off x="3120571" y="4345215"/>
          <a:ext cx="2103437" cy="0"/>
        </a:xfrm>
        <a:prstGeom prst="straightConnector1">
          <a:avLst/>
        </a:prstGeom>
        <a:ln w="2857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453570</xdr:colOff>
      <xdr:row>13</xdr:row>
      <xdr:rowOff>308429</xdr:rowOff>
    </xdr:from>
    <xdr:to>
      <xdr:col>8</xdr:col>
      <xdr:colOff>555987</xdr:colOff>
      <xdr:row>13</xdr:row>
      <xdr:rowOff>548142</xdr:rowOff>
    </xdr:to>
    <xdr:sp macro="" textlink="">
      <xdr:nvSpPr>
        <xdr:cNvPr id="10" name="文本框 9"/>
        <xdr:cNvSpPr txBox="1"/>
      </xdr:nvSpPr>
      <xdr:spPr>
        <a:xfrm>
          <a:off x="3601356" y="4009572"/>
          <a:ext cx="1363345" cy="2397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ctr"/>
          <a:r>
            <a:rPr lang="zh-CN" altLang="en-US" sz="1100"/>
            <a:t>走带方向</a:t>
          </a:r>
        </a:p>
      </xdr:txBody>
    </xdr:sp>
    <xdr:clientData/>
  </xdr:twoCellAnchor>
  <xdr:twoCellAnchor>
    <xdr:from>
      <xdr:col>5</xdr:col>
      <xdr:colOff>235855</xdr:colOff>
      <xdr:row>13</xdr:row>
      <xdr:rowOff>1260929</xdr:rowOff>
    </xdr:from>
    <xdr:to>
      <xdr:col>9</xdr:col>
      <xdr:colOff>644071</xdr:colOff>
      <xdr:row>13</xdr:row>
      <xdr:rowOff>2204357</xdr:rowOff>
    </xdr:to>
    <xdr:sp macro="" textlink="">
      <xdr:nvSpPr>
        <xdr:cNvPr id="92" name="TextBox 63"/>
        <xdr:cNvSpPr txBox="1"/>
      </xdr:nvSpPr>
      <xdr:spPr>
        <a:xfrm>
          <a:off x="2793998" y="4962072"/>
          <a:ext cx="3302002" cy="9434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zh-CN" altLang="en-US" sz="1100"/>
            <a:t>涂敷区</a:t>
          </a:r>
          <a:endParaRPr lang="en-US" altLang="zh-CN" sz="1100"/>
        </a:p>
        <a:p>
          <a:r>
            <a:rPr lang="zh-CN" altLang="zh-CN" sz="1100">
              <a:solidFill>
                <a:schemeClr val="dk1"/>
              </a:solidFill>
              <a:effectLst/>
              <a:latin typeface="+mn-lt"/>
              <a:ea typeface="+mn-ea"/>
              <a:cs typeface="+mn-cs"/>
            </a:rPr>
            <a:t>☆</a:t>
          </a:r>
          <a:r>
            <a:rPr lang="en-US" altLang="zh-CN" sz="1100">
              <a:solidFill>
                <a:schemeClr val="dk1"/>
              </a:solidFill>
              <a:effectLst/>
              <a:latin typeface="+mn-lt"/>
              <a:ea typeface="+mn-ea"/>
              <a:cs typeface="+mn-cs"/>
            </a:rPr>
            <a:t>A</a:t>
          </a:r>
          <a:r>
            <a:rPr lang="zh-CN" altLang="zh-CN" sz="1100">
              <a:solidFill>
                <a:schemeClr val="dk1"/>
              </a:solidFill>
              <a:effectLst/>
              <a:latin typeface="+mn-lt"/>
              <a:ea typeface="+mn-ea"/>
              <a:cs typeface="+mn-cs"/>
            </a:rPr>
            <a:t>面面密度：</a:t>
          </a:r>
          <a:r>
            <a:rPr lang="en-US" altLang="zh-CN" sz="1100">
              <a:solidFill>
                <a:schemeClr val="dk1"/>
              </a:solidFill>
              <a:effectLst/>
              <a:latin typeface="+mn-lt"/>
              <a:ea typeface="+mn-ea"/>
              <a:cs typeface="+mn-cs"/>
            </a:rPr>
            <a:t>(149.1±2.3)g/m2</a:t>
          </a:r>
          <a:endParaRPr lang="zh-CN" altLang="zh-CN">
            <a:effectLst/>
          </a:endParaRPr>
        </a:p>
        <a:p>
          <a:r>
            <a:rPr lang="zh-CN" altLang="zh-CN" sz="1100">
              <a:solidFill>
                <a:schemeClr val="dk1"/>
              </a:solidFill>
              <a:effectLst/>
              <a:latin typeface="+mn-lt"/>
              <a:ea typeface="+mn-ea"/>
              <a:cs typeface="+mn-cs"/>
            </a:rPr>
            <a:t>☆</a:t>
          </a:r>
          <a:r>
            <a:rPr lang="en-US" altLang="zh-CN" sz="1100">
              <a:solidFill>
                <a:schemeClr val="dk1"/>
              </a:solidFill>
              <a:effectLst/>
              <a:latin typeface="+mn-lt"/>
              <a:ea typeface="+mn-ea"/>
              <a:cs typeface="+mn-cs"/>
            </a:rPr>
            <a:t>A</a:t>
          </a:r>
          <a:r>
            <a:rPr lang="zh-CN" altLang="zh-CN" sz="1100">
              <a:solidFill>
                <a:schemeClr val="dk1"/>
              </a:solidFill>
              <a:effectLst/>
              <a:latin typeface="+mn-lt"/>
              <a:ea typeface="+mn-ea"/>
              <a:cs typeface="+mn-cs"/>
            </a:rPr>
            <a:t>面</a:t>
          </a:r>
          <a:r>
            <a:rPr lang="en-US" altLang="zh-CN" sz="1100">
              <a:solidFill>
                <a:schemeClr val="dk1"/>
              </a:solidFill>
              <a:effectLst/>
              <a:latin typeface="+mn-lt"/>
              <a:ea typeface="+mn-ea"/>
              <a:cs typeface="+mn-cs"/>
            </a:rPr>
            <a:t>+B</a:t>
          </a:r>
          <a:r>
            <a:rPr lang="zh-CN" altLang="zh-CN" sz="1100">
              <a:solidFill>
                <a:schemeClr val="dk1"/>
              </a:solidFill>
              <a:effectLst/>
              <a:latin typeface="+mn-lt"/>
              <a:ea typeface="+mn-ea"/>
              <a:cs typeface="+mn-cs"/>
            </a:rPr>
            <a:t>面面密度：</a:t>
          </a:r>
          <a:r>
            <a:rPr lang="en-US" altLang="zh-CN" sz="1100">
              <a:solidFill>
                <a:schemeClr val="dk1"/>
              </a:solidFill>
              <a:effectLst/>
              <a:latin typeface="+mn-lt"/>
              <a:ea typeface="+mn-ea"/>
              <a:cs typeface="+mn-cs"/>
            </a:rPr>
            <a:t>(298.2±4.5)g /m2</a:t>
          </a:r>
          <a:endParaRPr lang="zh-CN" altLang="zh-CN">
            <a:effectLst/>
          </a:endParaRPr>
        </a:p>
      </xdr:txBody>
    </xdr:sp>
    <xdr:clientData/>
  </xdr:twoCellAnchor>
  <xdr:twoCellAnchor editAs="oneCell">
    <xdr:from>
      <xdr:col>12</xdr:col>
      <xdr:colOff>112593</xdr:colOff>
      <xdr:row>13</xdr:row>
      <xdr:rowOff>1117386</xdr:rowOff>
    </xdr:from>
    <xdr:to>
      <xdr:col>13</xdr:col>
      <xdr:colOff>739589</xdr:colOff>
      <xdr:row>13</xdr:row>
      <xdr:rowOff>1800411</xdr:rowOff>
    </xdr:to>
    <xdr:pic>
      <xdr:nvPicPr>
        <xdr:cNvPr id="2" name="图片 1"/>
        <xdr:cNvPicPr>
          <a:picLocks noChangeAspect="1"/>
        </xdr:cNvPicPr>
      </xdr:nvPicPr>
      <xdr:blipFill>
        <a:blip xmlns:r="http://schemas.openxmlformats.org/officeDocument/2006/relationships" r:embed="rId2"/>
        <a:stretch>
          <a:fillRect/>
        </a:stretch>
      </xdr:blipFill>
      <xdr:spPr>
        <a:xfrm>
          <a:off x="8248064" y="4426857"/>
          <a:ext cx="1717701" cy="6830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200272</xdr:colOff>
      <xdr:row>29</xdr:row>
      <xdr:rowOff>67156</xdr:rowOff>
    </xdr:from>
    <xdr:to>
      <xdr:col>8</xdr:col>
      <xdr:colOff>390525</xdr:colOff>
      <xdr:row>41</xdr:row>
      <xdr:rowOff>87279</xdr:rowOff>
    </xdr:to>
    <xdr:grpSp>
      <xdr:nvGrpSpPr>
        <xdr:cNvPr id="2" name="组合 1"/>
        <xdr:cNvGrpSpPr/>
      </xdr:nvGrpSpPr>
      <xdr:grpSpPr>
        <a:xfrm>
          <a:off x="690129" y="7886727"/>
          <a:ext cx="5596825" cy="2269838"/>
          <a:chOff x="738648" y="11711417"/>
          <a:chExt cx="5944457" cy="1757062"/>
        </a:xfrm>
      </xdr:grpSpPr>
      <xdr:grpSp>
        <xdr:nvGrpSpPr>
          <xdr:cNvPr id="5" name="组合 4"/>
          <xdr:cNvGrpSpPr/>
        </xdr:nvGrpSpPr>
        <xdr:grpSpPr>
          <a:xfrm>
            <a:off x="738648" y="11711417"/>
            <a:ext cx="5944457" cy="1757062"/>
            <a:chOff x="732198" y="11828361"/>
            <a:chExt cx="5927389" cy="1769738"/>
          </a:xfrm>
        </xdr:grpSpPr>
        <xdr:sp macro="" textlink="">
          <xdr:nvSpPr>
            <xdr:cNvPr id="7" name="上箭头 5"/>
            <xdr:cNvSpPr/>
          </xdr:nvSpPr>
          <xdr:spPr>
            <a:xfrm>
              <a:off x="996159" y="12030185"/>
              <a:ext cx="51708" cy="653556"/>
            </a:xfrm>
            <a:prstGeom prst="upArrow">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zh-CN" altLang="en-US" sz="1100"/>
            </a:p>
          </xdr:txBody>
        </xdr:sp>
        <xdr:grpSp>
          <xdr:nvGrpSpPr>
            <xdr:cNvPr id="8" name="组合 7"/>
            <xdr:cNvGrpSpPr/>
          </xdr:nvGrpSpPr>
          <xdr:grpSpPr>
            <a:xfrm>
              <a:off x="1305339" y="11828361"/>
              <a:ext cx="5354248" cy="1257335"/>
              <a:chOff x="1305658" y="11709148"/>
              <a:chExt cx="5348996" cy="1217733"/>
            </a:xfrm>
          </xdr:grpSpPr>
          <xdr:sp macro="" textlink="">
            <xdr:nvSpPr>
              <xdr:cNvPr id="17" name="矩形 16"/>
              <xdr:cNvSpPr/>
            </xdr:nvSpPr>
            <xdr:spPr>
              <a:xfrm>
                <a:off x="1305658" y="11709148"/>
                <a:ext cx="5348996" cy="1217733"/>
              </a:xfrm>
              <a:prstGeom prst="rect">
                <a:avLst/>
              </a:prstGeom>
              <a:solidFill>
                <a:schemeClr val="bg2">
                  <a:lumMod val="7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zh-CN" altLang="en-US" sz="1100">
                  <a:solidFill>
                    <a:sysClr val="windowText" lastClr="000000"/>
                  </a:solidFill>
                </a:endParaRPr>
              </a:p>
            </xdr:txBody>
          </xdr:sp>
          <xdr:sp macro="" textlink="">
            <xdr:nvSpPr>
              <xdr:cNvPr id="18" name="矩形 17"/>
              <xdr:cNvSpPr/>
            </xdr:nvSpPr>
            <xdr:spPr>
              <a:xfrm>
                <a:off x="1945298" y="11709156"/>
                <a:ext cx="4053263" cy="1208209"/>
              </a:xfrm>
              <a:prstGeom prst="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zh-CN" altLang="en-US" sz="1100"/>
              </a:p>
            </xdr:txBody>
          </xdr:sp>
        </xdr:grpSp>
        <xdr:cxnSp macro="">
          <xdr:nvCxnSpPr>
            <xdr:cNvPr id="9" name="直接箭头连接符 8"/>
            <xdr:cNvCxnSpPr/>
          </xdr:nvCxnSpPr>
          <xdr:spPr>
            <a:xfrm>
              <a:off x="1285557" y="13478876"/>
              <a:ext cx="5345476" cy="509"/>
            </a:xfrm>
            <a:prstGeom prst="straightConnector1">
              <a:avLst/>
            </a:prstGeom>
            <a:ln w="127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 name="直接连接符 9"/>
            <xdr:cNvCxnSpPr/>
          </xdr:nvCxnSpPr>
          <xdr:spPr>
            <a:xfrm rot="10800000" flipV="1">
              <a:off x="1296550" y="12415277"/>
              <a:ext cx="8790" cy="1182822"/>
            </a:xfrm>
            <a:prstGeom prst="line">
              <a:avLst/>
            </a:prstGeom>
            <a:ln w="12700">
              <a:solidFill>
                <a:schemeClr val="tx1"/>
              </a:solidFill>
              <a:prstDash val="lgDash"/>
            </a:ln>
          </xdr:spPr>
          <xdr:style>
            <a:lnRef idx="1">
              <a:schemeClr val="accent1"/>
            </a:lnRef>
            <a:fillRef idx="0">
              <a:schemeClr val="accent1"/>
            </a:fillRef>
            <a:effectRef idx="0">
              <a:schemeClr val="accent1"/>
            </a:effectRef>
            <a:fontRef idx="minor">
              <a:schemeClr val="tx1"/>
            </a:fontRef>
          </xdr:style>
        </xdr:cxnSp>
        <xdr:cxnSp macro="">
          <xdr:nvCxnSpPr>
            <xdr:cNvPr id="11" name="直接连接符 10"/>
            <xdr:cNvCxnSpPr>
              <a:stCxn id="17" idx="3"/>
            </xdr:cNvCxnSpPr>
          </xdr:nvCxnSpPr>
          <xdr:spPr>
            <a:xfrm flipH="1">
              <a:off x="6650069" y="12457029"/>
              <a:ext cx="9518" cy="1089961"/>
            </a:xfrm>
            <a:prstGeom prst="line">
              <a:avLst/>
            </a:prstGeom>
            <a:ln w="12700">
              <a:solidFill>
                <a:schemeClr val="tx1"/>
              </a:solidFill>
              <a:prstDash val="lgDash"/>
            </a:ln>
          </xdr:spPr>
          <xdr:style>
            <a:lnRef idx="1">
              <a:schemeClr val="accent1"/>
            </a:lnRef>
            <a:fillRef idx="0">
              <a:schemeClr val="accent1"/>
            </a:fillRef>
            <a:effectRef idx="0">
              <a:schemeClr val="accent1"/>
            </a:effectRef>
            <a:fontRef idx="minor">
              <a:schemeClr val="tx1"/>
            </a:fontRef>
          </xdr:style>
        </xdr:cxnSp>
        <xdr:cxnSp macro="">
          <xdr:nvCxnSpPr>
            <xdr:cNvPr id="12" name="直接连接符 11"/>
            <xdr:cNvCxnSpPr/>
          </xdr:nvCxnSpPr>
          <xdr:spPr>
            <a:xfrm rot="10800000" flipV="1">
              <a:off x="1926344" y="12232327"/>
              <a:ext cx="8793" cy="1181356"/>
            </a:xfrm>
            <a:prstGeom prst="line">
              <a:avLst/>
            </a:prstGeom>
            <a:ln w="12700">
              <a:solidFill>
                <a:schemeClr val="tx1"/>
              </a:solidFill>
              <a:prstDash val="lgDash"/>
            </a:ln>
          </xdr:spPr>
          <xdr:style>
            <a:lnRef idx="1">
              <a:schemeClr val="accent1"/>
            </a:lnRef>
            <a:fillRef idx="0">
              <a:schemeClr val="accent1"/>
            </a:fillRef>
            <a:effectRef idx="0">
              <a:schemeClr val="accent1"/>
            </a:effectRef>
            <a:fontRef idx="minor">
              <a:schemeClr val="tx1"/>
            </a:fontRef>
          </xdr:style>
        </xdr:cxnSp>
        <xdr:cxnSp macro="">
          <xdr:nvCxnSpPr>
            <xdr:cNvPr id="13" name="直接箭头连接符 12"/>
            <xdr:cNvCxnSpPr/>
          </xdr:nvCxnSpPr>
          <xdr:spPr>
            <a:xfrm>
              <a:off x="1305435" y="13250277"/>
              <a:ext cx="624413" cy="1897"/>
            </a:xfrm>
            <a:prstGeom prst="straightConnector1">
              <a:avLst/>
            </a:prstGeom>
            <a:ln w="127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4" name="TextBox 43"/>
            <xdr:cNvSpPr txBox="1"/>
          </xdr:nvSpPr>
          <xdr:spPr>
            <a:xfrm>
              <a:off x="732198" y="12066479"/>
              <a:ext cx="273326" cy="625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zh-CN" altLang="en-US" sz="800"/>
                <a:t>走带方向</a:t>
              </a:r>
            </a:p>
          </xdr:txBody>
        </xdr:sp>
        <xdr:sp macro="" textlink="">
          <xdr:nvSpPr>
            <xdr:cNvPr id="15" name="TextBox 45"/>
            <xdr:cNvSpPr txBox="1"/>
          </xdr:nvSpPr>
          <xdr:spPr>
            <a:xfrm>
              <a:off x="833679" y="13290956"/>
              <a:ext cx="940961" cy="139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altLang="zh-CN" sz="1100"/>
                <a:t>29.0±0.5</a:t>
              </a:r>
              <a:endParaRPr lang="zh-CN" altLang="en-US" sz="1100"/>
            </a:p>
          </xdr:txBody>
        </xdr:sp>
        <xdr:cxnSp macro="">
          <xdr:nvCxnSpPr>
            <xdr:cNvPr id="16" name="直接箭头连接符 15"/>
            <xdr:cNvCxnSpPr/>
          </xdr:nvCxnSpPr>
          <xdr:spPr>
            <a:xfrm>
              <a:off x="1938226" y="13253590"/>
              <a:ext cx="4046295" cy="24589"/>
            </a:xfrm>
            <a:prstGeom prst="straightConnector1">
              <a:avLst/>
            </a:prstGeom>
            <a:ln w="127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grpSp>
      <xdr:sp macro="" textlink="">
        <xdr:nvSpPr>
          <xdr:cNvPr id="4" name="TextBox 54"/>
          <xdr:cNvSpPr txBox="1"/>
        </xdr:nvSpPr>
        <xdr:spPr>
          <a:xfrm>
            <a:off x="3546504" y="13018675"/>
            <a:ext cx="944265" cy="1891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altLang="zh-CN" sz="1100"/>
              <a:t>586.0±0.5</a:t>
            </a:r>
            <a:endParaRPr lang="zh-CN" altLang="en-US" sz="1100"/>
          </a:p>
        </xdr:txBody>
      </xdr:sp>
    </xdr:grpSp>
    <xdr:clientData/>
  </xdr:twoCellAnchor>
  <xdr:twoCellAnchor>
    <xdr:from>
      <xdr:col>5</xdr:col>
      <xdr:colOff>59310</xdr:colOff>
      <xdr:row>39</xdr:row>
      <xdr:rowOff>139273</xdr:rowOff>
    </xdr:from>
    <xdr:to>
      <xdr:col>6</xdr:col>
      <xdr:colOff>91358</xdr:colOff>
      <xdr:row>40</xdr:row>
      <xdr:rowOff>169912</xdr:rowOff>
    </xdr:to>
    <xdr:sp macro="" textlink="">
      <xdr:nvSpPr>
        <xdr:cNvPr id="19" name="TextBox 44"/>
        <xdr:cNvSpPr txBox="1"/>
      </xdr:nvSpPr>
      <xdr:spPr>
        <a:xfrm>
          <a:off x="3315953" y="9845702"/>
          <a:ext cx="911976" cy="2120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altLang="zh-CN" sz="1100"/>
            <a:t>644.0±1.0</a:t>
          </a:r>
          <a:endParaRPr lang="zh-CN" altLang="en-US" sz="1100"/>
        </a:p>
      </xdr:txBody>
    </xdr:sp>
    <xdr:clientData/>
  </xdr:twoCellAnchor>
  <xdr:twoCellAnchor>
    <xdr:from>
      <xdr:col>7</xdr:col>
      <xdr:colOff>683078</xdr:colOff>
      <xdr:row>31</xdr:row>
      <xdr:rowOff>152859</xdr:rowOff>
    </xdr:from>
    <xdr:to>
      <xdr:col>7</xdr:col>
      <xdr:colOff>691878</xdr:colOff>
      <xdr:row>40</xdr:row>
      <xdr:rowOff>117817</xdr:rowOff>
    </xdr:to>
    <xdr:cxnSp macro="">
      <xdr:nvCxnSpPr>
        <xdr:cNvPr id="20" name="直接连接符 19"/>
        <xdr:cNvCxnSpPr/>
      </xdr:nvCxnSpPr>
      <xdr:spPr>
        <a:xfrm rot="10800000" flipV="1">
          <a:off x="6178550" y="7208520"/>
          <a:ext cx="8890" cy="1630045"/>
        </a:xfrm>
        <a:prstGeom prst="line">
          <a:avLst/>
        </a:prstGeom>
        <a:ln w="12700">
          <a:solidFill>
            <a:schemeClr val="tx1"/>
          </a:solidFill>
          <a:prstDash val="lg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661147</xdr:colOff>
      <xdr:row>29</xdr:row>
      <xdr:rowOff>89647</xdr:rowOff>
    </xdr:from>
    <xdr:to>
      <xdr:col>7</xdr:col>
      <xdr:colOff>773206</xdr:colOff>
      <xdr:row>38</xdr:row>
      <xdr:rowOff>11206</xdr:rowOff>
    </xdr:to>
    <xdr:sp macro="" textlink="">
      <xdr:nvSpPr>
        <xdr:cNvPr id="21" name="矩形 20"/>
        <xdr:cNvSpPr/>
      </xdr:nvSpPr>
      <xdr:spPr>
        <a:xfrm>
          <a:off x="6156960" y="6802755"/>
          <a:ext cx="111760" cy="158623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solidFill>
              <a:schemeClr val="bg1"/>
            </a:solidFill>
          </a:endParaRPr>
        </a:p>
      </xdr:txBody>
    </xdr:sp>
    <xdr:clientData/>
  </xdr:twoCellAnchor>
  <xdr:twoCellAnchor>
    <xdr:from>
      <xdr:col>3</xdr:col>
      <xdr:colOff>209068</xdr:colOff>
      <xdr:row>29</xdr:row>
      <xdr:rowOff>89546</xdr:rowOff>
    </xdr:from>
    <xdr:to>
      <xdr:col>3</xdr:col>
      <xdr:colOff>321127</xdr:colOff>
      <xdr:row>38</xdr:row>
      <xdr:rowOff>11105</xdr:rowOff>
    </xdr:to>
    <xdr:sp macro="" textlink="">
      <xdr:nvSpPr>
        <xdr:cNvPr id="22" name="矩形 21"/>
        <xdr:cNvSpPr/>
      </xdr:nvSpPr>
      <xdr:spPr>
        <a:xfrm>
          <a:off x="1856740" y="6802755"/>
          <a:ext cx="111760" cy="158623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solidFill>
              <a:schemeClr val="bg1"/>
            </a:solidFill>
          </a:endParaRPr>
        </a:p>
      </xdr:txBody>
    </xdr:sp>
    <xdr:clientData/>
  </xdr:twoCellAnchor>
  <xdr:twoCellAnchor>
    <xdr:from>
      <xdr:col>2</xdr:col>
      <xdr:colOff>47625</xdr:colOff>
      <xdr:row>29</xdr:row>
      <xdr:rowOff>47625</xdr:rowOff>
    </xdr:from>
    <xdr:to>
      <xdr:col>6</xdr:col>
      <xdr:colOff>124482</xdr:colOff>
      <xdr:row>29</xdr:row>
      <xdr:rowOff>81756</xdr:rowOff>
    </xdr:to>
    <xdr:cxnSp macro="">
      <xdr:nvCxnSpPr>
        <xdr:cNvPr id="23" name="直接箭头连接符 22"/>
        <xdr:cNvCxnSpPr/>
      </xdr:nvCxnSpPr>
      <xdr:spPr>
        <a:xfrm>
          <a:off x="590550" y="6760845"/>
          <a:ext cx="4067810" cy="33655"/>
        </a:xfrm>
        <a:prstGeom prst="straightConnector1">
          <a:avLst/>
        </a:prstGeom>
        <a:ln w="127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685948</xdr:colOff>
      <xdr:row>39</xdr:row>
      <xdr:rowOff>43324</xdr:rowOff>
    </xdr:from>
    <xdr:to>
      <xdr:col>8</xdr:col>
      <xdr:colOff>395192</xdr:colOff>
      <xdr:row>39</xdr:row>
      <xdr:rowOff>45694</xdr:rowOff>
    </xdr:to>
    <xdr:cxnSp macro="">
      <xdr:nvCxnSpPr>
        <xdr:cNvPr id="24" name="直接箭头连接符 23"/>
        <xdr:cNvCxnSpPr/>
      </xdr:nvCxnSpPr>
      <xdr:spPr>
        <a:xfrm>
          <a:off x="5718323" y="8576137"/>
          <a:ext cx="590307" cy="2370"/>
        </a:xfrm>
        <a:prstGeom prst="straightConnector1">
          <a:avLst/>
        </a:prstGeom>
        <a:ln w="127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517772</xdr:colOff>
      <xdr:row>39</xdr:row>
      <xdr:rowOff>94138</xdr:rowOff>
    </xdr:from>
    <xdr:to>
      <xdr:col>8</xdr:col>
      <xdr:colOff>526274</xdr:colOff>
      <xdr:row>40</xdr:row>
      <xdr:rowOff>93445</xdr:rowOff>
    </xdr:to>
    <xdr:sp macro="" textlink="">
      <xdr:nvSpPr>
        <xdr:cNvPr id="25" name="TextBox 45"/>
        <xdr:cNvSpPr txBox="1"/>
      </xdr:nvSpPr>
      <xdr:spPr>
        <a:xfrm>
          <a:off x="5550147" y="8626951"/>
          <a:ext cx="889565" cy="1739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altLang="zh-CN" sz="1100"/>
            <a:t>29.0±0.5</a:t>
          </a:r>
          <a:endParaRPr lang="zh-CN" altLang="en-US" sz="1100"/>
        </a:p>
      </xdr:txBody>
    </xdr:sp>
    <xdr:clientData/>
  </xdr:twoCellAnchor>
  <xdr:twoCellAnchor editAs="oneCell">
    <xdr:from>
      <xdr:col>12</xdr:col>
      <xdr:colOff>653144</xdr:colOff>
      <xdr:row>11</xdr:row>
      <xdr:rowOff>204107</xdr:rowOff>
    </xdr:from>
    <xdr:to>
      <xdr:col>25</xdr:col>
      <xdr:colOff>310720</xdr:colOff>
      <xdr:row>25</xdr:row>
      <xdr:rowOff>196171</xdr:rowOff>
    </xdr:to>
    <xdr:pic>
      <xdr:nvPicPr>
        <xdr:cNvPr id="26" name="图片 2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58501" y="3061607"/>
          <a:ext cx="8774362" cy="3910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862486</xdr:colOff>
      <xdr:row>31</xdr:row>
      <xdr:rowOff>130655</xdr:rowOff>
    </xdr:from>
    <xdr:to>
      <xdr:col>7</xdr:col>
      <xdr:colOff>252297</xdr:colOff>
      <xdr:row>35</xdr:row>
      <xdr:rowOff>8542</xdr:rowOff>
    </xdr:to>
    <xdr:sp macro="" textlink="">
      <xdr:nvSpPr>
        <xdr:cNvPr id="28" name="TextBox 63"/>
        <xdr:cNvSpPr txBox="1"/>
      </xdr:nvSpPr>
      <xdr:spPr>
        <a:xfrm>
          <a:off x="2359272" y="8313084"/>
          <a:ext cx="2909525" cy="6852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zh-CN" altLang="en-US" sz="1100"/>
            <a:t>涂敷区</a:t>
          </a:r>
          <a:endParaRPr lang="en-US" altLang="zh-CN" sz="1100"/>
        </a:p>
        <a:p>
          <a:r>
            <a:rPr lang="zh-CN" altLang="zh-CN" sz="1100">
              <a:solidFill>
                <a:schemeClr val="dk1"/>
              </a:solidFill>
              <a:effectLst/>
              <a:latin typeface="+mn-lt"/>
              <a:ea typeface="+mn-ea"/>
              <a:cs typeface="+mn-cs"/>
            </a:rPr>
            <a:t>☆</a:t>
          </a:r>
          <a:r>
            <a:rPr lang="en-US" altLang="zh-CN" sz="1100">
              <a:solidFill>
                <a:schemeClr val="dk1"/>
              </a:solidFill>
              <a:effectLst/>
              <a:latin typeface="+mn-lt"/>
              <a:ea typeface="+mn-ea"/>
              <a:cs typeface="+mn-cs"/>
            </a:rPr>
            <a:t>A</a:t>
          </a:r>
          <a:r>
            <a:rPr lang="zh-CN" altLang="zh-CN" sz="1100">
              <a:solidFill>
                <a:schemeClr val="dk1"/>
              </a:solidFill>
              <a:effectLst/>
              <a:latin typeface="+mn-lt"/>
              <a:ea typeface="+mn-ea"/>
              <a:cs typeface="+mn-cs"/>
            </a:rPr>
            <a:t>面面密度：</a:t>
          </a:r>
          <a:r>
            <a:rPr lang="en-US" altLang="zh-CN" sz="1100">
              <a:solidFill>
                <a:schemeClr val="dk1"/>
              </a:solidFill>
              <a:effectLst/>
              <a:latin typeface="+mn-lt"/>
              <a:ea typeface="+mn-ea"/>
              <a:cs typeface="+mn-cs"/>
            </a:rPr>
            <a:t>(201.800±3.0)g/m2</a:t>
          </a:r>
          <a:endParaRPr lang="zh-CN" altLang="zh-CN">
            <a:effectLst/>
          </a:endParaRPr>
        </a:p>
        <a:p>
          <a:r>
            <a:rPr lang="zh-CN" altLang="zh-CN" sz="1100">
              <a:solidFill>
                <a:schemeClr val="dk1"/>
              </a:solidFill>
              <a:effectLst/>
              <a:latin typeface="+mn-lt"/>
              <a:ea typeface="+mn-ea"/>
              <a:cs typeface="+mn-cs"/>
            </a:rPr>
            <a:t>☆</a:t>
          </a:r>
          <a:r>
            <a:rPr lang="en-US" altLang="zh-CN" sz="1100">
              <a:solidFill>
                <a:schemeClr val="dk1"/>
              </a:solidFill>
              <a:effectLst/>
              <a:latin typeface="+mn-lt"/>
              <a:ea typeface="+mn-ea"/>
              <a:cs typeface="+mn-cs"/>
            </a:rPr>
            <a:t>A</a:t>
          </a:r>
          <a:r>
            <a:rPr lang="zh-CN" altLang="zh-CN" sz="1100">
              <a:solidFill>
                <a:schemeClr val="dk1"/>
              </a:solidFill>
              <a:effectLst/>
              <a:latin typeface="+mn-lt"/>
              <a:ea typeface="+mn-ea"/>
              <a:cs typeface="+mn-cs"/>
            </a:rPr>
            <a:t>面</a:t>
          </a:r>
          <a:r>
            <a:rPr lang="en-US" altLang="zh-CN" sz="1100">
              <a:solidFill>
                <a:schemeClr val="dk1"/>
              </a:solidFill>
              <a:effectLst/>
              <a:latin typeface="+mn-lt"/>
              <a:ea typeface="+mn-ea"/>
              <a:cs typeface="+mn-cs"/>
            </a:rPr>
            <a:t>+B</a:t>
          </a:r>
          <a:r>
            <a:rPr lang="zh-CN" altLang="zh-CN" sz="1100">
              <a:solidFill>
                <a:schemeClr val="dk1"/>
              </a:solidFill>
              <a:effectLst/>
              <a:latin typeface="+mn-lt"/>
              <a:ea typeface="+mn-ea"/>
              <a:cs typeface="+mn-cs"/>
            </a:rPr>
            <a:t>面面密度：</a:t>
          </a:r>
          <a:r>
            <a:rPr lang="en-US" altLang="zh-CN" sz="1100">
              <a:solidFill>
                <a:schemeClr val="dk1"/>
              </a:solidFill>
              <a:effectLst/>
              <a:latin typeface="+mn-lt"/>
              <a:ea typeface="+mn-ea"/>
              <a:cs typeface="+mn-cs"/>
            </a:rPr>
            <a:t>(403.600±6.0)g /m2</a:t>
          </a:r>
          <a:endParaRPr lang="zh-CN" altLang="zh-CN">
            <a:effectLst/>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m-file1\IE\IE%20Data%20base\ETR\06&#24180;ETR\ETR%20for%20SSL\5&#26376;&#20221;ETR\1&#26376;&#20221;ETR\Equipment%20Investment%20BG%20plan%20for%20SS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2.10\ie\IE%20Data%20base\ETR\ETR%20for%20SSL\Equipment%20Investment%20BG%20plan%20for%20SS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sl-file\IE\Ding%20Zhang\Persons%20list\O-Chart\DOCUME~1\cxhuang\LOCALS~1\Temp\temp%20-%20a%20xi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ment for unit line"/>
      <sheetName val="Equipment Req Plan"/>
      <sheetName val="员工年资"/>
      <sheetName val="3-8"/>
      <sheetName val="Sheet1"/>
      <sheetName val="公式引用"/>
      <sheetName val="Investment_for_unit_line"/>
      <sheetName val="Equipment_Req_Plan"/>
      <sheetName val="sortin原因,项目分类"/>
      <sheetName val="清冊"/>
      <sheetName val="Workings"/>
      <sheetName val="#REF!"/>
      <sheetName val="计划损失分布"/>
      <sheetName val="Sheet2"/>
      <sheetName val="Equipment Investment BG plan fo"/>
      <sheetName val="原因分类"/>
      <sheetName val="Database"/>
      <sheetName val="Fading_Data"/>
      <sheetName val="Pressure_Data"/>
      <sheetName val="过程管控分数表"/>
      <sheetName val="Sheet5"/>
      <sheetName val="数据选项"/>
      <sheetName val="勿动"/>
      <sheetName val="破损漏液专项评比表"/>
      <sheetName val="TMK280-02"/>
      <sheetName val="Input commodity fallout"/>
      <sheetName val="Reporting"/>
      <sheetName val="#REF"/>
      <sheetName val="DATAT"/>
      <sheetName val="1-0. DMD"/>
      <sheetName val="客退客诉汇总"/>
      <sheetName val="CBU"/>
      <sheetName val="定容评测"/>
      <sheetName val="pe"/>
      <sheetName val="Sheet 2"/>
      <sheetName val="pfx_prov"/>
      <sheetName val="个人欠款账龄分析表"/>
      <sheetName val="应付"/>
      <sheetName val="Share Prices"/>
      <sheetName val="Mix A"/>
      <sheetName val="WEIGHT"/>
      <sheetName val="PV6 3.5L LX5 GMX170"/>
      <sheetName val="电池片10条生产线 "/>
      <sheetName val="data"/>
      <sheetName val="resume"/>
      <sheetName val="滯料RAW_Data"/>
      <sheetName val="呆料RAW_Data"/>
      <sheetName val="B.2"/>
      <sheetName val="E.2"/>
      <sheetName val="C.3"/>
      <sheetName val="13、管理部门_仓储办"/>
      <sheetName val="成都支援"/>
      <sheetName val="Module 新线建设周期"/>
      <sheetName val="Investment_for_unit_line1"/>
      <sheetName val="Equipment_Req_Plan1"/>
      <sheetName val="Equipment_Investment_BG_plan_fo"/>
      <sheetName val="Investment_for_unit_line2"/>
      <sheetName val="Equipment_Req_Plan2"/>
      <sheetName val="Equipment_Investment_BG_plan_f1"/>
      <sheetName val="基础数据"/>
      <sheetName val="问题分类"/>
      <sheetName val="Equipment%20Investment%20BG%20p"/>
      <sheetName val="问题类型"/>
      <sheetName val="30s Cycle_DCIR"/>
      <sheetName val="\Volumes\ Bella Zhang\1.工作文件夹\1"/>
      <sheetName val="\Users\ocean\Library\Containers"/>
      <sheetName val="\C\Users\ocean\Library\Containe"/>
      <sheetName val="\C\Volumes\ Bella Zhang\1.工作文件夹"/>
      <sheetName val="拉线"/>
      <sheetName val="Summary"/>
      <sheetName val="Assumptions sheet"/>
      <sheetName val="E Goal"/>
      <sheetName val="E_KSR"/>
      <sheetName val="All_KSR"/>
      <sheetName val="P Goal"/>
      <sheetName val="P_KSR"/>
      <sheetName val="說明"/>
      <sheetName val="运输包装"/>
      <sheetName val="Assumptions sheet raw material"/>
      <sheetName val="Material"/>
      <sheetName val="SBM-devices-FWZ"/>
      <sheetName val="Language"/>
      <sheetName val="Tabelle1"/>
      <sheetName val="Currency"/>
      <sheetName val="Sheet3"/>
      <sheetName val="分类参考"/>
      <sheetName val="CICA"/>
      <sheetName val="Raw Material Database"/>
      <sheetName val="二级明细-生产"/>
      <sheetName val="工装夹检具"/>
      <sheetName val="EV Project Schedule Rev.01"/>
      <sheetName val="C6-44221人员数量"/>
      <sheetName val="Index"/>
      <sheetName val="_Volumes_ Bella Zhang_1.工作文件夹_1"/>
      <sheetName val="_Users_ocean_Library_Containers"/>
      <sheetName val="_C_Users_ocean_Library_Containe"/>
      <sheetName val="_C_Volumes_ Bella Zhang_1.工作文件夹"/>
      <sheetName val="L EQ"/>
      <sheetName val="ﾛｲ"/>
      <sheetName val="生产领料汇总表"/>
      <sheetName val="Amortization "/>
      <sheetName val="ED&amp;D Labor Rate"/>
      <sheetName val="Drop Downs"/>
      <sheetName val="series pricing"/>
      <sheetName val="Sum"/>
      <sheetName val="Units"/>
      <sheetName val="社保公积金比例"/>
      <sheetName val="部门折旧"/>
      <sheetName val="FA-LISTING"/>
      <sheetName val="125PIECE"/>
      <sheetName val="ISRDATA"/>
      <sheetName val="Cork"/>
      <sheetName val="Bom(P1)"/>
      <sheetName val="Sorting原因 (2)"/>
      <sheetName val="HL-062021101003"/>
      <sheetName val="HL-062021101057"/>
      <sheetName val="故障类型"/>
      <sheetName val="类别"/>
      <sheetName val=""/>
      <sheetName val="人员明细"/>
      <sheetName val="BBW"/>
      <sheetName val="Investment_for_unit_line3"/>
      <sheetName val="Equipment_Req_Plan3"/>
      <sheetName val="Equipment_Investment_BG_plan_f2"/>
      <sheetName val="Module_新线建设周期"/>
      <sheetName val="30s_Cycle_DCIR"/>
      <sheetName val="\Volumes\_Bella_Zhang\1_工作文件夹\1"/>
      <sheetName val="\C\Volumes\_Bella_Zhang\1_工作文件夹"/>
      <sheetName val="Raw_Material_Database"/>
      <sheetName val="_Volumes__Bella_Zhang_1_工作文件夹_1"/>
      <sheetName val="_C_Volumes__Bella_Zhang_1_工作文件夹"/>
      <sheetName val="Sorting原因_(2)"/>
      <sheetName val="D"/>
      <sheetName val="Cntmrs"/>
      <sheetName val="FD2"/>
      <sheetName val="60℃-100% 30D "/>
      <sheetName val="Investment_for_unit_line4"/>
      <sheetName val="Equipment_Req_Plan4"/>
      <sheetName val="Equipment_Investment_BG_plan_f3"/>
      <sheetName val="Module_新线建设周期1"/>
      <sheetName val="30s_Cycle_DCIR1"/>
      <sheetName val="\Volumes\_Bella_Zhang\1_工作文件夹\2"/>
      <sheetName val="\C\Volumes\_Bella_Zhang\1_工作文件1"/>
      <sheetName val="Raw_Material_Database1"/>
      <sheetName val="_Volumes__Bella_Zhang_1_工作文件夹_2"/>
      <sheetName val="_C_Volumes__Bella_Zhang_1_工作文件1"/>
      <sheetName val="Sorting原因_(2)1"/>
      <sheetName val="30S-HPPC-SOC-Summary"/>
      <sheetName val="Matrix-Level 3-Gastonia"/>
      <sheetName val="MapData"/>
      <sheetName val="Manufactering costs"/>
      <sheetName val="1"/>
      <sheetName val="填表说明"/>
      <sheetName val="model"/>
      <sheetName val="Sheet371"/>
      <sheetName val="PROFILE"/>
      <sheetName val="Oct"/>
      <sheetName val="日程"/>
      <sheetName val="基礎数値"/>
      <sheetName val="一线排序计划"/>
      <sheetName val="COST"/>
      <sheetName val="03-产能(按平台）"/>
      <sheetName val="CALCUL"/>
      <sheetName val="COG"/>
      <sheetName val="TbList"/>
      <sheetName val="全体ｸﾞﾗﾌ"/>
      <sheetName val="VQS⑦-⑭"/>
      <sheetName val="VQS⑮"/>
      <sheetName val="APEAL詳細項目"/>
      <sheetName val="TOC"/>
      <sheetName val="iqs_data"/>
      <sheetName val="iqs_index"/>
      <sheetName val="01"/>
      <sheetName val="新中部位"/>
      <sheetName val="2-row_Opt_table"/>
      <sheetName val="見積依頼書"/>
      <sheetName val="Part (Initial A)"/>
      <sheetName val="Country Codes"/>
      <sheetName val="能源报表"/>
      <sheetName val="月度抄表"/>
      <sheetName val="低压抄表"/>
      <sheetName val=" RR.FLOOR COMP工程"/>
      <sheetName val="Admin"/>
      <sheetName val="Sheet128"/>
      <sheetName val="Idle (2)"/>
      <sheetName val="Idle"/>
      <sheetName val="各型号产量汇总表"/>
      <sheetName val="下拉菜单设置-勿删"/>
      <sheetName val="附表1-1制卷车间人员技能矩阵"/>
      <sheetName val="参照"/>
      <sheetName val="PFY、损耗"/>
      <sheetName val="数据源"/>
      <sheetName val="异物管控库"/>
      <sheetName val="9-制造成本1"/>
      <sheetName val="物料汇总"/>
      <sheetName val="第2期迄"/>
      <sheetName val="Movement"/>
      <sheetName val="Income Tax"/>
      <sheetName val="fenxi(内)"/>
      <sheetName val="项目计划"/>
      <sheetName val="新万人事资料"/>
      <sheetName val="新万辞职"/>
      <sheetName val="新万人事资料 (2)"/>
      <sheetName val="da"/>
      <sheetName val="操作岗人员变动情况分析表10月第2周"/>
      <sheetName val="Pick lists"/>
      <sheetName val="電気参考データ"/>
      <sheetName val="新万人事资料_(2)"/>
      <sheetName val="CU"/>
    </sheetNames>
    <sheetDataSet>
      <sheetData sheetId="0"/>
      <sheetData sheetId="1">
        <row r="2">
          <cell r="M2" t="str">
            <v>USD</v>
          </cell>
        </row>
      </sheetData>
      <sheetData sheetId="2" refreshError="1"/>
      <sheetData sheetId="3" refreshError="1"/>
      <sheetData sheetId="4" refreshError="1"/>
      <sheetData sheetId="5" refreshError="1"/>
      <sheetData sheetId="6"/>
      <sheetData sheetId="7">
        <row r="2">
          <cell r="M2" t="str">
            <v>USD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refreshError="1"/>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ment for unit line"/>
      <sheetName val="Equipment Req Plan"/>
      <sheetName val="Workings"/>
      <sheetName val="第2期迄"/>
      <sheetName val="1-0. DMD"/>
      <sheetName val="pfx_prov"/>
      <sheetName val="定容评测"/>
      <sheetName val="DATAT"/>
      <sheetName val="Sheet2"/>
      <sheetName val="#REF!"/>
      <sheetName val="Movement"/>
      <sheetName val="Income Tax"/>
      <sheetName val="TMK280-02"/>
      <sheetName val="Index"/>
      <sheetName val="WEIGHT"/>
      <sheetName val="E Goal"/>
      <sheetName val="E_KSR"/>
      <sheetName val="All_KSR"/>
      <sheetName val="P Goal"/>
      <sheetName val="P_KSR"/>
      <sheetName val="說明"/>
      <sheetName val="pe"/>
      <sheetName val="Database"/>
      <sheetName val="生产领料汇总表"/>
      <sheetName val="fenxi(内)"/>
      <sheetName val="Cork"/>
      <sheetName val="resume"/>
      <sheetName val="L EQ"/>
      <sheetName val="Summary"/>
      <sheetName val="Assumptions sheet"/>
      <sheetName val="电池片10条生产线 "/>
      <sheetName val="PV6 3.5L LX5 GMX170"/>
      <sheetName val="滯料RAW_Data"/>
      <sheetName val="呆料RAW_Data"/>
      <sheetName val="sheet 2"/>
      <sheetName val="项目计划"/>
      <sheetName val="Assumptions sheet raw material"/>
      <sheetName val="Material"/>
      <sheetName val="SBM-devices-FWZ"/>
      <sheetName val="Investment_for_unit_line"/>
      <sheetName val="Equipment_Req_Plan"/>
      <sheetName val="清冊"/>
      <sheetName val="Amortization "/>
      <sheetName val="ED&amp;D Labor Rate"/>
      <sheetName val="Drop Downs"/>
      <sheetName val="个人欠款账龄分析表"/>
      <sheetName val="B.2"/>
      <sheetName val="E.2"/>
      <sheetName val="C.3"/>
      <sheetName val="Manufactering costs"/>
      <sheetName val="series pricing"/>
      <sheetName val="Oct"/>
      <sheetName val="data"/>
      <sheetName val="Mix A"/>
      <sheetName val="运输包装"/>
      <sheetName val="Tabelle1"/>
      <sheetName val="社保公积金比例"/>
      <sheetName val="Rate"/>
      <sheetName val="应付"/>
      <sheetName val="CALCUL"/>
      <sheetName val="TbList"/>
      <sheetName val="Language"/>
      <sheetName val="125PIECE"/>
      <sheetName val="ISRDATA"/>
      <sheetName val="#REF"/>
      <sheetName val="一线排序计划"/>
      <sheetName val="员工年资"/>
      <sheetName val="3-8"/>
      <sheetName val="Sheet1"/>
      <sheetName val="CBU"/>
      <sheetName val="投资条款汇总"/>
      <sheetName val="Currency"/>
      <sheetName val="Sheet371"/>
      <sheetName val="填表说明"/>
      <sheetName val="전수항목"/>
      <sheetName val="展開日程"/>
      <sheetName val="能耗测算标准-厂务 (2)"/>
      <sheetName val="物流费用"/>
      <sheetName val="Share Prices"/>
      <sheetName val="13、管理部门_仓储办"/>
      <sheetName val="244豪州一般ZD301生試"/>
      <sheetName val="MPL 技連"/>
      <sheetName val="342E BLOCK"/>
      <sheetName val="03-产能(按平台）"/>
      <sheetName val="Assumptions"/>
      <sheetName val="Admin"/>
      <sheetName val="Données"/>
      <sheetName val="月度抄表"/>
      <sheetName val="低压抄表"/>
      <sheetName val="部门折旧"/>
      <sheetName val="重要内部交易情况表"/>
      <sheetName val="Pick lists"/>
      <sheetName val="Sum"/>
    </sheetNames>
    <sheetDataSet>
      <sheetData sheetId="0"/>
      <sheetData sheetId="1">
        <row r="2">
          <cell r="M2" t="str">
            <v>USD</v>
          </cell>
          <cell r="N2" t="e">
            <v>#REF!</v>
          </cell>
        </row>
        <row r="3">
          <cell r="G3" t="str">
            <v>Process mode</v>
          </cell>
          <cell r="J3" t="str">
            <v>Existing</v>
          </cell>
          <cell r="K3" t="str">
            <v>On order</v>
          </cell>
          <cell r="L3" t="str">
            <v>Investment of Order</v>
          </cell>
          <cell r="M3" t="str">
            <v>Need Ordering</v>
          </cell>
          <cell r="N3" t="str">
            <v>Equipment Investment</v>
          </cell>
        </row>
        <row r="4">
          <cell r="G4" t="str">
            <v>P1/P2</v>
          </cell>
          <cell r="J4">
            <v>0</v>
          </cell>
          <cell r="K4">
            <v>0</v>
          </cell>
          <cell r="L4">
            <v>0</v>
          </cell>
          <cell r="M4" t="e">
            <v>#REF!</v>
          </cell>
          <cell r="N4" t="e">
            <v>#REF!</v>
          </cell>
        </row>
        <row r="5">
          <cell r="G5" t="str">
            <v>P1/P2</v>
          </cell>
          <cell r="J5">
            <v>0</v>
          </cell>
          <cell r="K5">
            <v>0</v>
          </cell>
          <cell r="L5">
            <v>0</v>
          </cell>
        </row>
        <row r="6">
          <cell r="G6" t="str">
            <v>P1/P2</v>
          </cell>
          <cell r="J6">
            <v>0</v>
          </cell>
          <cell r="K6">
            <v>0</v>
          </cell>
          <cell r="L6">
            <v>0</v>
          </cell>
        </row>
        <row r="7">
          <cell r="G7" t="str">
            <v>M6</v>
          </cell>
          <cell r="J7">
            <v>6</v>
          </cell>
          <cell r="K7">
            <v>1</v>
          </cell>
          <cell r="L7">
            <v>320000</v>
          </cell>
          <cell r="M7" t="e">
            <v>#REF!</v>
          </cell>
          <cell r="N7" t="e">
            <v>#REF!</v>
          </cell>
        </row>
        <row r="8">
          <cell r="G8" t="str">
            <v>M6</v>
          </cell>
          <cell r="J8">
            <v>0</v>
          </cell>
          <cell r="K8">
            <v>0</v>
          </cell>
          <cell r="L8">
            <v>0</v>
          </cell>
        </row>
        <row r="9">
          <cell r="G9" t="str">
            <v>M6</v>
          </cell>
          <cell r="J9">
            <v>0</v>
          </cell>
          <cell r="K9">
            <v>3</v>
          </cell>
          <cell r="L9">
            <v>660000</v>
          </cell>
          <cell r="M9" t="e">
            <v>#REF!</v>
          </cell>
          <cell r="N9" t="e">
            <v>#REF!</v>
          </cell>
        </row>
        <row r="10">
          <cell r="G10" t="str">
            <v>P1/P2</v>
          </cell>
          <cell r="J10">
            <v>0</v>
          </cell>
          <cell r="K10">
            <v>0</v>
          </cell>
          <cell r="L10">
            <v>0</v>
          </cell>
          <cell r="M10" t="e">
            <v>#REF!</v>
          </cell>
          <cell r="N10" t="e">
            <v>#REF!</v>
          </cell>
        </row>
        <row r="11">
          <cell r="G11" t="str">
            <v>P1/P2</v>
          </cell>
          <cell r="J11">
            <v>0</v>
          </cell>
          <cell r="K11">
            <v>0</v>
          </cell>
          <cell r="L11">
            <v>0</v>
          </cell>
        </row>
        <row r="12">
          <cell r="G12" t="str">
            <v>P1/P2</v>
          </cell>
          <cell r="J12">
            <v>0</v>
          </cell>
          <cell r="K12">
            <v>0</v>
          </cell>
          <cell r="L12">
            <v>0</v>
          </cell>
        </row>
        <row r="13">
          <cell r="G13" t="str">
            <v>P1/P2</v>
          </cell>
          <cell r="J13">
            <v>0</v>
          </cell>
          <cell r="K13">
            <v>0</v>
          </cell>
          <cell r="L13">
            <v>0</v>
          </cell>
          <cell r="M13" t="e">
            <v>#REF!</v>
          </cell>
          <cell r="N13" t="e">
            <v>#REF!</v>
          </cell>
        </row>
        <row r="14">
          <cell r="G14" t="str">
            <v>M6</v>
          </cell>
          <cell r="J14">
            <v>6</v>
          </cell>
          <cell r="K14">
            <v>8</v>
          </cell>
          <cell r="L14">
            <v>4560000</v>
          </cell>
          <cell r="M14" t="e">
            <v>#REF!</v>
          </cell>
          <cell r="N14" t="e">
            <v>#REF!</v>
          </cell>
        </row>
        <row r="15">
          <cell r="G15" t="str">
            <v>M6</v>
          </cell>
          <cell r="J15">
            <v>0</v>
          </cell>
          <cell r="K15">
            <v>0</v>
          </cell>
          <cell r="L15">
            <v>0</v>
          </cell>
        </row>
        <row r="16">
          <cell r="G16" t="str">
            <v>P1/P2</v>
          </cell>
          <cell r="J16">
            <v>0</v>
          </cell>
          <cell r="K16">
            <v>0</v>
          </cell>
          <cell r="L16">
            <v>0</v>
          </cell>
          <cell r="M16" t="e">
            <v>#REF!</v>
          </cell>
          <cell r="N16" t="e">
            <v>#REF!</v>
          </cell>
        </row>
        <row r="17">
          <cell r="G17" t="str">
            <v>P1/P2</v>
          </cell>
          <cell r="J17">
            <v>0</v>
          </cell>
          <cell r="K17">
            <v>0</v>
          </cell>
          <cell r="L17">
            <v>0</v>
          </cell>
          <cell r="M17" t="e">
            <v>#REF!</v>
          </cell>
          <cell r="N17" t="e">
            <v>#REF!</v>
          </cell>
        </row>
        <row r="18">
          <cell r="G18" t="str">
            <v>P1/P2</v>
          </cell>
          <cell r="J18">
            <v>0</v>
          </cell>
          <cell r="K18">
            <v>0</v>
          </cell>
          <cell r="L18">
            <v>0</v>
          </cell>
        </row>
        <row r="19">
          <cell r="G19" t="str">
            <v>P1/P2</v>
          </cell>
          <cell r="J19">
            <v>0</v>
          </cell>
          <cell r="K19">
            <v>6</v>
          </cell>
          <cell r="L19">
            <v>384000</v>
          </cell>
          <cell r="M19" t="e">
            <v>#REF!</v>
          </cell>
          <cell r="N19" t="e">
            <v>#REF!</v>
          </cell>
        </row>
        <row r="20">
          <cell r="G20" t="str">
            <v>P1/P2</v>
          </cell>
          <cell r="J20">
            <v>0</v>
          </cell>
          <cell r="K20">
            <v>0</v>
          </cell>
          <cell r="L20">
            <v>0</v>
          </cell>
        </row>
        <row r="21">
          <cell r="G21" t="str">
            <v>P1/P2</v>
          </cell>
          <cell r="J21">
            <v>0</v>
          </cell>
          <cell r="K21">
            <v>0</v>
          </cell>
          <cell r="L21">
            <v>0</v>
          </cell>
        </row>
        <row r="22">
          <cell r="G22" t="str">
            <v>P1/P2</v>
          </cell>
          <cell r="J22">
            <v>0</v>
          </cell>
          <cell r="K22">
            <v>0</v>
          </cell>
          <cell r="L22">
            <v>0</v>
          </cell>
        </row>
        <row r="23">
          <cell r="G23" t="str">
            <v>P1/P2</v>
          </cell>
          <cell r="J23">
            <v>0</v>
          </cell>
          <cell r="K23">
            <v>1</v>
          </cell>
          <cell r="L23">
            <v>64000</v>
          </cell>
        </row>
        <row r="24">
          <cell r="G24" t="str">
            <v>P1/P2</v>
          </cell>
          <cell r="J24">
            <v>0</v>
          </cell>
          <cell r="K24">
            <v>0</v>
          </cell>
          <cell r="L24">
            <v>0</v>
          </cell>
        </row>
        <row r="25">
          <cell r="G25" t="str">
            <v>P1/P2</v>
          </cell>
          <cell r="J25">
            <v>0</v>
          </cell>
          <cell r="K25">
            <v>0</v>
          </cell>
          <cell r="L25">
            <v>0</v>
          </cell>
        </row>
        <row r="26">
          <cell r="G26" t="str">
            <v>P1/P2</v>
          </cell>
          <cell r="J26">
            <v>0</v>
          </cell>
          <cell r="K26">
            <v>0</v>
          </cell>
          <cell r="L26">
            <v>0</v>
          </cell>
        </row>
        <row r="27">
          <cell r="G27" t="str">
            <v>P1/P2</v>
          </cell>
          <cell r="J27">
            <v>0</v>
          </cell>
          <cell r="K27">
            <v>0</v>
          </cell>
          <cell r="L27">
            <v>0</v>
          </cell>
        </row>
        <row r="28">
          <cell r="G28" t="str">
            <v>General</v>
          </cell>
          <cell r="J28">
            <v>14</v>
          </cell>
          <cell r="K28">
            <v>4</v>
          </cell>
          <cell r="L28">
            <v>216000</v>
          </cell>
          <cell r="M28" t="e">
            <v>#REF!</v>
          </cell>
          <cell r="N28" t="e">
            <v>#REF!</v>
          </cell>
        </row>
        <row r="29">
          <cell r="G29" t="str">
            <v>General</v>
          </cell>
          <cell r="J29">
            <v>0</v>
          </cell>
          <cell r="K29">
            <v>0</v>
          </cell>
          <cell r="L29">
            <v>0</v>
          </cell>
        </row>
        <row r="30">
          <cell r="G30" t="str">
            <v>General</v>
          </cell>
          <cell r="J30">
            <v>0</v>
          </cell>
          <cell r="K30">
            <v>0</v>
          </cell>
          <cell r="L30">
            <v>0</v>
          </cell>
          <cell r="N30">
            <v>0</v>
          </cell>
        </row>
        <row r="31">
          <cell r="G31" t="str">
            <v>General</v>
          </cell>
          <cell r="J31">
            <v>0</v>
          </cell>
          <cell r="K31">
            <v>0</v>
          </cell>
          <cell r="L31">
            <v>0</v>
          </cell>
          <cell r="N31">
            <v>0</v>
          </cell>
        </row>
        <row r="32">
          <cell r="G32" t="str">
            <v>General</v>
          </cell>
          <cell r="J32">
            <v>6</v>
          </cell>
          <cell r="K32">
            <v>4</v>
          </cell>
          <cell r="L32">
            <v>228000</v>
          </cell>
          <cell r="M32" t="e">
            <v>#REF!</v>
          </cell>
          <cell r="N32" t="e">
            <v>#REF!</v>
          </cell>
        </row>
        <row r="33">
          <cell r="G33" t="str">
            <v>General</v>
          </cell>
          <cell r="J33">
            <v>0</v>
          </cell>
          <cell r="K33">
            <v>0</v>
          </cell>
          <cell r="L33">
            <v>0</v>
          </cell>
        </row>
        <row r="34">
          <cell r="G34" t="str">
            <v>General</v>
          </cell>
          <cell r="J34">
            <v>0</v>
          </cell>
          <cell r="K34">
            <v>4</v>
          </cell>
          <cell r="L34">
            <v>180000</v>
          </cell>
          <cell r="M34" t="e">
            <v>#REF!</v>
          </cell>
          <cell r="N34" t="e">
            <v>#REF!</v>
          </cell>
        </row>
        <row r="35">
          <cell r="G35" t="str">
            <v>General</v>
          </cell>
          <cell r="J35">
            <v>0</v>
          </cell>
          <cell r="K35">
            <v>0</v>
          </cell>
          <cell r="L35">
            <v>0</v>
          </cell>
          <cell r="N35">
            <v>0</v>
          </cell>
        </row>
        <row r="36">
          <cell r="G36" t="str">
            <v>P1/P2</v>
          </cell>
          <cell r="J36">
            <v>0</v>
          </cell>
          <cell r="K36">
            <v>0</v>
          </cell>
          <cell r="L36">
            <v>0</v>
          </cell>
          <cell r="M36" t="e">
            <v>#REF!</v>
          </cell>
        </row>
        <row r="37">
          <cell r="G37" t="str">
            <v>P1/P2</v>
          </cell>
          <cell r="J37">
            <v>0</v>
          </cell>
          <cell r="K37">
            <v>0</v>
          </cell>
          <cell r="L37">
            <v>0</v>
          </cell>
        </row>
        <row r="38">
          <cell r="G38" t="str">
            <v>P1/P2</v>
          </cell>
          <cell r="J38">
            <v>0</v>
          </cell>
          <cell r="K38">
            <v>12</v>
          </cell>
          <cell r="L38">
            <v>3060000</v>
          </cell>
          <cell r="M38" t="e">
            <v>#REF!</v>
          </cell>
          <cell r="N38" t="e">
            <v>#REF!</v>
          </cell>
        </row>
        <row r="39">
          <cell r="G39" t="str">
            <v>P1/P2</v>
          </cell>
          <cell r="J39">
            <v>0</v>
          </cell>
          <cell r="K39">
            <v>0</v>
          </cell>
          <cell r="L39">
            <v>0</v>
          </cell>
          <cell r="M39" t="e">
            <v>#REF!</v>
          </cell>
          <cell r="N39" t="e">
            <v>#REF!</v>
          </cell>
        </row>
        <row r="40">
          <cell r="G40" t="str">
            <v>P1/P2</v>
          </cell>
          <cell r="J40">
            <v>0</v>
          </cell>
          <cell r="K40">
            <v>0</v>
          </cell>
          <cell r="L40">
            <v>0</v>
          </cell>
          <cell r="N40">
            <v>0</v>
          </cell>
        </row>
        <row r="41">
          <cell r="G41" t="str">
            <v>P1/P2</v>
          </cell>
          <cell r="J41">
            <v>0</v>
          </cell>
          <cell r="K41">
            <v>0</v>
          </cell>
          <cell r="L41">
            <v>0</v>
          </cell>
          <cell r="M41" t="e">
            <v>#REF!</v>
          </cell>
          <cell r="N41" t="e">
            <v>#REF!</v>
          </cell>
        </row>
        <row r="42">
          <cell r="G42" t="str">
            <v>P1/P2</v>
          </cell>
          <cell r="J42">
            <v>0</v>
          </cell>
          <cell r="K42">
            <v>0</v>
          </cell>
          <cell r="L42">
            <v>0</v>
          </cell>
          <cell r="N42">
            <v>0</v>
          </cell>
        </row>
        <row r="43">
          <cell r="G43" t="str">
            <v>M6</v>
          </cell>
          <cell r="J43">
            <v>0</v>
          </cell>
          <cell r="K43">
            <v>16</v>
          </cell>
          <cell r="L43">
            <v>560000</v>
          </cell>
          <cell r="M43" t="e">
            <v>#REF!</v>
          </cell>
        </row>
        <row r="44">
          <cell r="G44" t="str">
            <v>P1/P2</v>
          </cell>
          <cell r="J44">
            <v>0</v>
          </cell>
          <cell r="K44">
            <v>0</v>
          </cell>
          <cell r="L44">
            <v>0</v>
          </cell>
          <cell r="M44">
            <v>0</v>
          </cell>
        </row>
        <row r="45">
          <cell r="G45" t="str">
            <v>General</v>
          </cell>
          <cell r="J45">
            <v>0</v>
          </cell>
          <cell r="K45">
            <v>0</v>
          </cell>
          <cell r="L45">
            <v>0</v>
          </cell>
          <cell r="M45" t="e">
            <v>#REF!</v>
          </cell>
          <cell r="N45" t="e">
            <v>#REF!</v>
          </cell>
        </row>
        <row r="46">
          <cell r="G46" t="str">
            <v>General</v>
          </cell>
          <cell r="J46">
            <v>3</v>
          </cell>
          <cell r="K46">
            <v>14</v>
          </cell>
          <cell r="L46">
            <v>1680000</v>
          </cell>
          <cell r="M46" t="e">
            <v>#REF!</v>
          </cell>
          <cell r="N46" t="e">
            <v>#REF!</v>
          </cell>
        </row>
        <row r="47">
          <cell r="G47" t="str">
            <v>P1/P2</v>
          </cell>
          <cell r="J47">
            <v>7</v>
          </cell>
          <cell r="K47">
            <v>0</v>
          </cell>
          <cell r="L47">
            <v>0</v>
          </cell>
          <cell r="M47" t="e">
            <v>#REF!</v>
          </cell>
          <cell r="N47" t="e">
            <v>#REF!</v>
          </cell>
        </row>
        <row r="48">
          <cell r="G48" t="str">
            <v>P1/P2</v>
          </cell>
          <cell r="J48">
            <v>0</v>
          </cell>
          <cell r="K48">
            <v>0</v>
          </cell>
          <cell r="L48">
            <v>0</v>
          </cell>
          <cell r="N48">
            <v>0</v>
          </cell>
        </row>
        <row r="49">
          <cell r="G49" t="str">
            <v>P1/P2</v>
          </cell>
          <cell r="J49">
            <v>0</v>
          </cell>
          <cell r="K49">
            <v>0</v>
          </cell>
          <cell r="L49">
            <v>0</v>
          </cell>
          <cell r="N49">
            <v>0</v>
          </cell>
        </row>
        <row r="50">
          <cell r="G50" t="str">
            <v>P1/P2</v>
          </cell>
          <cell r="J50">
            <v>0</v>
          </cell>
          <cell r="K50">
            <v>18</v>
          </cell>
          <cell r="L50">
            <v>24300</v>
          </cell>
          <cell r="M50" t="e">
            <v>#REF!</v>
          </cell>
          <cell r="N50" t="e">
            <v>#REF!</v>
          </cell>
        </row>
        <row r="51">
          <cell r="G51" t="str">
            <v>P1/P2</v>
          </cell>
          <cell r="J51">
            <v>0</v>
          </cell>
          <cell r="K51">
            <v>0</v>
          </cell>
          <cell r="L51">
            <v>0</v>
          </cell>
          <cell r="N51">
            <v>0</v>
          </cell>
        </row>
        <row r="52">
          <cell r="G52" t="str">
            <v>General</v>
          </cell>
          <cell r="J52">
            <v>0</v>
          </cell>
          <cell r="K52">
            <v>0</v>
          </cell>
          <cell r="L52">
            <v>0</v>
          </cell>
          <cell r="N52">
            <v>0</v>
          </cell>
        </row>
        <row r="53">
          <cell r="G53" t="str">
            <v>General</v>
          </cell>
          <cell r="J53">
            <v>0</v>
          </cell>
          <cell r="K53">
            <v>0</v>
          </cell>
          <cell r="L53">
            <v>0</v>
          </cell>
          <cell r="N53">
            <v>0</v>
          </cell>
        </row>
        <row r="54">
          <cell r="G54" t="str">
            <v>P1/P2</v>
          </cell>
          <cell r="J54">
            <v>0</v>
          </cell>
          <cell r="K54">
            <v>0</v>
          </cell>
          <cell r="L54">
            <v>0</v>
          </cell>
          <cell r="M54" t="e">
            <v>#REF!</v>
          </cell>
          <cell r="N54" t="e">
            <v>#REF!</v>
          </cell>
        </row>
        <row r="55">
          <cell r="G55" t="str">
            <v>P1/P2</v>
          </cell>
          <cell r="J55">
            <v>0</v>
          </cell>
          <cell r="K55">
            <v>0</v>
          </cell>
          <cell r="L55">
            <v>0</v>
          </cell>
          <cell r="M55" t="e">
            <v>#REF!</v>
          </cell>
          <cell r="N55" t="e">
            <v>#REF!</v>
          </cell>
        </row>
        <row r="56">
          <cell r="G56" t="str">
            <v>P1/P2</v>
          </cell>
          <cell r="J56">
            <v>2</v>
          </cell>
          <cell r="K56">
            <v>0</v>
          </cell>
          <cell r="L56">
            <v>0</v>
          </cell>
          <cell r="M56" t="e">
            <v>#REF!</v>
          </cell>
          <cell r="N56" t="e">
            <v>#REF!</v>
          </cell>
        </row>
        <row r="57">
          <cell r="G57" t="str">
            <v>P1/P2</v>
          </cell>
          <cell r="J57">
            <v>0</v>
          </cell>
          <cell r="K57">
            <v>0</v>
          </cell>
          <cell r="L57">
            <v>0</v>
          </cell>
          <cell r="N57">
            <v>0</v>
          </cell>
        </row>
        <row r="58">
          <cell r="G58" t="str">
            <v>P1/P2</v>
          </cell>
          <cell r="J58">
            <v>0</v>
          </cell>
          <cell r="K58">
            <v>0</v>
          </cell>
          <cell r="L58">
            <v>0</v>
          </cell>
          <cell r="M58" t="e">
            <v>#REF!</v>
          </cell>
          <cell r="N58" t="e">
            <v>#REF!</v>
          </cell>
        </row>
        <row r="59">
          <cell r="G59" t="str">
            <v>P1/P2</v>
          </cell>
          <cell r="J59">
            <v>16</v>
          </cell>
          <cell r="K59">
            <v>1</v>
          </cell>
          <cell r="L59">
            <v>6000</v>
          </cell>
          <cell r="M59" t="e">
            <v>#REF!</v>
          </cell>
          <cell r="N59" t="e">
            <v>#REF!</v>
          </cell>
        </row>
        <row r="60">
          <cell r="G60" t="str">
            <v>M6</v>
          </cell>
          <cell r="J60">
            <v>0</v>
          </cell>
          <cell r="K60">
            <v>22</v>
          </cell>
          <cell r="L60">
            <v>440000</v>
          </cell>
          <cell r="M60" t="e">
            <v>#REF!</v>
          </cell>
          <cell r="N60" t="e">
            <v>#REF!</v>
          </cell>
        </row>
        <row r="61">
          <cell r="G61" t="str">
            <v>M6</v>
          </cell>
          <cell r="J61">
            <v>0</v>
          </cell>
          <cell r="K61">
            <v>1</v>
          </cell>
          <cell r="L61">
            <v>49000</v>
          </cell>
          <cell r="M61" t="e">
            <v>#REF!</v>
          </cell>
          <cell r="N61" t="e">
            <v>#REF!</v>
          </cell>
        </row>
        <row r="62">
          <cell r="G62" t="str">
            <v>General</v>
          </cell>
          <cell r="J62">
            <v>1</v>
          </cell>
          <cell r="K62">
            <v>2</v>
          </cell>
          <cell r="L62">
            <v>164000</v>
          </cell>
          <cell r="M62" t="e">
            <v>#REF!</v>
          </cell>
          <cell r="N62" t="e">
            <v>#REF!</v>
          </cell>
        </row>
        <row r="63">
          <cell r="G63" t="str">
            <v>M6</v>
          </cell>
          <cell r="J63">
            <v>0</v>
          </cell>
          <cell r="K63">
            <v>9</v>
          </cell>
          <cell r="L63">
            <v>166500</v>
          </cell>
          <cell r="M63" t="e">
            <v>#REF!</v>
          </cell>
          <cell r="N63" t="e">
            <v>#REF!</v>
          </cell>
        </row>
        <row r="64">
          <cell r="G64" t="str">
            <v>P1/P2</v>
          </cell>
          <cell r="J64">
            <v>0</v>
          </cell>
          <cell r="K64">
            <v>16</v>
          </cell>
          <cell r="L64">
            <v>3040000</v>
          </cell>
          <cell r="M64" t="e">
            <v>#REF!</v>
          </cell>
          <cell r="N64" t="e">
            <v>#REF!</v>
          </cell>
        </row>
        <row r="65">
          <cell r="G65" t="str">
            <v>P1/P2</v>
          </cell>
          <cell r="J65">
            <v>0</v>
          </cell>
          <cell r="K65">
            <v>0</v>
          </cell>
        </row>
        <row r="66">
          <cell r="G66" t="str">
            <v>P1/P2</v>
          </cell>
          <cell r="J66" t="str">
            <v>x</v>
          </cell>
          <cell r="K66" t="str">
            <v>x</v>
          </cell>
          <cell r="L66">
            <v>0</v>
          </cell>
          <cell r="M66">
            <v>0</v>
          </cell>
          <cell r="N66">
            <v>0</v>
          </cell>
        </row>
        <row r="67">
          <cell r="G67" t="str">
            <v>M6</v>
          </cell>
          <cell r="J67">
            <v>19</v>
          </cell>
          <cell r="K67">
            <v>14</v>
          </cell>
          <cell r="L67">
            <v>259000</v>
          </cell>
          <cell r="M67" t="e">
            <v>#REF!</v>
          </cell>
          <cell r="N67" t="e">
            <v>#REF!</v>
          </cell>
        </row>
        <row r="68">
          <cell r="G68" t="str">
            <v>M6</v>
          </cell>
          <cell r="J68">
            <v>7</v>
          </cell>
          <cell r="K68">
            <v>23</v>
          </cell>
          <cell r="L68">
            <v>73680</v>
          </cell>
          <cell r="M68" t="e">
            <v>#REF!</v>
          </cell>
          <cell r="N68" t="e">
            <v>#REF!</v>
          </cell>
        </row>
        <row r="69">
          <cell r="G69" t="str">
            <v>General</v>
          </cell>
          <cell r="J69">
            <v>0</v>
          </cell>
          <cell r="K69">
            <v>4</v>
          </cell>
          <cell r="L69">
            <v>73680</v>
          </cell>
          <cell r="M69" t="e">
            <v>#REF!</v>
          </cell>
          <cell r="N69" t="e">
            <v>#REF!</v>
          </cell>
        </row>
        <row r="70">
          <cell r="G70" t="str">
            <v>General</v>
          </cell>
          <cell r="J70">
            <v>10</v>
          </cell>
          <cell r="K70">
            <v>8</v>
          </cell>
          <cell r="L70">
            <v>800000</v>
          </cell>
          <cell r="M70" t="e">
            <v>#REF!</v>
          </cell>
          <cell r="N70" t="e">
            <v>#REF!</v>
          </cell>
        </row>
        <row r="71">
          <cell r="G71" t="str">
            <v>General</v>
          </cell>
          <cell r="J71">
            <v>0</v>
          </cell>
          <cell r="K71">
            <v>0</v>
          </cell>
          <cell r="L71">
            <v>0</v>
          </cell>
          <cell r="M71" t="e">
            <v>#REF!</v>
          </cell>
          <cell r="N71" t="e">
            <v>#REF!</v>
          </cell>
        </row>
        <row r="72">
          <cell r="G72" t="str">
            <v>M6</v>
          </cell>
          <cell r="J72">
            <v>0</v>
          </cell>
          <cell r="K72">
            <v>2</v>
          </cell>
          <cell r="L72">
            <v>18400</v>
          </cell>
          <cell r="M72" t="e">
            <v>#REF!</v>
          </cell>
          <cell r="N72" t="e">
            <v>#REF!</v>
          </cell>
        </row>
        <row r="73">
          <cell r="G73" t="str">
            <v>General</v>
          </cell>
          <cell r="J73">
            <v>22</v>
          </cell>
          <cell r="K73">
            <v>10</v>
          </cell>
          <cell r="L73">
            <v>40000</v>
          </cell>
          <cell r="M73" t="e">
            <v>#REF!</v>
          </cell>
          <cell r="N73" t="e">
            <v>#REF!</v>
          </cell>
        </row>
        <row r="74">
          <cell r="G74" t="str">
            <v>General</v>
          </cell>
          <cell r="J74">
            <v>0</v>
          </cell>
          <cell r="K74">
            <v>0</v>
          </cell>
          <cell r="L74">
            <v>0</v>
          </cell>
          <cell r="M74" t="e">
            <v>#REF!</v>
          </cell>
          <cell r="N74" t="e">
            <v>#REF!</v>
          </cell>
        </row>
        <row r="75">
          <cell r="G75" t="str">
            <v>General</v>
          </cell>
          <cell r="J75">
            <v>0</v>
          </cell>
          <cell r="K75">
            <v>0</v>
          </cell>
          <cell r="L75">
            <v>0</v>
          </cell>
        </row>
        <row r="76">
          <cell r="G76" t="str">
            <v>General</v>
          </cell>
          <cell r="J76">
            <v>0</v>
          </cell>
          <cell r="K76">
            <v>0</v>
          </cell>
          <cell r="L76">
            <v>0</v>
          </cell>
        </row>
        <row r="77">
          <cell r="G77" t="str">
            <v>General</v>
          </cell>
          <cell r="J77">
            <v>0</v>
          </cell>
          <cell r="K77">
            <v>5</v>
          </cell>
          <cell r="L77">
            <v>375000</v>
          </cell>
          <cell r="M77" t="e">
            <v>#REF!</v>
          </cell>
          <cell r="N77" t="e">
            <v>#REF!</v>
          </cell>
        </row>
        <row r="78">
          <cell r="G78" t="str">
            <v>General</v>
          </cell>
          <cell r="J78">
            <v>0</v>
          </cell>
          <cell r="K78">
            <v>0</v>
          </cell>
          <cell r="L78">
            <v>0</v>
          </cell>
          <cell r="N78">
            <v>0</v>
          </cell>
        </row>
        <row r="79">
          <cell r="G79" t="str">
            <v>General</v>
          </cell>
          <cell r="J79">
            <v>12</v>
          </cell>
          <cell r="K79">
            <v>6</v>
          </cell>
          <cell r="L79">
            <v>180000</v>
          </cell>
          <cell r="M79" t="e">
            <v>#REF!</v>
          </cell>
          <cell r="N79" t="e">
            <v>#REF!</v>
          </cell>
        </row>
        <row r="80">
          <cell r="G80" t="str">
            <v>General</v>
          </cell>
          <cell r="J80">
            <v>0</v>
          </cell>
          <cell r="K80">
            <v>0</v>
          </cell>
          <cell r="L80">
            <v>0</v>
          </cell>
          <cell r="N80">
            <v>0</v>
          </cell>
        </row>
        <row r="81">
          <cell r="G81" t="str">
            <v>General</v>
          </cell>
          <cell r="J81">
            <v>0</v>
          </cell>
          <cell r="K81">
            <v>0</v>
          </cell>
          <cell r="L81">
            <v>0</v>
          </cell>
          <cell r="N81">
            <v>0</v>
          </cell>
        </row>
        <row r="82">
          <cell r="G82" t="str">
            <v>M6</v>
          </cell>
          <cell r="J82">
            <v>2</v>
          </cell>
          <cell r="K82">
            <v>0</v>
          </cell>
          <cell r="L82">
            <v>0</v>
          </cell>
          <cell r="M82" t="e">
            <v>#REF!</v>
          </cell>
          <cell r="N82" t="e">
            <v>#REF!</v>
          </cell>
        </row>
        <row r="83">
          <cell r="G83" t="str">
            <v>M6</v>
          </cell>
          <cell r="J83">
            <v>13</v>
          </cell>
          <cell r="K83">
            <v>11</v>
          </cell>
          <cell r="L83">
            <v>6600</v>
          </cell>
          <cell r="M83" t="e">
            <v>#REF!</v>
          </cell>
          <cell r="N83" t="e">
            <v>#REF!</v>
          </cell>
        </row>
        <row r="84">
          <cell r="G84" t="str">
            <v>General</v>
          </cell>
          <cell r="J84">
            <v>0</v>
          </cell>
          <cell r="K84">
            <v>0</v>
          </cell>
          <cell r="L84">
            <v>0</v>
          </cell>
          <cell r="M84" t="e">
            <v>#REF!</v>
          </cell>
          <cell r="N84" t="e">
            <v>#REF!</v>
          </cell>
        </row>
        <row r="85">
          <cell r="G85" t="str">
            <v>General</v>
          </cell>
          <cell r="J85">
            <v>0</v>
          </cell>
          <cell r="K85">
            <v>0</v>
          </cell>
          <cell r="L85">
            <v>0</v>
          </cell>
        </row>
        <row r="86">
          <cell r="G86" t="str">
            <v>M6</v>
          </cell>
          <cell r="J86">
            <v>0</v>
          </cell>
          <cell r="K86">
            <v>0</v>
          </cell>
          <cell r="L86">
            <v>0</v>
          </cell>
          <cell r="M86" t="e">
            <v>#REF!</v>
          </cell>
          <cell r="N86" t="e">
            <v>#REF!</v>
          </cell>
        </row>
        <row r="87">
          <cell r="G87" t="str">
            <v>P1/P2</v>
          </cell>
          <cell r="J87">
            <v>0</v>
          </cell>
          <cell r="K87">
            <v>0</v>
          </cell>
          <cell r="L87">
            <v>0</v>
          </cell>
          <cell r="M87" t="e">
            <v>#REF!</v>
          </cell>
          <cell r="N87" t="e">
            <v>#REF!</v>
          </cell>
        </row>
        <row r="88">
          <cell r="G88" t="str">
            <v>P1/P2</v>
          </cell>
          <cell r="J88">
            <v>0</v>
          </cell>
          <cell r="K88">
            <v>0</v>
          </cell>
          <cell r="L88">
            <v>0</v>
          </cell>
          <cell r="M88" t="e">
            <v>#REF!</v>
          </cell>
          <cell r="N88" t="e">
            <v>#REF!</v>
          </cell>
        </row>
        <row r="89">
          <cell r="G89" t="str">
            <v>P1/P2</v>
          </cell>
          <cell r="J89">
            <v>0</v>
          </cell>
          <cell r="K89">
            <v>0</v>
          </cell>
          <cell r="L89">
            <v>0</v>
          </cell>
          <cell r="M89" t="e">
            <v>#REF!</v>
          </cell>
          <cell r="N89" t="e">
            <v>#REF!</v>
          </cell>
        </row>
        <row r="90">
          <cell r="G90" t="str">
            <v>P1/P2</v>
          </cell>
          <cell r="J90">
            <v>0</v>
          </cell>
          <cell r="K90">
            <v>0</v>
          </cell>
          <cell r="L90">
            <v>0</v>
          </cell>
          <cell r="M90" t="e">
            <v>#REF!</v>
          </cell>
          <cell r="N90" t="e">
            <v>#REF!</v>
          </cell>
        </row>
        <row r="91">
          <cell r="G91" t="str">
            <v>M6</v>
          </cell>
          <cell r="J91">
            <v>41</v>
          </cell>
          <cell r="K91">
            <v>21</v>
          </cell>
          <cell r="L91">
            <v>67200</v>
          </cell>
          <cell r="M91" t="e">
            <v>#REF!</v>
          </cell>
          <cell r="N91" t="e">
            <v>#REF!</v>
          </cell>
        </row>
        <row r="92">
          <cell r="G92" t="str">
            <v>M6</v>
          </cell>
          <cell r="J92">
            <v>0</v>
          </cell>
          <cell r="K92">
            <v>25</v>
          </cell>
          <cell r="L92">
            <v>80000</v>
          </cell>
          <cell r="M92" t="e">
            <v>#REF!</v>
          </cell>
          <cell r="N92" t="e">
            <v>#REF!</v>
          </cell>
        </row>
        <row r="93">
          <cell r="G93" t="str">
            <v>M6</v>
          </cell>
          <cell r="J93">
            <v>0</v>
          </cell>
          <cell r="K93">
            <v>0</v>
          </cell>
          <cell r="L93">
            <v>0</v>
          </cell>
          <cell r="M93" t="e">
            <v>#REF!</v>
          </cell>
          <cell r="N93" t="e">
            <v>#REF!</v>
          </cell>
        </row>
        <row r="94">
          <cell r="G94" t="str">
            <v>M6</v>
          </cell>
          <cell r="J94">
            <v>1</v>
          </cell>
          <cell r="K94">
            <v>32</v>
          </cell>
          <cell r="L94">
            <v>6720000</v>
          </cell>
          <cell r="M94" t="e">
            <v>#REF!</v>
          </cell>
          <cell r="N94" t="e">
            <v>#REF!</v>
          </cell>
        </row>
        <row r="95">
          <cell r="G95" t="str">
            <v>General</v>
          </cell>
          <cell r="J95">
            <v>6</v>
          </cell>
          <cell r="K95">
            <v>1</v>
          </cell>
          <cell r="L95">
            <v>60000</v>
          </cell>
          <cell r="M95" t="e">
            <v>#REF!</v>
          </cell>
          <cell r="N95" t="e">
            <v>#REF!</v>
          </cell>
        </row>
        <row r="96">
          <cell r="G96" t="str">
            <v>General</v>
          </cell>
          <cell r="J96">
            <v>67</v>
          </cell>
          <cell r="K96">
            <v>8</v>
          </cell>
          <cell r="L96">
            <v>240000</v>
          </cell>
          <cell r="M96" t="e">
            <v>#REF!</v>
          </cell>
          <cell r="N96" t="e">
            <v>#REF!</v>
          </cell>
        </row>
        <row r="97">
          <cell r="G97" t="str">
            <v>M6</v>
          </cell>
          <cell r="J97">
            <v>1</v>
          </cell>
          <cell r="K97">
            <v>0</v>
          </cell>
          <cell r="L97">
            <v>0</v>
          </cell>
          <cell r="M97" t="e">
            <v>#REF!</v>
          </cell>
          <cell r="N97" t="e">
            <v>#REF!</v>
          </cell>
        </row>
        <row r="98">
          <cell r="G98" t="str">
            <v>General</v>
          </cell>
          <cell r="J98">
            <v>18</v>
          </cell>
          <cell r="K98">
            <v>0</v>
          </cell>
          <cell r="L98">
            <v>0</v>
          </cell>
          <cell r="M98" t="e">
            <v>#REF!</v>
          </cell>
          <cell r="N98" t="e">
            <v>#REF!</v>
          </cell>
        </row>
        <row r="99">
          <cell r="G99" t="str">
            <v>General</v>
          </cell>
          <cell r="J99">
            <v>10</v>
          </cell>
          <cell r="K99">
            <v>2</v>
          </cell>
          <cell r="L99">
            <v>6000</v>
          </cell>
          <cell r="M99" t="e">
            <v>#REF!</v>
          </cell>
          <cell r="N99" t="e">
            <v>#REF!</v>
          </cell>
        </row>
        <row r="100">
          <cell r="G100" t="str">
            <v>M6</v>
          </cell>
          <cell r="J100">
            <v>0</v>
          </cell>
          <cell r="K100">
            <v>0</v>
          </cell>
          <cell r="L100">
            <v>0</v>
          </cell>
          <cell r="M100" t="e">
            <v>#REF!</v>
          </cell>
          <cell r="N100" t="e">
            <v>#REF!</v>
          </cell>
        </row>
        <row r="101">
          <cell r="G101" t="str">
            <v>M6</v>
          </cell>
          <cell r="J101">
            <v>2</v>
          </cell>
          <cell r="K101">
            <v>4</v>
          </cell>
          <cell r="L101">
            <v>328000</v>
          </cell>
          <cell r="M101" t="e">
            <v>#REF!</v>
          </cell>
          <cell r="N101" t="e">
            <v>#REF!</v>
          </cell>
        </row>
        <row r="102">
          <cell r="G102" t="str">
            <v>M6</v>
          </cell>
          <cell r="J102">
            <v>0</v>
          </cell>
          <cell r="K102">
            <v>2</v>
          </cell>
          <cell r="L102">
            <v>86000</v>
          </cell>
          <cell r="M102" t="e">
            <v>#REF!</v>
          </cell>
          <cell r="N102" t="e">
            <v>#REF!</v>
          </cell>
        </row>
        <row r="103">
          <cell r="G103" t="str">
            <v>General</v>
          </cell>
          <cell r="J103">
            <v>24</v>
          </cell>
          <cell r="K103">
            <v>2</v>
          </cell>
          <cell r="L103">
            <v>108000</v>
          </cell>
          <cell r="M103" t="e">
            <v>#REF!</v>
          </cell>
          <cell r="N103" t="e">
            <v>#REF!</v>
          </cell>
        </row>
        <row r="104">
          <cell r="G104" t="str">
            <v>General</v>
          </cell>
          <cell r="J104">
            <v>0</v>
          </cell>
          <cell r="K104">
            <v>6</v>
          </cell>
          <cell r="L104">
            <v>4200</v>
          </cell>
          <cell r="M104" t="e">
            <v>#REF!</v>
          </cell>
          <cell r="N104" t="e">
            <v>#REF!</v>
          </cell>
        </row>
        <row r="105">
          <cell r="G105" t="str">
            <v>P2</v>
          </cell>
          <cell r="J105">
            <v>0</v>
          </cell>
          <cell r="K105">
            <v>4</v>
          </cell>
          <cell r="L105">
            <v>900000</v>
          </cell>
          <cell r="M105" t="e">
            <v>#REF!</v>
          </cell>
          <cell r="N105" t="e">
            <v>#REF!</v>
          </cell>
        </row>
        <row r="106">
          <cell r="G106" t="str">
            <v>General</v>
          </cell>
          <cell r="J106">
            <v>0</v>
          </cell>
          <cell r="K106">
            <v>3</v>
          </cell>
          <cell r="L106">
            <v>9924000</v>
          </cell>
          <cell r="M106" t="e">
            <v>#REF!</v>
          </cell>
          <cell r="N106" t="e">
            <v>#REF!</v>
          </cell>
        </row>
        <row r="107">
          <cell r="G107" t="str">
            <v>General</v>
          </cell>
          <cell r="J107">
            <v>0</v>
          </cell>
          <cell r="K107">
            <v>0</v>
          </cell>
          <cell r="L107">
            <v>0</v>
          </cell>
        </row>
        <row r="108">
          <cell r="G108" t="str">
            <v>General</v>
          </cell>
          <cell r="J108">
            <v>4</v>
          </cell>
          <cell r="K108">
            <v>2</v>
          </cell>
          <cell r="L108">
            <v>170000</v>
          </cell>
          <cell r="M108" t="e">
            <v>#REF!</v>
          </cell>
          <cell r="N108" t="e">
            <v>#REF!</v>
          </cell>
        </row>
        <row r="109">
          <cell r="G109" t="str">
            <v>M6</v>
          </cell>
          <cell r="J109">
            <v>10</v>
          </cell>
          <cell r="K109">
            <v>11</v>
          </cell>
          <cell r="L109">
            <v>792000</v>
          </cell>
        </row>
        <row r="110">
          <cell r="G110" t="str">
            <v>M6</v>
          </cell>
          <cell r="J110">
            <v>0</v>
          </cell>
          <cell r="K110">
            <v>0</v>
          </cell>
          <cell r="L110">
            <v>0</v>
          </cell>
          <cell r="M110" t="e">
            <v>#REF!</v>
          </cell>
          <cell r="N110" t="e">
            <v>#REF!</v>
          </cell>
        </row>
        <row r="111">
          <cell r="G111" t="str">
            <v>General</v>
          </cell>
          <cell r="J111">
            <v>96</v>
          </cell>
          <cell r="K111">
            <v>269</v>
          </cell>
          <cell r="L111">
            <v>26443776</v>
          </cell>
          <cell r="M111" t="e">
            <v>#REF!</v>
          </cell>
          <cell r="N111" t="e">
            <v>#REF!</v>
          </cell>
        </row>
        <row r="112">
          <cell r="G112" t="str">
            <v>General</v>
          </cell>
          <cell r="J112">
            <v>0</v>
          </cell>
          <cell r="K112">
            <v>0</v>
          </cell>
          <cell r="L112">
            <v>0</v>
          </cell>
          <cell r="M112">
            <v>0</v>
          </cell>
          <cell r="N112">
            <v>0</v>
          </cell>
        </row>
        <row r="113">
          <cell r="G113" t="str">
            <v>General</v>
          </cell>
          <cell r="J113">
            <v>0</v>
          </cell>
          <cell r="K113">
            <v>0</v>
          </cell>
          <cell r="L113">
            <v>0</v>
          </cell>
          <cell r="M113">
            <v>0</v>
          </cell>
          <cell r="N113">
            <v>0</v>
          </cell>
        </row>
        <row r="114">
          <cell r="G114" t="str">
            <v>General</v>
          </cell>
          <cell r="J114">
            <v>2</v>
          </cell>
          <cell r="K114">
            <v>15</v>
          </cell>
          <cell r="L114">
            <v>1200000</v>
          </cell>
          <cell r="M114" t="e">
            <v>#REF!</v>
          </cell>
          <cell r="N114" t="e">
            <v>#REF!</v>
          </cell>
        </row>
        <row r="115">
          <cell r="G115" t="str">
            <v>General</v>
          </cell>
          <cell r="J115">
            <v>0</v>
          </cell>
          <cell r="K115">
            <v>0</v>
          </cell>
          <cell r="L115">
            <v>0</v>
          </cell>
          <cell r="N115">
            <v>0</v>
          </cell>
        </row>
        <row r="116">
          <cell r="G116" t="str">
            <v>M6</v>
          </cell>
          <cell r="J116">
            <v>1</v>
          </cell>
          <cell r="K116">
            <v>1</v>
          </cell>
          <cell r="L116">
            <v>115000</v>
          </cell>
          <cell r="M116" t="e">
            <v>#REF!</v>
          </cell>
          <cell r="N116" t="e">
            <v>#REF!</v>
          </cell>
        </row>
        <row r="117">
          <cell r="G117" t="str">
            <v>General</v>
          </cell>
          <cell r="J117">
            <v>0</v>
          </cell>
          <cell r="K117">
            <v>0</v>
          </cell>
          <cell r="L117">
            <v>0</v>
          </cell>
          <cell r="M117" t="e">
            <v>#REF!</v>
          </cell>
          <cell r="N117" t="e">
            <v>#REF!</v>
          </cell>
        </row>
        <row r="118">
          <cell r="G118" t="str">
            <v>General</v>
          </cell>
          <cell r="J118">
            <v>10</v>
          </cell>
          <cell r="K118">
            <v>31</v>
          </cell>
          <cell r="L118">
            <v>0</v>
          </cell>
          <cell r="M118" t="e">
            <v>#REF!</v>
          </cell>
          <cell r="N118" t="e">
            <v>#REF!</v>
          </cell>
        </row>
        <row r="119">
          <cell r="G119" t="str">
            <v>General</v>
          </cell>
          <cell r="J119">
            <v>0</v>
          </cell>
          <cell r="K119">
            <v>0</v>
          </cell>
          <cell r="L119">
            <v>0</v>
          </cell>
          <cell r="M119" t="e">
            <v>#REF!</v>
          </cell>
          <cell r="N119" t="e">
            <v>#REF!</v>
          </cell>
        </row>
        <row r="120">
          <cell r="G120" t="str">
            <v>General</v>
          </cell>
          <cell r="J120">
            <v>4</v>
          </cell>
          <cell r="K120">
            <v>0</v>
          </cell>
          <cell r="L120">
            <v>0</v>
          </cell>
          <cell r="M120" t="e">
            <v>#REF!</v>
          </cell>
          <cell r="N120" t="e">
            <v>#REF!</v>
          </cell>
        </row>
        <row r="121">
          <cell r="G121" t="str">
            <v>General</v>
          </cell>
          <cell r="J121">
            <v>2</v>
          </cell>
          <cell r="K121">
            <v>0</v>
          </cell>
          <cell r="L121">
            <v>0</v>
          </cell>
          <cell r="M121" t="e">
            <v>#REF!</v>
          </cell>
          <cell r="N121" t="e">
            <v>#REF!</v>
          </cell>
        </row>
        <row r="122">
          <cell r="G122" t="str">
            <v>General</v>
          </cell>
          <cell r="J122">
            <v>0</v>
          </cell>
          <cell r="K122">
            <v>10</v>
          </cell>
          <cell r="L122">
            <v>800000</v>
          </cell>
          <cell r="M122" t="e">
            <v>#REF!</v>
          </cell>
          <cell r="N122" t="e">
            <v>#REF!</v>
          </cell>
        </row>
        <row r="123">
          <cell r="G123" t="str">
            <v>General</v>
          </cell>
          <cell r="J123">
            <v>0</v>
          </cell>
          <cell r="K123">
            <v>1</v>
          </cell>
          <cell r="L123">
            <v>15000</v>
          </cell>
          <cell r="M123" t="e">
            <v>#REF!</v>
          </cell>
          <cell r="N123" t="e">
            <v>#REF!</v>
          </cell>
        </row>
        <row r="124">
          <cell r="G124" t="str">
            <v>General</v>
          </cell>
          <cell r="J124">
            <v>0</v>
          </cell>
          <cell r="K124">
            <v>0</v>
          </cell>
          <cell r="L124">
            <v>0</v>
          </cell>
          <cell r="M124" t="e">
            <v>#REF!</v>
          </cell>
          <cell r="N124" t="e">
            <v>#REF!</v>
          </cell>
        </row>
        <row r="125">
          <cell r="G125" t="str">
            <v>General</v>
          </cell>
          <cell r="J125">
            <v>1</v>
          </cell>
          <cell r="K125">
            <v>0</v>
          </cell>
          <cell r="L125">
            <v>0</v>
          </cell>
          <cell r="M125" t="e">
            <v>#REF!</v>
          </cell>
          <cell r="N125" t="e">
            <v>#REF!</v>
          </cell>
        </row>
        <row r="126">
          <cell r="G126" t="str">
            <v>General</v>
          </cell>
          <cell r="J126">
            <v>0</v>
          </cell>
          <cell r="K126">
            <v>0</v>
          </cell>
          <cell r="L126">
            <v>0</v>
          </cell>
          <cell r="M126">
            <v>0</v>
          </cell>
          <cell r="N126">
            <v>0</v>
          </cell>
        </row>
        <row r="127">
          <cell r="G127" t="str">
            <v>General</v>
          </cell>
          <cell r="J127">
            <v>25</v>
          </cell>
          <cell r="K127">
            <v>34</v>
          </cell>
          <cell r="L127">
            <v>102000</v>
          </cell>
          <cell r="M127" t="e">
            <v>#REF!</v>
          </cell>
          <cell r="N127" t="e">
            <v>#REF!</v>
          </cell>
        </row>
        <row r="128">
          <cell r="J128">
            <v>0</v>
          </cell>
          <cell r="K128">
            <v>0</v>
          </cell>
        </row>
        <row r="129">
          <cell r="J129">
            <v>0</v>
          </cell>
          <cell r="K129">
            <v>0</v>
          </cell>
        </row>
        <row r="130">
          <cell r="J130">
            <v>0</v>
          </cell>
          <cell r="K130">
            <v>0</v>
          </cell>
        </row>
        <row r="131">
          <cell r="J131">
            <v>0</v>
          </cell>
          <cell r="K131">
            <v>0</v>
          </cell>
        </row>
        <row r="132">
          <cell r="J132">
            <v>0</v>
          </cell>
          <cell r="K132">
            <v>0</v>
          </cell>
        </row>
        <row r="133">
          <cell r="J133">
            <v>0</v>
          </cell>
          <cell r="K133">
            <v>0</v>
          </cell>
        </row>
        <row r="134">
          <cell r="J134">
            <v>0</v>
          </cell>
          <cell r="K134">
            <v>0</v>
          </cell>
        </row>
        <row r="135">
          <cell r="J135" t="e">
            <v>#N/A</v>
          </cell>
          <cell r="K135" t="e">
            <v>#N/A</v>
          </cell>
        </row>
        <row r="136">
          <cell r="J136" t="e">
            <v>#N/A</v>
          </cell>
          <cell r="K136" t="e">
            <v>#N/A</v>
          </cell>
        </row>
        <row r="137">
          <cell r="J137" t="e">
            <v>#N/A</v>
          </cell>
          <cell r="K137" t="e">
            <v>#N/A</v>
          </cell>
        </row>
        <row r="138">
          <cell r="J138" t="e">
            <v>#N/A</v>
          </cell>
          <cell r="K138" t="e">
            <v>#N/A</v>
          </cell>
        </row>
        <row r="139">
          <cell r="J139" t="e">
            <v>#N/A</v>
          </cell>
          <cell r="K139" t="e">
            <v>#N/A</v>
          </cell>
        </row>
        <row r="140">
          <cell r="J140" t="e">
            <v>#N/A</v>
          </cell>
          <cell r="K140" t="e">
            <v>#N/A</v>
          </cell>
        </row>
        <row r="141">
          <cell r="J141" t="e">
            <v>#N/A</v>
          </cell>
          <cell r="K141" t="e">
            <v>#N/A</v>
          </cell>
        </row>
        <row r="142">
          <cell r="L142">
            <v>65789336</v>
          </cell>
          <cell r="N142" t="e">
            <v>#REF!</v>
          </cell>
        </row>
        <row r="143">
          <cell r="J143" t="str">
            <v>USD</v>
          </cell>
          <cell r="L143">
            <v>7955179.6856106417</v>
          </cell>
          <cell r="N143" t="e">
            <v>#REF!</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新万人事资料"/>
      <sheetName val="新万辞职"/>
      <sheetName val="新万人事资料 (2)"/>
      <sheetName val="da"/>
      <sheetName val="各型号产量汇总表"/>
      <sheetName val="操作岗人员变动情况分析表10月第2周"/>
      <sheetName val="Equipment Req Plan"/>
      <sheetName val="#REF!"/>
      <sheetName val="13、管理部门_仓储办"/>
      <sheetName val="电池片10条生产线 "/>
      <sheetName val="Workings"/>
      <sheetName val="Summary"/>
      <sheetName val="Assumptions sheet"/>
      <sheetName val="pe"/>
      <sheetName val="DATAT"/>
      <sheetName val="E Goal"/>
      <sheetName val="E_KSR"/>
      <sheetName val="All_KSR"/>
      <sheetName val="P Goal"/>
      <sheetName val="P_KSR"/>
      <sheetName val="說明"/>
      <sheetName val="定容评测"/>
      <sheetName val="1-0. DMD"/>
      <sheetName val="TMK280-02"/>
      <sheetName val="B.2"/>
      <sheetName val="E.2"/>
      <sheetName val="C.3"/>
      <sheetName val="Index"/>
      <sheetName val="L EQ"/>
      <sheetName val="data"/>
      <sheetName val="Amortization "/>
      <sheetName val="ED&amp;D Labor Rate"/>
      <sheetName val="Drop Downs"/>
      <sheetName val="WEIGHT"/>
      <sheetName val="pfx_prov"/>
      <sheetName val="Pick lists"/>
      <sheetName val="Assumptions sheet raw material"/>
      <sheetName val="Material"/>
      <sheetName val="SBM-devices-FWZ"/>
      <sheetName val="Cork"/>
      <sheetName val="電気参考データ"/>
      <sheetName val="Sheet 2"/>
      <sheetName val="FA-LISTING"/>
      <sheetName val="运输包装"/>
      <sheetName val="resume"/>
      <sheetName val="Database"/>
      <sheetName val="#REF"/>
      <sheetName val="新万人事资料_(2)"/>
      <sheetName val="Equipment_Req_Plan"/>
      <sheetName val="Sheet1"/>
      <sheetName val="Input commodity fallout"/>
      <sheetName val="Reporting"/>
      <sheetName val="Bom(P1)"/>
      <sheetName val="Sheet3"/>
      <sheetName val="PV6 3.5L LX5 GMX170"/>
      <sheetName val="处理方式"/>
      <sheetName val="Mix A"/>
      <sheetName val="滯料RAW_Data"/>
      <sheetName val="呆料RAW_Data"/>
      <sheetName val="ISRDATA"/>
      <sheetName val="125PIECE"/>
      <sheetName val="Fading_Data"/>
      <sheetName val="应付"/>
      <sheetName val="个人欠款账龄分析表"/>
      <sheetName val="Manufactering costs"/>
      <sheetName val="Sum"/>
      <sheetName val="Données"/>
      <sheetName val="Tabelle1"/>
      <sheetName val="能耗测算标准-厂务 (2)"/>
      <sheetName val="Rate"/>
      <sheetName val="Language"/>
      <sheetName val="清冊"/>
      <sheetName val="CBU"/>
      <sheetName val="CALCUL"/>
      <sheetName val="TbList"/>
      <sheetName val="Units"/>
      <sheetName val="二级明细-生产"/>
      <sheetName val="工装夹检具"/>
      <sheetName val="series pricing"/>
      <sheetName val="生产领料汇总表"/>
      <sheetName val="部门折旧"/>
      <sheetName val="月度抄表"/>
      <sheetName val="低压抄表"/>
      <sheetName val="Currency"/>
      <sheetName val="VQS⑦-⑭"/>
      <sheetName val="VQS⑮"/>
      <sheetName val="APEAL詳細項目"/>
      <sheetName val="TOC"/>
      <sheetName val="iqs_data"/>
      <sheetName val="iqs_index"/>
      <sheetName val="01"/>
      <sheetName val="新中部位"/>
      <sheetName val="Fab Output Plan"/>
      <sheetName val="社保公积金比例"/>
      <sheetName val="填表说明"/>
      <sheetName val="PL"/>
      <sheetName val="BS"/>
      <sheetName val="全体ｸﾞﾗﾌ"/>
      <sheetName val="temp - a xia"/>
      <sheetName val="square1"/>
      <sheetName val="PARAMETRES"/>
      <sheetName val="MPL 技連"/>
      <sheetName val="342A Block"/>
      <sheetName val="能耗测算标准-厂务"/>
      <sheetName val="EV Project Schedule Rev.01"/>
      <sheetName val="Share Prices"/>
      <sheetName val="CU"/>
      <sheetName val="1"/>
      <sheetName val="10 - MSA"/>
      <sheetName val="Deckblatt"/>
      <sheetName val="HowTo"/>
      <sheetName val="能源报表"/>
      <sheetName val="投资条款汇总"/>
      <sheetName val="QR20-1101"/>
      <sheetName val="補助"/>
      <sheetName val="MASTER"/>
      <sheetName val="XL4Poppy"/>
    </sheetNames>
    <sheetDataSet>
      <sheetData sheetId="0" refreshError="1">
        <row r="2">
          <cell r="C2" t="str">
            <v>郑佳欣</v>
          </cell>
          <cell r="D2" t="str">
            <v>女</v>
          </cell>
          <cell r="E2">
            <v>31482</v>
          </cell>
          <cell r="F2" t="str">
            <v>410526198603112364</v>
          </cell>
        </row>
        <row r="3">
          <cell r="C3" t="str">
            <v>余仪长</v>
          </cell>
          <cell r="D3" t="str">
            <v>男</v>
          </cell>
          <cell r="E3">
            <v>31202</v>
          </cell>
          <cell r="F3" t="str">
            <v>362137198506201934</v>
          </cell>
        </row>
        <row r="4">
          <cell r="C4" t="str">
            <v>高亚振</v>
          </cell>
          <cell r="D4" t="str">
            <v>女</v>
          </cell>
          <cell r="E4">
            <v>30474</v>
          </cell>
          <cell r="F4" t="str">
            <v>411303830607392</v>
          </cell>
        </row>
        <row r="5">
          <cell r="C5" t="str">
            <v>余小芬</v>
          </cell>
          <cell r="D5" t="str">
            <v>女</v>
          </cell>
          <cell r="E5">
            <v>31676</v>
          </cell>
          <cell r="F5" t="str">
            <v>360735198609211921</v>
          </cell>
        </row>
        <row r="6">
          <cell r="C6" t="str">
            <v>邵会萍</v>
          </cell>
          <cell r="D6" t="str">
            <v>女</v>
          </cell>
          <cell r="E6">
            <v>30226</v>
          </cell>
          <cell r="F6" t="str">
            <v>610528198210028647</v>
          </cell>
        </row>
        <row r="7">
          <cell r="C7" t="str">
            <v>卜许敏</v>
          </cell>
          <cell r="D7" t="str">
            <v>女</v>
          </cell>
          <cell r="E7">
            <v>29518</v>
          </cell>
          <cell r="F7" t="str">
            <v>410223801024502</v>
          </cell>
        </row>
        <row r="8">
          <cell r="C8" t="str">
            <v>胡少婵</v>
          </cell>
          <cell r="D8" t="str">
            <v>女</v>
          </cell>
          <cell r="E8">
            <v>30801</v>
          </cell>
          <cell r="F8" t="str">
            <v>410526198404292382</v>
          </cell>
        </row>
        <row r="9">
          <cell r="C9" t="str">
            <v>陈小丽</v>
          </cell>
          <cell r="D9" t="str">
            <v>女</v>
          </cell>
          <cell r="E9">
            <v>31007</v>
          </cell>
          <cell r="F9" t="str">
            <v>411324198411210928</v>
          </cell>
        </row>
        <row r="10">
          <cell r="C10" t="str">
            <v>余成玉</v>
          </cell>
          <cell r="D10" t="str">
            <v>女</v>
          </cell>
          <cell r="E10">
            <v>31477</v>
          </cell>
          <cell r="F10" t="str">
            <v>421181198603061929</v>
          </cell>
        </row>
        <row r="11">
          <cell r="C11" t="str">
            <v>彭凤杰</v>
          </cell>
          <cell r="D11" t="str">
            <v>女</v>
          </cell>
          <cell r="E11">
            <v>29264</v>
          </cell>
          <cell r="F11" t="str">
            <v>412721800213182</v>
          </cell>
        </row>
        <row r="12">
          <cell r="C12" t="str">
            <v>李永霞</v>
          </cell>
          <cell r="D12" t="str">
            <v>女</v>
          </cell>
          <cell r="E12">
            <v>31722</v>
          </cell>
          <cell r="F12" t="str">
            <v>412721198611061422</v>
          </cell>
        </row>
        <row r="13">
          <cell r="C13" t="str">
            <v>闫会霞</v>
          </cell>
          <cell r="D13" t="str">
            <v>女</v>
          </cell>
          <cell r="E13">
            <v>31453</v>
          </cell>
          <cell r="F13" t="str">
            <v>412721198602101867</v>
          </cell>
        </row>
        <row r="14">
          <cell r="C14" t="str">
            <v>肖银华</v>
          </cell>
          <cell r="D14" t="str">
            <v>女</v>
          </cell>
          <cell r="E14">
            <v>30848</v>
          </cell>
          <cell r="F14" t="str">
            <v>412722840615252</v>
          </cell>
        </row>
        <row r="15">
          <cell r="C15" t="str">
            <v>李合平</v>
          </cell>
          <cell r="D15" t="str">
            <v>女</v>
          </cell>
          <cell r="E15">
            <v>29758</v>
          </cell>
          <cell r="F15" t="str">
            <v>430122810621552</v>
          </cell>
        </row>
        <row r="16">
          <cell r="C16" t="str">
            <v>高玉丽</v>
          </cell>
          <cell r="D16" t="str">
            <v>女</v>
          </cell>
          <cell r="E16">
            <v>31100</v>
          </cell>
          <cell r="F16" t="str">
            <v>410223198502226068</v>
          </cell>
        </row>
        <row r="17">
          <cell r="C17" t="str">
            <v>秦彩利</v>
          </cell>
          <cell r="D17" t="str">
            <v>女</v>
          </cell>
          <cell r="E17">
            <v>31242</v>
          </cell>
          <cell r="F17" t="str">
            <v>610426198507140025</v>
          </cell>
        </row>
        <row r="18">
          <cell r="C18" t="str">
            <v>张娟娟</v>
          </cell>
          <cell r="D18" t="str">
            <v>女</v>
          </cell>
          <cell r="E18">
            <v>30958</v>
          </cell>
          <cell r="F18" t="str">
            <v>610426198410030022</v>
          </cell>
        </row>
        <row r="19">
          <cell r="C19" t="str">
            <v>张秋亭</v>
          </cell>
          <cell r="D19" t="str">
            <v>女</v>
          </cell>
          <cell r="E19">
            <v>31237</v>
          </cell>
          <cell r="F19" t="str">
            <v>610426198507090021</v>
          </cell>
        </row>
        <row r="20">
          <cell r="C20" t="str">
            <v>余爽</v>
          </cell>
          <cell r="D20" t="str">
            <v>女</v>
          </cell>
          <cell r="E20">
            <v>31689</v>
          </cell>
          <cell r="F20" t="str">
            <v>411303198610043921</v>
          </cell>
        </row>
        <row r="21">
          <cell r="C21" t="str">
            <v>刘林艳</v>
          </cell>
          <cell r="D21" t="str">
            <v>女</v>
          </cell>
          <cell r="E21">
            <v>30232</v>
          </cell>
          <cell r="F21" t="str">
            <v>430522821008882</v>
          </cell>
        </row>
        <row r="22">
          <cell r="C22" t="str">
            <v>李婷婷</v>
          </cell>
          <cell r="D22" t="str">
            <v>女</v>
          </cell>
          <cell r="E22">
            <v>29536</v>
          </cell>
          <cell r="F22" t="str">
            <v>420684198011115028</v>
          </cell>
        </row>
        <row r="23">
          <cell r="C23" t="str">
            <v>胡翠英</v>
          </cell>
          <cell r="D23" t="str">
            <v>女</v>
          </cell>
          <cell r="E23">
            <v>30025</v>
          </cell>
          <cell r="F23" t="str">
            <v>410526820315234</v>
          </cell>
        </row>
        <row r="24">
          <cell r="C24" t="str">
            <v>周庆国</v>
          </cell>
          <cell r="D24" t="str">
            <v>男</v>
          </cell>
          <cell r="E24">
            <v>28706</v>
          </cell>
          <cell r="F24" t="str">
            <v>421023197808040714</v>
          </cell>
        </row>
        <row r="25">
          <cell r="C25" t="str">
            <v>钱彪</v>
          </cell>
          <cell r="D25" t="str">
            <v>男</v>
          </cell>
          <cell r="E25">
            <v>27221</v>
          </cell>
          <cell r="F25" t="str">
            <v>36220219740711151</v>
          </cell>
        </row>
        <row r="26">
          <cell r="C26" t="str">
            <v>付艳玲</v>
          </cell>
          <cell r="D26" t="str">
            <v>女</v>
          </cell>
          <cell r="E26">
            <v>30700</v>
          </cell>
          <cell r="F26" t="str">
            <v>420621198401198943</v>
          </cell>
        </row>
        <row r="27">
          <cell r="C27" t="str">
            <v>李娜</v>
          </cell>
          <cell r="D27" t="str">
            <v>女</v>
          </cell>
          <cell r="E27">
            <v>30222</v>
          </cell>
          <cell r="F27" t="str">
            <v>420621198209288623</v>
          </cell>
        </row>
        <row r="28">
          <cell r="C28" t="str">
            <v>杨宁宁</v>
          </cell>
          <cell r="D28" t="str">
            <v>女</v>
          </cell>
          <cell r="E28">
            <v>30607</v>
          </cell>
          <cell r="F28" t="str">
            <v>610424831018286</v>
          </cell>
        </row>
        <row r="29">
          <cell r="C29" t="str">
            <v>王静</v>
          </cell>
          <cell r="D29" t="str">
            <v>女</v>
          </cell>
          <cell r="E29">
            <v>31393</v>
          </cell>
          <cell r="F29" t="str">
            <v>411303198512124226</v>
          </cell>
        </row>
        <row r="30">
          <cell r="C30" t="str">
            <v>宋丽娜</v>
          </cell>
          <cell r="D30" t="str">
            <v>女</v>
          </cell>
          <cell r="E30">
            <v>31544</v>
          </cell>
          <cell r="F30" t="str">
            <v>41102419860512166</v>
          </cell>
        </row>
        <row r="31">
          <cell r="C31" t="str">
            <v>郭会琴</v>
          </cell>
          <cell r="D31" t="str">
            <v>女</v>
          </cell>
          <cell r="E31">
            <v>31153</v>
          </cell>
          <cell r="F31" t="str">
            <v>412721198506143821</v>
          </cell>
        </row>
        <row r="32">
          <cell r="C32" t="str">
            <v>靳利远</v>
          </cell>
          <cell r="D32" t="str">
            <v>女</v>
          </cell>
          <cell r="E32">
            <v>31380</v>
          </cell>
          <cell r="F32" t="str">
            <v>412721198511294288</v>
          </cell>
        </row>
        <row r="33">
          <cell r="C33" t="str">
            <v>潘玲玲</v>
          </cell>
          <cell r="D33" t="str">
            <v>女</v>
          </cell>
          <cell r="E33">
            <v>31489</v>
          </cell>
          <cell r="F33" t="str">
            <v>411024198603181643</v>
          </cell>
        </row>
        <row r="34">
          <cell r="C34" t="str">
            <v>宋利敬</v>
          </cell>
          <cell r="D34" t="str">
            <v>女</v>
          </cell>
          <cell r="E34">
            <v>31451</v>
          </cell>
          <cell r="F34" t="str">
            <v>411024198602081624</v>
          </cell>
        </row>
        <row r="35">
          <cell r="C35" t="str">
            <v>吴飞飞</v>
          </cell>
          <cell r="D35" t="str">
            <v>女</v>
          </cell>
          <cell r="E35">
            <v>31486</v>
          </cell>
          <cell r="F35" t="str">
            <v>412721198603153845</v>
          </cell>
        </row>
        <row r="36">
          <cell r="C36" t="str">
            <v>张亚丽</v>
          </cell>
          <cell r="D36" t="str">
            <v>女</v>
          </cell>
          <cell r="E36">
            <v>31712</v>
          </cell>
          <cell r="F36" t="str">
            <v>412721198610273845</v>
          </cell>
        </row>
        <row r="37">
          <cell r="C37" t="str">
            <v>张春娜</v>
          </cell>
          <cell r="D37" t="str">
            <v>女</v>
          </cell>
          <cell r="E37">
            <v>31459</v>
          </cell>
          <cell r="F37" t="str">
            <v>412721198602163064</v>
          </cell>
        </row>
        <row r="38">
          <cell r="C38" t="str">
            <v>张丹</v>
          </cell>
          <cell r="D38" t="str">
            <v>女</v>
          </cell>
          <cell r="E38">
            <v>31707</v>
          </cell>
          <cell r="F38" t="str">
            <v>412721198610223864</v>
          </cell>
        </row>
        <row r="39">
          <cell r="C39" t="str">
            <v>王盼</v>
          </cell>
          <cell r="D39" t="str">
            <v>女</v>
          </cell>
          <cell r="E39">
            <v>31071</v>
          </cell>
          <cell r="F39" t="str">
            <v>412721198501240649</v>
          </cell>
        </row>
        <row r="40">
          <cell r="C40" t="str">
            <v>卢卫捧</v>
          </cell>
          <cell r="D40" t="str">
            <v>女</v>
          </cell>
          <cell r="E40">
            <v>30691</v>
          </cell>
          <cell r="F40" t="str">
            <v>412721198401105829</v>
          </cell>
        </row>
        <row r="41">
          <cell r="C41" t="str">
            <v>周永丽</v>
          </cell>
          <cell r="D41" t="str">
            <v>女</v>
          </cell>
          <cell r="E41">
            <v>31653</v>
          </cell>
          <cell r="F41" t="str">
            <v>412721198608293046</v>
          </cell>
        </row>
        <row r="42">
          <cell r="C42" t="str">
            <v>靳书平</v>
          </cell>
          <cell r="D42" t="str">
            <v>女</v>
          </cell>
          <cell r="E42">
            <v>31026</v>
          </cell>
          <cell r="F42" t="str">
            <v>410223198412105561</v>
          </cell>
        </row>
        <row r="43">
          <cell r="C43" t="str">
            <v>张红霞</v>
          </cell>
          <cell r="D43" t="str">
            <v>女</v>
          </cell>
          <cell r="E43">
            <v>29858</v>
          </cell>
          <cell r="F43" t="str">
            <v>410223198109292085</v>
          </cell>
        </row>
        <row r="44">
          <cell r="C44" t="str">
            <v>张卫琴</v>
          </cell>
          <cell r="D44" t="str">
            <v>女</v>
          </cell>
          <cell r="E44">
            <v>31166</v>
          </cell>
          <cell r="F44" t="str">
            <v>412721198504293869</v>
          </cell>
        </row>
        <row r="45">
          <cell r="C45" t="str">
            <v>王亚丽</v>
          </cell>
          <cell r="D45" t="str">
            <v>女</v>
          </cell>
          <cell r="E45">
            <v>31690</v>
          </cell>
          <cell r="F45" t="str">
            <v>412721198610053869</v>
          </cell>
        </row>
        <row r="46">
          <cell r="C46" t="str">
            <v>李树叶</v>
          </cell>
          <cell r="D46" t="str">
            <v>女</v>
          </cell>
          <cell r="E46">
            <v>31048</v>
          </cell>
          <cell r="F46" t="str">
            <v>412721198501013841</v>
          </cell>
        </row>
        <row r="47">
          <cell r="C47" t="str">
            <v>李俊峰</v>
          </cell>
          <cell r="D47" t="str">
            <v>女</v>
          </cell>
          <cell r="E47">
            <v>31449</v>
          </cell>
          <cell r="F47" t="str">
            <v>412721198602063848</v>
          </cell>
        </row>
        <row r="48">
          <cell r="C48" t="str">
            <v>齐曼</v>
          </cell>
          <cell r="D48" t="str">
            <v>女</v>
          </cell>
          <cell r="E48">
            <v>31055</v>
          </cell>
          <cell r="F48" t="str">
            <v>412721198501083444</v>
          </cell>
        </row>
        <row r="49">
          <cell r="C49" t="str">
            <v>袁艳芳</v>
          </cell>
          <cell r="D49" t="str">
            <v>女</v>
          </cell>
          <cell r="E49">
            <v>30229</v>
          </cell>
          <cell r="F49" t="str">
            <v>411024821005002</v>
          </cell>
        </row>
        <row r="50">
          <cell r="C50" t="str">
            <v>周培培</v>
          </cell>
          <cell r="D50" t="str">
            <v>女</v>
          </cell>
          <cell r="E50">
            <v>31575</v>
          </cell>
          <cell r="F50" t="str">
            <v>412721198606123043</v>
          </cell>
        </row>
        <row r="51">
          <cell r="C51" t="str">
            <v>李芳</v>
          </cell>
          <cell r="D51" t="str">
            <v>女</v>
          </cell>
          <cell r="E51">
            <v>31469</v>
          </cell>
          <cell r="F51" t="str">
            <v>412721198602263444</v>
          </cell>
        </row>
        <row r="52">
          <cell r="C52" t="str">
            <v>刘素红</v>
          </cell>
          <cell r="D52" t="str">
            <v>女</v>
          </cell>
          <cell r="E52">
            <v>30146</v>
          </cell>
          <cell r="F52" t="str">
            <v>411024820714008</v>
          </cell>
        </row>
        <row r="53">
          <cell r="C53" t="str">
            <v>何彦平</v>
          </cell>
          <cell r="D53" t="str">
            <v>女</v>
          </cell>
          <cell r="E53">
            <v>31183</v>
          </cell>
          <cell r="F53" t="str">
            <v>410223198505165547</v>
          </cell>
        </row>
        <row r="54">
          <cell r="C54" t="str">
            <v>陈萍</v>
          </cell>
          <cell r="D54" t="str">
            <v>女</v>
          </cell>
          <cell r="E54">
            <v>30903</v>
          </cell>
          <cell r="F54" t="str">
            <v>412721198408093867</v>
          </cell>
        </row>
        <row r="55">
          <cell r="C55" t="str">
            <v>李玲玲</v>
          </cell>
          <cell r="D55" t="str">
            <v>女</v>
          </cell>
          <cell r="E55">
            <v>30837</v>
          </cell>
          <cell r="F55" t="str">
            <v>41022319840604554X</v>
          </cell>
        </row>
        <row r="56">
          <cell r="C56" t="str">
            <v>孙华敏</v>
          </cell>
          <cell r="D56" t="str">
            <v>女</v>
          </cell>
          <cell r="E56">
            <v>30942</v>
          </cell>
          <cell r="F56" t="str">
            <v>412721198409173420</v>
          </cell>
        </row>
        <row r="57">
          <cell r="C57" t="str">
            <v>潘艳杰</v>
          </cell>
          <cell r="D57" t="str">
            <v>女</v>
          </cell>
          <cell r="E57">
            <v>30374</v>
          </cell>
          <cell r="F57" t="str">
            <v>412721830227508</v>
          </cell>
        </row>
        <row r="58">
          <cell r="C58" t="str">
            <v>王丽艳</v>
          </cell>
          <cell r="D58" t="str">
            <v>女</v>
          </cell>
          <cell r="E58">
            <v>31112</v>
          </cell>
          <cell r="F58" t="str">
            <v>412721198503060641</v>
          </cell>
        </row>
        <row r="59">
          <cell r="C59" t="str">
            <v>高利敏</v>
          </cell>
          <cell r="D59" t="str">
            <v>女</v>
          </cell>
          <cell r="E59">
            <v>31070</v>
          </cell>
          <cell r="F59" t="str">
            <v>412721198501233844</v>
          </cell>
        </row>
        <row r="60">
          <cell r="C60" t="str">
            <v>张瑞杰</v>
          </cell>
          <cell r="D60" t="str">
            <v>女</v>
          </cell>
          <cell r="E60">
            <v>30967</v>
          </cell>
          <cell r="F60" t="str">
            <v>410223198410122085</v>
          </cell>
        </row>
        <row r="61">
          <cell r="C61" t="str">
            <v>罗招萍</v>
          </cell>
          <cell r="D61" t="str">
            <v>女</v>
          </cell>
          <cell r="E61">
            <v>31616</v>
          </cell>
          <cell r="F61" t="str">
            <v>522627198607234827</v>
          </cell>
        </row>
        <row r="62">
          <cell r="C62" t="str">
            <v>卢晓丽</v>
          </cell>
          <cell r="D62" t="str">
            <v>女</v>
          </cell>
          <cell r="E62">
            <v>31364</v>
          </cell>
          <cell r="F62" t="str">
            <v>412721198511135826</v>
          </cell>
        </row>
        <row r="63">
          <cell r="C63" t="str">
            <v>田纪红</v>
          </cell>
          <cell r="D63" t="str">
            <v>女</v>
          </cell>
          <cell r="E63">
            <v>31755</v>
          </cell>
          <cell r="F63" t="str">
            <v>412721198612093821</v>
          </cell>
        </row>
        <row r="64">
          <cell r="C64" t="str">
            <v>郭艳丽</v>
          </cell>
          <cell r="D64" t="str">
            <v>女</v>
          </cell>
          <cell r="E64">
            <v>31163</v>
          </cell>
          <cell r="F64" t="str">
            <v>412721198504265446</v>
          </cell>
        </row>
        <row r="65">
          <cell r="C65" t="str">
            <v>周金萍</v>
          </cell>
          <cell r="D65" t="str">
            <v>女</v>
          </cell>
          <cell r="E65">
            <v>29480</v>
          </cell>
          <cell r="F65" t="str">
            <v>511222800916002</v>
          </cell>
        </row>
        <row r="66">
          <cell r="C66" t="str">
            <v>梁红梅</v>
          </cell>
          <cell r="D66" t="str">
            <v>女</v>
          </cell>
          <cell r="E66">
            <v>29039</v>
          </cell>
          <cell r="F66" t="str">
            <v>450122790703454</v>
          </cell>
        </row>
        <row r="67">
          <cell r="C67" t="str">
            <v>祝必凤</v>
          </cell>
          <cell r="D67" t="str">
            <v>女</v>
          </cell>
          <cell r="E67">
            <v>30627</v>
          </cell>
          <cell r="F67" t="str">
            <v>430623198311074845</v>
          </cell>
        </row>
        <row r="68">
          <cell r="C68" t="str">
            <v>廖佩霞</v>
          </cell>
          <cell r="D68" t="str">
            <v>女</v>
          </cell>
          <cell r="E68">
            <v>28397</v>
          </cell>
          <cell r="F68" t="str">
            <v>430122770929604</v>
          </cell>
        </row>
        <row r="69">
          <cell r="C69" t="str">
            <v>刘勤</v>
          </cell>
          <cell r="D69" t="str">
            <v>女</v>
          </cell>
          <cell r="E69">
            <v>28452</v>
          </cell>
          <cell r="F69" t="str">
            <v>512926771123056</v>
          </cell>
        </row>
        <row r="70">
          <cell r="C70" t="str">
            <v>张淑萍</v>
          </cell>
          <cell r="D70" t="str">
            <v>女</v>
          </cell>
          <cell r="E70">
            <v>30185</v>
          </cell>
          <cell r="F70" t="str">
            <v>445222820622006</v>
          </cell>
        </row>
        <row r="71">
          <cell r="C71" t="str">
            <v>王博</v>
          </cell>
          <cell r="D71" t="str">
            <v>女</v>
          </cell>
          <cell r="E71">
            <v>30464</v>
          </cell>
          <cell r="F71" t="str">
            <v>421126198305282227</v>
          </cell>
        </row>
        <row r="72">
          <cell r="C72" t="str">
            <v>龚秋</v>
          </cell>
          <cell r="D72" t="str">
            <v>女</v>
          </cell>
          <cell r="E72">
            <v>31219</v>
          </cell>
          <cell r="F72" t="str">
            <v>432522198506210026</v>
          </cell>
        </row>
        <row r="73">
          <cell r="C73" t="str">
            <v>李志红</v>
          </cell>
          <cell r="D73" t="str">
            <v>女</v>
          </cell>
          <cell r="E73">
            <v>30914</v>
          </cell>
          <cell r="F73" t="str">
            <v>430923198408200023</v>
          </cell>
        </row>
        <row r="74">
          <cell r="C74" t="str">
            <v>郭亚勤</v>
          </cell>
          <cell r="D74" t="str">
            <v>女</v>
          </cell>
          <cell r="E74">
            <v>31104</v>
          </cell>
          <cell r="F74" t="str">
            <v>422129198502260529</v>
          </cell>
        </row>
        <row r="75">
          <cell r="C75" t="str">
            <v>姚超</v>
          </cell>
          <cell r="D75" t="str">
            <v>女</v>
          </cell>
          <cell r="E75">
            <v>29484</v>
          </cell>
          <cell r="F75" t="str">
            <v>420625198009206828</v>
          </cell>
        </row>
        <row r="76">
          <cell r="C76" t="str">
            <v>郑艳杰</v>
          </cell>
          <cell r="D76" t="str">
            <v>女</v>
          </cell>
          <cell r="E76">
            <v>29790</v>
          </cell>
          <cell r="F76" t="str">
            <v>412727810723802</v>
          </cell>
        </row>
        <row r="77">
          <cell r="C77" t="str">
            <v>罗兰华</v>
          </cell>
          <cell r="D77" t="str">
            <v>女</v>
          </cell>
          <cell r="E77">
            <v>30079</v>
          </cell>
          <cell r="F77" t="str">
            <v>430381820508232</v>
          </cell>
        </row>
        <row r="78">
          <cell r="C78" t="str">
            <v>姚莹莹</v>
          </cell>
          <cell r="D78" t="str">
            <v>女</v>
          </cell>
          <cell r="E78">
            <v>31413</v>
          </cell>
          <cell r="F78" t="str">
            <v>420625198601016847</v>
          </cell>
        </row>
        <row r="79">
          <cell r="C79" t="str">
            <v>张菊莲</v>
          </cell>
          <cell r="D79" t="str">
            <v>女</v>
          </cell>
          <cell r="E79">
            <v>28843</v>
          </cell>
          <cell r="F79" t="str">
            <v>360421781219102</v>
          </cell>
        </row>
        <row r="80">
          <cell r="C80" t="str">
            <v>彭银艳</v>
          </cell>
          <cell r="D80" t="str">
            <v>女</v>
          </cell>
          <cell r="E80">
            <v>31238</v>
          </cell>
          <cell r="F80" t="str">
            <v>412727198507100725</v>
          </cell>
        </row>
        <row r="81">
          <cell r="C81" t="str">
            <v>丁慧</v>
          </cell>
          <cell r="D81" t="str">
            <v>女</v>
          </cell>
          <cell r="E81">
            <v>31079</v>
          </cell>
          <cell r="F81" t="str">
            <v>36220119850201024X</v>
          </cell>
        </row>
        <row r="82">
          <cell r="C82" t="str">
            <v>莫晓芳</v>
          </cell>
          <cell r="D82" t="str">
            <v>女</v>
          </cell>
          <cell r="E82">
            <v>31451</v>
          </cell>
          <cell r="F82" t="str">
            <v>432522198602084082</v>
          </cell>
        </row>
        <row r="83">
          <cell r="C83" t="str">
            <v>彭利</v>
          </cell>
          <cell r="D83" t="str">
            <v>女</v>
          </cell>
          <cell r="E83">
            <v>30124</v>
          </cell>
          <cell r="F83" t="str">
            <v>430124820622402</v>
          </cell>
        </row>
        <row r="84">
          <cell r="C84" t="str">
            <v>危绪结</v>
          </cell>
          <cell r="D84" t="str">
            <v>男</v>
          </cell>
          <cell r="E84">
            <v>29978</v>
          </cell>
          <cell r="F84" t="str">
            <v>342921198201272318</v>
          </cell>
        </row>
        <row r="85">
          <cell r="C85" t="str">
            <v>胡宇</v>
          </cell>
          <cell r="D85" t="str">
            <v>男</v>
          </cell>
          <cell r="E85">
            <v>31079</v>
          </cell>
          <cell r="F85" t="str">
            <v>362201198502015411</v>
          </cell>
        </row>
        <row r="86">
          <cell r="C86" t="str">
            <v>彭喜</v>
          </cell>
          <cell r="D86" t="str">
            <v>女</v>
          </cell>
          <cell r="E86">
            <v>31327</v>
          </cell>
          <cell r="F86" t="str">
            <v>432522198510074581</v>
          </cell>
        </row>
        <row r="87">
          <cell r="C87" t="str">
            <v>刘成惠</v>
          </cell>
          <cell r="D87" t="str">
            <v>女</v>
          </cell>
          <cell r="E87">
            <v>30192</v>
          </cell>
          <cell r="F87" t="str">
            <v>410726820829164</v>
          </cell>
        </row>
        <row r="88">
          <cell r="C88" t="str">
            <v>付六梅</v>
          </cell>
          <cell r="D88" t="str">
            <v>女</v>
          </cell>
          <cell r="E88">
            <v>29675</v>
          </cell>
          <cell r="F88" t="str">
            <v>360502198103303628</v>
          </cell>
        </row>
        <row r="89">
          <cell r="C89" t="str">
            <v>龙娟</v>
          </cell>
          <cell r="D89" t="str">
            <v>女</v>
          </cell>
          <cell r="E89">
            <v>31718</v>
          </cell>
          <cell r="F89" t="str">
            <v>362227198611020360</v>
          </cell>
        </row>
        <row r="90">
          <cell r="C90" t="str">
            <v>彭秧</v>
          </cell>
          <cell r="D90" t="str">
            <v>女</v>
          </cell>
          <cell r="E90">
            <v>30774</v>
          </cell>
          <cell r="F90" t="str">
            <v>430681198404024322</v>
          </cell>
        </row>
        <row r="91">
          <cell r="C91" t="str">
            <v>付艳青</v>
          </cell>
          <cell r="D91" t="str">
            <v>女</v>
          </cell>
          <cell r="E91">
            <v>31693</v>
          </cell>
          <cell r="F91" t="str">
            <v>430525198610084127</v>
          </cell>
        </row>
        <row r="92">
          <cell r="C92" t="str">
            <v>阳琪</v>
          </cell>
          <cell r="D92" t="str">
            <v>女</v>
          </cell>
          <cell r="E92">
            <v>30982</v>
          </cell>
          <cell r="F92" t="str">
            <v>362227198410270320</v>
          </cell>
        </row>
        <row r="93">
          <cell r="C93" t="str">
            <v>欧冬梅</v>
          </cell>
          <cell r="D93" t="str">
            <v>女</v>
          </cell>
          <cell r="E93">
            <v>30233</v>
          </cell>
          <cell r="F93" t="str">
            <v>450122198210095022</v>
          </cell>
        </row>
        <row r="94">
          <cell r="C94" t="str">
            <v>关寿福</v>
          </cell>
          <cell r="D94" t="str">
            <v>男</v>
          </cell>
          <cell r="E94">
            <v>29026</v>
          </cell>
          <cell r="F94" t="str">
            <v>452503790620477</v>
          </cell>
        </row>
        <row r="95">
          <cell r="C95" t="str">
            <v>陈利红</v>
          </cell>
          <cell r="D95" t="str">
            <v>女</v>
          </cell>
          <cell r="E95">
            <v>29276</v>
          </cell>
          <cell r="F95" t="str">
            <v>429006800225002</v>
          </cell>
        </row>
        <row r="96">
          <cell r="C96" t="str">
            <v>丁平香</v>
          </cell>
          <cell r="D96" t="str">
            <v>女</v>
          </cell>
          <cell r="E96">
            <v>31274</v>
          </cell>
          <cell r="F96" t="str">
            <v>36222719850815036X</v>
          </cell>
        </row>
        <row r="97">
          <cell r="C97" t="str">
            <v>龙小平</v>
          </cell>
          <cell r="D97" t="str">
            <v>女</v>
          </cell>
          <cell r="E97">
            <v>30576</v>
          </cell>
          <cell r="F97" t="str">
            <v>362430830917004</v>
          </cell>
        </row>
        <row r="98">
          <cell r="C98" t="str">
            <v>杨琴</v>
          </cell>
          <cell r="D98" t="str">
            <v>女</v>
          </cell>
          <cell r="E98">
            <v>31799</v>
          </cell>
          <cell r="F98" t="str">
            <v>431229198701222644</v>
          </cell>
        </row>
        <row r="99">
          <cell r="C99" t="str">
            <v>马中玉</v>
          </cell>
          <cell r="D99" t="str">
            <v>女</v>
          </cell>
          <cell r="E99">
            <v>29950</v>
          </cell>
          <cell r="F99" t="str">
            <v>411324811230098</v>
          </cell>
        </row>
        <row r="100">
          <cell r="C100" t="str">
            <v>司马亚林</v>
          </cell>
          <cell r="D100" t="str">
            <v>女</v>
          </cell>
          <cell r="E100">
            <v>31371</v>
          </cell>
          <cell r="F100" t="str">
            <v>430521198511204984</v>
          </cell>
        </row>
        <row r="101">
          <cell r="C101" t="str">
            <v>仇立红</v>
          </cell>
          <cell r="D101" t="str">
            <v>女</v>
          </cell>
          <cell r="E101">
            <v>31035</v>
          </cell>
          <cell r="F101" t="str">
            <v>430521198412193888</v>
          </cell>
        </row>
        <row r="102">
          <cell r="C102" t="str">
            <v>胡宝峰</v>
          </cell>
          <cell r="D102" t="str">
            <v>女</v>
          </cell>
          <cell r="E102">
            <v>30536</v>
          </cell>
          <cell r="F102" t="str">
            <v>411324830808092</v>
          </cell>
        </row>
        <row r="103">
          <cell r="C103" t="str">
            <v>陈蓓</v>
          </cell>
          <cell r="D103" t="str">
            <v>女</v>
          </cell>
          <cell r="E103">
            <v>30205</v>
          </cell>
          <cell r="F103" t="str">
            <v>430911198209112121</v>
          </cell>
        </row>
        <row r="104">
          <cell r="C104" t="str">
            <v>郑显芝</v>
          </cell>
          <cell r="D104" t="str">
            <v>女</v>
          </cell>
          <cell r="E104">
            <v>28227</v>
          </cell>
          <cell r="F104" t="str">
            <v>510322770412230</v>
          </cell>
        </row>
        <row r="105">
          <cell r="C105" t="str">
            <v>孙旭旭</v>
          </cell>
          <cell r="D105" t="str">
            <v>女</v>
          </cell>
          <cell r="E105">
            <v>31394</v>
          </cell>
          <cell r="F105" t="str">
            <v>411324198512130548</v>
          </cell>
        </row>
        <row r="106">
          <cell r="C106" t="str">
            <v>袁玉娜</v>
          </cell>
          <cell r="D106" t="str">
            <v>女</v>
          </cell>
          <cell r="E106">
            <v>30430</v>
          </cell>
          <cell r="F106" t="str">
            <v>411303830424392</v>
          </cell>
        </row>
        <row r="107">
          <cell r="C107" t="str">
            <v>胡哲</v>
          </cell>
          <cell r="D107" t="str">
            <v>女</v>
          </cell>
          <cell r="E107">
            <v>31491</v>
          </cell>
          <cell r="F107" t="str">
            <v>411303198603203747</v>
          </cell>
        </row>
        <row r="108">
          <cell r="C108" t="str">
            <v>刘海娇</v>
          </cell>
          <cell r="D108" t="str">
            <v>女</v>
          </cell>
          <cell r="E108">
            <v>28934</v>
          </cell>
          <cell r="F108" t="str">
            <v>430426790320766</v>
          </cell>
        </row>
        <row r="109">
          <cell r="C109" t="str">
            <v>王子林</v>
          </cell>
          <cell r="D109" t="str">
            <v>女</v>
          </cell>
          <cell r="E109">
            <v>30326</v>
          </cell>
          <cell r="F109" t="str">
            <v>513023198301103745</v>
          </cell>
        </row>
        <row r="110">
          <cell r="C110" t="str">
            <v>边东歌</v>
          </cell>
          <cell r="D110" t="str">
            <v>女</v>
          </cell>
          <cell r="E110">
            <v>28893</v>
          </cell>
          <cell r="F110" t="str">
            <v>610421197902075028</v>
          </cell>
        </row>
        <row r="111">
          <cell r="C111" t="str">
            <v>张玲玲</v>
          </cell>
          <cell r="D111" t="str">
            <v>女</v>
          </cell>
          <cell r="E111">
            <v>30616</v>
          </cell>
          <cell r="F111" t="str">
            <v>429001198310274242</v>
          </cell>
        </row>
        <row r="112">
          <cell r="C112" t="str">
            <v>宋红焕</v>
          </cell>
          <cell r="D112" t="str">
            <v>女</v>
          </cell>
          <cell r="E112">
            <v>29518</v>
          </cell>
          <cell r="F112" t="str">
            <v>411303801024284</v>
          </cell>
        </row>
        <row r="113">
          <cell r="C113" t="str">
            <v>刘捧</v>
          </cell>
          <cell r="D113" t="str">
            <v>女</v>
          </cell>
          <cell r="E113">
            <v>28983</v>
          </cell>
          <cell r="F113" t="str">
            <v>410222197905081528</v>
          </cell>
        </row>
        <row r="114">
          <cell r="C114" t="str">
            <v>陈春平</v>
          </cell>
          <cell r="D114" t="str">
            <v>女</v>
          </cell>
          <cell r="E114">
            <v>31072</v>
          </cell>
          <cell r="F114" t="str">
            <v>360735198501251948</v>
          </cell>
        </row>
        <row r="115">
          <cell r="C115" t="str">
            <v>刘玉恋</v>
          </cell>
          <cell r="D115" t="str">
            <v>女</v>
          </cell>
          <cell r="E115">
            <v>29216</v>
          </cell>
          <cell r="F115" t="str">
            <v>452327197912272820</v>
          </cell>
        </row>
        <row r="116">
          <cell r="C116" t="str">
            <v>贾梨</v>
          </cell>
          <cell r="D116" t="str">
            <v>女</v>
          </cell>
          <cell r="E116">
            <v>30757</v>
          </cell>
          <cell r="F116" t="str">
            <v>610431198403164226</v>
          </cell>
        </row>
        <row r="117">
          <cell r="C117" t="str">
            <v>史艳香</v>
          </cell>
          <cell r="D117" t="str">
            <v>女</v>
          </cell>
          <cell r="E117">
            <v>28389</v>
          </cell>
          <cell r="F117" t="str">
            <v>362430770921202</v>
          </cell>
        </row>
        <row r="118">
          <cell r="C118" t="str">
            <v>王娜</v>
          </cell>
          <cell r="D118" t="str">
            <v>女</v>
          </cell>
          <cell r="E118">
            <v>30996</v>
          </cell>
          <cell r="F118" t="str">
            <v>411324841110582</v>
          </cell>
        </row>
        <row r="119">
          <cell r="C119" t="str">
            <v>刘燕</v>
          </cell>
          <cell r="D119" t="str">
            <v>女</v>
          </cell>
          <cell r="E119">
            <v>30882</v>
          </cell>
          <cell r="F119" t="str">
            <v>360722198407195749</v>
          </cell>
        </row>
        <row r="120">
          <cell r="C120" t="str">
            <v>白宽</v>
          </cell>
          <cell r="D120" t="str">
            <v>女</v>
          </cell>
          <cell r="E120">
            <v>30621</v>
          </cell>
          <cell r="F120" t="str">
            <v>410222831101452</v>
          </cell>
        </row>
        <row r="121">
          <cell r="C121" t="str">
            <v>王巧利</v>
          </cell>
          <cell r="D121" t="str">
            <v>女</v>
          </cell>
          <cell r="E121">
            <v>31662</v>
          </cell>
          <cell r="F121" t="str">
            <v>43252219860907408X</v>
          </cell>
        </row>
        <row r="122">
          <cell r="C122" t="str">
            <v>王晓钦</v>
          </cell>
          <cell r="D122" t="str">
            <v>女</v>
          </cell>
          <cell r="E122">
            <v>29300</v>
          </cell>
          <cell r="F122" t="str">
            <v>411324800320522</v>
          </cell>
        </row>
        <row r="123">
          <cell r="C123" t="str">
            <v>王艳</v>
          </cell>
          <cell r="D123" t="str">
            <v>女</v>
          </cell>
          <cell r="E123">
            <v>31619</v>
          </cell>
          <cell r="F123" t="str">
            <v>432522198607264066</v>
          </cell>
        </row>
        <row r="124">
          <cell r="C124" t="str">
            <v>曾松锋</v>
          </cell>
          <cell r="D124" t="str">
            <v>女</v>
          </cell>
          <cell r="E124">
            <v>31592</v>
          </cell>
          <cell r="F124" t="str">
            <v>432522198606294060</v>
          </cell>
        </row>
        <row r="125">
          <cell r="C125" t="str">
            <v>郭娜</v>
          </cell>
          <cell r="D125" t="str">
            <v>女</v>
          </cell>
          <cell r="E125">
            <v>30665</v>
          </cell>
          <cell r="F125" t="str">
            <v>411302198312155427</v>
          </cell>
        </row>
        <row r="126">
          <cell r="C126" t="str">
            <v>李景</v>
          </cell>
          <cell r="D126" t="str">
            <v>女</v>
          </cell>
          <cell r="E126">
            <v>31553</v>
          </cell>
          <cell r="F126" t="str">
            <v>430181198605210327</v>
          </cell>
        </row>
        <row r="127">
          <cell r="C127" t="str">
            <v>方妙</v>
          </cell>
          <cell r="D127" t="str">
            <v>女</v>
          </cell>
          <cell r="E127">
            <v>30792</v>
          </cell>
          <cell r="F127" t="str">
            <v>430581198404200546</v>
          </cell>
        </row>
        <row r="128">
          <cell r="C128" t="str">
            <v>刘满泉</v>
          </cell>
          <cell r="D128" t="str">
            <v>女</v>
          </cell>
          <cell r="E128">
            <v>30957</v>
          </cell>
          <cell r="F128" t="str">
            <v>432524198410024125</v>
          </cell>
        </row>
        <row r="129">
          <cell r="C129" t="str">
            <v>王娜</v>
          </cell>
          <cell r="D129" t="str">
            <v>女</v>
          </cell>
          <cell r="E129">
            <v>31770</v>
          </cell>
          <cell r="F129" t="str">
            <v>41038119861224256X</v>
          </cell>
        </row>
        <row r="130">
          <cell r="C130" t="str">
            <v>王卫卫</v>
          </cell>
          <cell r="D130" t="str">
            <v>女</v>
          </cell>
          <cell r="E130">
            <v>31295</v>
          </cell>
          <cell r="F130" t="str">
            <v>410381198509052565</v>
          </cell>
        </row>
        <row r="131">
          <cell r="C131" t="str">
            <v>王海燕</v>
          </cell>
          <cell r="D131" t="str">
            <v>女</v>
          </cell>
          <cell r="E131">
            <v>30096</v>
          </cell>
          <cell r="F131" t="str">
            <v>422129198205251343</v>
          </cell>
        </row>
        <row r="132">
          <cell r="C132" t="str">
            <v>龙少荣</v>
          </cell>
          <cell r="D132" t="str">
            <v>女</v>
          </cell>
          <cell r="E132">
            <v>31225</v>
          </cell>
          <cell r="F132" t="str">
            <v>362227198506270923</v>
          </cell>
        </row>
        <row r="133">
          <cell r="C133" t="str">
            <v>黄燕妮</v>
          </cell>
          <cell r="D133" t="str">
            <v>女</v>
          </cell>
          <cell r="E133">
            <v>29234</v>
          </cell>
          <cell r="F133" t="str">
            <v>511221800114774</v>
          </cell>
        </row>
        <row r="134">
          <cell r="C134" t="str">
            <v>韩红娟</v>
          </cell>
          <cell r="D134" t="str">
            <v>女</v>
          </cell>
          <cell r="E134">
            <v>30962</v>
          </cell>
          <cell r="F134" t="str">
            <v>410122198410074747</v>
          </cell>
        </row>
        <row r="135">
          <cell r="C135" t="str">
            <v>杨瑛</v>
          </cell>
          <cell r="D135" t="str">
            <v>男</v>
          </cell>
          <cell r="E135">
            <v>30563</v>
          </cell>
          <cell r="F135" t="str">
            <v>360302830904302</v>
          </cell>
        </row>
        <row r="136">
          <cell r="C136" t="str">
            <v>李春燕</v>
          </cell>
          <cell r="D136" t="str">
            <v>女</v>
          </cell>
          <cell r="E136">
            <v>29224</v>
          </cell>
          <cell r="F136" t="str">
            <v>432927800104154</v>
          </cell>
        </row>
        <row r="137">
          <cell r="C137" t="str">
            <v>刘向</v>
          </cell>
          <cell r="D137" t="str">
            <v>女</v>
          </cell>
          <cell r="E137">
            <v>30671</v>
          </cell>
          <cell r="F137" t="str">
            <v>511223198312216883</v>
          </cell>
        </row>
        <row r="138">
          <cell r="C138" t="str">
            <v>龙军</v>
          </cell>
          <cell r="D138" t="str">
            <v>男</v>
          </cell>
          <cell r="E138">
            <v>30826</v>
          </cell>
          <cell r="F138" t="str">
            <v>36220119840524161X</v>
          </cell>
        </row>
        <row r="139">
          <cell r="C139" t="str">
            <v>韩小宁</v>
          </cell>
          <cell r="D139" t="str">
            <v>女</v>
          </cell>
          <cell r="E139">
            <v>31481</v>
          </cell>
          <cell r="F139" t="str">
            <v>410122198603104720</v>
          </cell>
        </row>
        <row r="140">
          <cell r="C140" t="str">
            <v>焦加珍</v>
          </cell>
          <cell r="D140" t="str">
            <v>女</v>
          </cell>
          <cell r="E140">
            <v>29437</v>
          </cell>
          <cell r="F140" t="str">
            <v>420620800804674</v>
          </cell>
        </row>
        <row r="141">
          <cell r="C141" t="str">
            <v>李月丽</v>
          </cell>
          <cell r="D141" t="str">
            <v>女</v>
          </cell>
          <cell r="E141">
            <v>29183</v>
          </cell>
          <cell r="F141" t="str">
            <v>412724791124744</v>
          </cell>
        </row>
        <row r="142">
          <cell r="C142" t="str">
            <v>刘超艳</v>
          </cell>
          <cell r="D142" t="str">
            <v>女</v>
          </cell>
          <cell r="E142">
            <v>31046</v>
          </cell>
          <cell r="F142" t="str">
            <v>610124198412303929</v>
          </cell>
        </row>
        <row r="143">
          <cell r="C143" t="str">
            <v>肖满兰</v>
          </cell>
          <cell r="D143" t="str">
            <v>女</v>
          </cell>
          <cell r="E143">
            <v>30621</v>
          </cell>
          <cell r="F143" t="str">
            <v>362426198311017324</v>
          </cell>
        </row>
        <row r="144">
          <cell r="C144" t="str">
            <v>徐小恋</v>
          </cell>
          <cell r="D144" t="str">
            <v>女</v>
          </cell>
          <cell r="E144">
            <v>31004</v>
          </cell>
          <cell r="F144" t="str">
            <v>513030198411188624</v>
          </cell>
        </row>
        <row r="145">
          <cell r="C145" t="str">
            <v>段有元</v>
          </cell>
          <cell r="D145" t="str">
            <v>女</v>
          </cell>
          <cell r="E145">
            <v>29619</v>
          </cell>
          <cell r="F145" t="str">
            <v>430381810202924</v>
          </cell>
        </row>
        <row r="146">
          <cell r="C146" t="str">
            <v>舒仁容</v>
          </cell>
          <cell r="D146" t="str">
            <v>女</v>
          </cell>
          <cell r="E146">
            <v>28980</v>
          </cell>
          <cell r="F146" t="str">
            <v>513024790505982</v>
          </cell>
        </row>
        <row r="147">
          <cell r="C147" t="str">
            <v>崔玲玲</v>
          </cell>
          <cell r="D147" t="str">
            <v>女</v>
          </cell>
          <cell r="E147">
            <v>30261</v>
          </cell>
          <cell r="F147" t="str">
            <v>422801198211061222</v>
          </cell>
        </row>
        <row r="148">
          <cell r="C148" t="str">
            <v>雷凤春</v>
          </cell>
          <cell r="D148" t="str">
            <v>女</v>
          </cell>
          <cell r="E148">
            <v>29601</v>
          </cell>
          <cell r="F148" t="str">
            <v>452226810115062</v>
          </cell>
        </row>
        <row r="149">
          <cell r="C149" t="str">
            <v>张丽</v>
          </cell>
          <cell r="D149" t="str">
            <v>女</v>
          </cell>
          <cell r="E149">
            <v>30361</v>
          </cell>
          <cell r="F149" t="str">
            <v>429004198302145925</v>
          </cell>
        </row>
        <row r="150">
          <cell r="C150" t="str">
            <v>李利平</v>
          </cell>
          <cell r="D150" t="str">
            <v>女</v>
          </cell>
          <cell r="E150">
            <v>30012</v>
          </cell>
          <cell r="F150" t="str">
            <v>410222820302204</v>
          </cell>
        </row>
        <row r="151">
          <cell r="C151" t="str">
            <v>郑为贤</v>
          </cell>
          <cell r="D151" t="str">
            <v>女</v>
          </cell>
          <cell r="E151">
            <v>31589</v>
          </cell>
          <cell r="F151" t="str">
            <v>532101198606263029</v>
          </cell>
        </row>
        <row r="152">
          <cell r="C152" t="str">
            <v>蔡小明</v>
          </cell>
          <cell r="D152" t="str">
            <v>女</v>
          </cell>
          <cell r="E152">
            <v>29133</v>
          </cell>
          <cell r="F152" t="str">
            <v>421125197910050626</v>
          </cell>
        </row>
        <row r="153">
          <cell r="C153" t="str">
            <v>汪苹</v>
          </cell>
          <cell r="D153" t="str">
            <v>女</v>
          </cell>
          <cell r="E153">
            <v>31129</v>
          </cell>
          <cell r="F153" t="str">
            <v>421125198503230384</v>
          </cell>
        </row>
        <row r="154">
          <cell r="C154" t="str">
            <v>王小林</v>
          </cell>
          <cell r="D154" t="str">
            <v>女</v>
          </cell>
          <cell r="E154">
            <v>30761</v>
          </cell>
          <cell r="F154" t="str">
            <v>42112519840320332X</v>
          </cell>
        </row>
        <row r="155">
          <cell r="C155" t="str">
            <v>许美容</v>
          </cell>
          <cell r="D155" t="str">
            <v>女</v>
          </cell>
          <cell r="E155">
            <v>30226</v>
          </cell>
          <cell r="F155" t="str">
            <v>430724821002462</v>
          </cell>
        </row>
        <row r="156">
          <cell r="C156" t="str">
            <v>侯细凤</v>
          </cell>
          <cell r="D156" t="str">
            <v>女</v>
          </cell>
          <cell r="E156">
            <v>31096</v>
          </cell>
          <cell r="F156" t="str">
            <v>421125198502180346</v>
          </cell>
        </row>
        <row r="157">
          <cell r="C157" t="str">
            <v>王素勤</v>
          </cell>
          <cell r="D157" t="str">
            <v>女</v>
          </cell>
          <cell r="E157">
            <v>30006</v>
          </cell>
          <cell r="F157" t="str">
            <v>412722820224202</v>
          </cell>
        </row>
        <row r="158">
          <cell r="C158" t="str">
            <v>杨彩琴</v>
          </cell>
          <cell r="D158" t="str">
            <v>女</v>
          </cell>
          <cell r="E158">
            <v>30909</v>
          </cell>
          <cell r="F158" t="str">
            <v>42112519840815036X</v>
          </cell>
        </row>
        <row r="159">
          <cell r="C159" t="str">
            <v>张慧</v>
          </cell>
          <cell r="D159" t="str">
            <v>女</v>
          </cell>
          <cell r="E159">
            <v>31402</v>
          </cell>
          <cell r="F159" t="str">
            <v>421125198512210326</v>
          </cell>
        </row>
        <row r="160">
          <cell r="C160" t="str">
            <v>郭丹丹</v>
          </cell>
          <cell r="D160" t="str">
            <v>女</v>
          </cell>
          <cell r="E160">
            <v>31005</v>
          </cell>
          <cell r="F160" t="str">
            <v>412722198411194948</v>
          </cell>
        </row>
        <row r="161">
          <cell r="C161" t="str">
            <v>沈小兰</v>
          </cell>
          <cell r="D161" t="str">
            <v>女</v>
          </cell>
          <cell r="E161">
            <v>31315</v>
          </cell>
          <cell r="F161" t="str">
            <v>421125198509250327</v>
          </cell>
        </row>
        <row r="162">
          <cell r="C162" t="str">
            <v>徐倩</v>
          </cell>
          <cell r="D162" t="str">
            <v>女</v>
          </cell>
          <cell r="E162">
            <v>29864</v>
          </cell>
          <cell r="F162" t="str">
            <v>420802811005004</v>
          </cell>
        </row>
        <row r="163">
          <cell r="C163" t="str">
            <v>徐家朋</v>
          </cell>
          <cell r="D163" t="str">
            <v>女</v>
          </cell>
          <cell r="E163">
            <v>31385</v>
          </cell>
          <cell r="F163" t="str">
            <v>421125198512043724</v>
          </cell>
        </row>
        <row r="164">
          <cell r="C164" t="str">
            <v>彭凤娟</v>
          </cell>
          <cell r="D164" t="str">
            <v>女</v>
          </cell>
          <cell r="E164">
            <v>31569</v>
          </cell>
          <cell r="F164" t="str">
            <v>412721198606061882</v>
          </cell>
        </row>
        <row r="165">
          <cell r="C165" t="str">
            <v>何小丽</v>
          </cell>
          <cell r="D165" t="str">
            <v>女</v>
          </cell>
          <cell r="E165">
            <v>29914</v>
          </cell>
          <cell r="F165" t="str">
            <v>360502811124362</v>
          </cell>
        </row>
        <row r="166">
          <cell r="C166" t="str">
            <v>陈宝玲</v>
          </cell>
          <cell r="D166" t="str">
            <v>女</v>
          </cell>
          <cell r="E166">
            <v>29352</v>
          </cell>
          <cell r="F166" t="str">
            <v>410223198005111526</v>
          </cell>
        </row>
        <row r="167">
          <cell r="C167" t="str">
            <v>李珍</v>
          </cell>
          <cell r="D167" t="str">
            <v>女</v>
          </cell>
          <cell r="E167">
            <v>29606</v>
          </cell>
          <cell r="F167" t="str">
            <v>421125198101207624</v>
          </cell>
        </row>
        <row r="168">
          <cell r="C168" t="str">
            <v>东小霞</v>
          </cell>
          <cell r="D168" t="str">
            <v>女</v>
          </cell>
          <cell r="E168">
            <v>29904</v>
          </cell>
          <cell r="F168" t="str">
            <v>422127811114032</v>
          </cell>
        </row>
        <row r="169">
          <cell r="C169" t="str">
            <v>闵静</v>
          </cell>
          <cell r="D169" t="str">
            <v>女</v>
          </cell>
          <cell r="E169">
            <v>31319</v>
          </cell>
          <cell r="F169" t="str">
            <v>42112519850929272X</v>
          </cell>
        </row>
        <row r="170">
          <cell r="C170" t="str">
            <v>要盼盼</v>
          </cell>
          <cell r="D170" t="str">
            <v>女</v>
          </cell>
          <cell r="E170">
            <v>31157</v>
          </cell>
          <cell r="F170" t="str">
            <v>410223198504205025</v>
          </cell>
        </row>
        <row r="171">
          <cell r="C171" t="str">
            <v>潘兰兰</v>
          </cell>
          <cell r="D171" t="str">
            <v>女</v>
          </cell>
          <cell r="E171">
            <v>31398</v>
          </cell>
          <cell r="F171" t="str">
            <v>421125198512170344</v>
          </cell>
        </row>
        <row r="172">
          <cell r="C172" t="str">
            <v>郭慧丽</v>
          </cell>
          <cell r="D172" t="str">
            <v>女</v>
          </cell>
          <cell r="E172">
            <v>30179</v>
          </cell>
          <cell r="F172" t="str">
            <v>41272219820816492X</v>
          </cell>
        </row>
        <row r="173">
          <cell r="C173" t="str">
            <v>刘小玲</v>
          </cell>
          <cell r="D173" t="str">
            <v>女</v>
          </cell>
          <cell r="E173">
            <v>31141</v>
          </cell>
          <cell r="F173" t="str">
            <v>412722198504044922</v>
          </cell>
        </row>
        <row r="174">
          <cell r="C174" t="str">
            <v>钟武英</v>
          </cell>
          <cell r="D174" t="str">
            <v>女</v>
          </cell>
          <cell r="E174">
            <v>29348</v>
          </cell>
          <cell r="F174" t="str">
            <v>511322198005071783</v>
          </cell>
        </row>
        <row r="175">
          <cell r="C175" t="str">
            <v>蔚华玲</v>
          </cell>
          <cell r="D175" t="str">
            <v>女</v>
          </cell>
          <cell r="E175">
            <v>31301</v>
          </cell>
          <cell r="F175" t="str">
            <v>412722198509114926</v>
          </cell>
        </row>
        <row r="176">
          <cell r="C176" t="str">
            <v>马艳</v>
          </cell>
          <cell r="D176" t="str">
            <v>女</v>
          </cell>
          <cell r="E176">
            <v>30512</v>
          </cell>
          <cell r="F176" t="str">
            <v>41272219830715492X</v>
          </cell>
        </row>
        <row r="177">
          <cell r="C177" t="str">
            <v>刘彩云</v>
          </cell>
          <cell r="D177" t="str">
            <v>女</v>
          </cell>
          <cell r="E177">
            <v>31726</v>
          </cell>
          <cell r="F177" t="str">
            <v>41272219861110496X</v>
          </cell>
        </row>
        <row r="178">
          <cell r="C178" t="str">
            <v>周平</v>
          </cell>
          <cell r="D178" t="str">
            <v>女</v>
          </cell>
          <cell r="E178">
            <v>30490</v>
          </cell>
          <cell r="F178" t="str">
            <v>411302830622572</v>
          </cell>
        </row>
        <row r="179">
          <cell r="C179" t="str">
            <v>常海燕</v>
          </cell>
          <cell r="D179" t="str">
            <v>女</v>
          </cell>
          <cell r="E179">
            <v>29760</v>
          </cell>
          <cell r="F179" t="str">
            <v>411327810623312</v>
          </cell>
        </row>
        <row r="180">
          <cell r="C180" t="str">
            <v>张裕</v>
          </cell>
          <cell r="D180" t="str">
            <v>女</v>
          </cell>
          <cell r="E180">
            <v>30782</v>
          </cell>
          <cell r="F180" t="str">
            <v>421125198404104024</v>
          </cell>
        </row>
        <row r="181">
          <cell r="C181" t="str">
            <v>赖门玲</v>
          </cell>
          <cell r="D181" t="str">
            <v>女</v>
          </cell>
          <cell r="E181">
            <v>30196</v>
          </cell>
          <cell r="F181" t="str">
            <v>513029820902314</v>
          </cell>
        </row>
        <row r="182">
          <cell r="C182" t="str">
            <v xml:space="preserve"> 何倩</v>
          </cell>
          <cell r="D182" t="str">
            <v>女</v>
          </cell>
          <cell r="E182">
            <v>31116</v>
          </cell>
          <cell r="F182" t="str">
            <v>430722198503103689</v>
          </cell>
        </row>
        <row r="183">
          <cell r="C183" t="str">
            <v xml:space="preserve"> 何敏</v>
          </cell>
          <cell r="D183" t="str">
            <v>女</v>
          </cell>
          <cell r="E183">
            <v>30883</v>
          </cell>
          <cell r="F183" t="str">
            <v>522121198407203246</v>
          </cell>
        </row>
        <row r="184">
          <cell r="C184" t="str">
            <v>王新艳</v>
          </cell>
          <cell r="D184" t="str">
            <v>女</v>
          </cell>
          <cell r="E184">
            <v>31087</v>
          </cell>
          <cell r="F184" t="str">
            <v>610403198502092023</v>
          </cell>
        </row>
        <row r="185">
          <cell r="C185" t="str">
            <v>董小燕</v>
          </cell>
          <cell r="D185" t="str">
            <v>女</v>
          </cell>
          <cell r="E185">
            <v>31423</v>
          </cell>
          <cell r="F185" t="str">
            <v>340822198601110747</v>
          </cell>
        </row>
        <row r="186">
          <cell r="C186" t="str">
            <v>李芳</v>
          </cell>
          <cell r="D186" t="str">
            <v>女</v>
          </cell>
          <cell r="E186">
            <v>30144</v>
          </cell>
          <cell r="F186" t="str">
            <v>410203820712154</v>
          </cell>
        </row>
        <row r="187">
          <cell r="C187" t="str">
            <v>黄珊</v>
          </cell>
          <cell r="D187" t="str">
            <v>女</v>
          </cell>
          <cell r="E187">
            <v>31257</v>
          </cell>
          <cell r="F187" t="str">
            <v>420621198507298643</v>
          </cell>
        </row>
        <row r="188">
          <cell r="C188" t="str">
            <v>杨金凤</v>
          </cell>
          <cell r="D188" t="str">
            <v>女</v>
          </cell>
          <cell r="E188">
            <v>31367</v>
          </cell>
          <cell r="F188" t="str">
            <v>42112619851116474X</v>
          </cell>
        </row>
        <row r="189">
          <cell r="C189" t="str">
            <v>师小丹</v>
          </cell>
          <cell r="D189" t="str">
            <v>女</v>
          </cell>
          <cell r="E189">
            <v>31746</v>
          </cell>
          <cell r="F189" t="str">
            <v>410223198611308089</v>
          </cell>
        </row>
        <row r="190">
          <cell r="C190" t="str">
            <v>吉梅丽</v>
          </cell>
          <cell r="D190" t="str">
            <v>女</v>
          </cell>
          <cell r="E190">
            <v>30972</v>
          </cell>
          <cell r="F190" t="str">
            <v>420684198410171529</v>
          </cell>
        </row>
        <row r="191">
          <cell r="C191" t="str">
            <v>刘秀芳</v>
          </cell>
          <cell r="D191" t="str">
            <v>女</v>
          </cell>
          <cell r="E191">
            <v>31550</v>
          </cell>
          <cell r="F191" t="str">
            <v>410223198605180525</v>
          </cell>
        </row>
        <row r="192">
          <cell r="C192" t="str">
            <v>肖伟玲</v>
          </cell>
          <cell r="D192" t="str">
            <v>女</v>
          </cell>
          <cell r="E192">
            <v>31739</v>
          </cell>
          <cell r="F192" t="str">
            <v>410223198611238069</v>
          </cell>
        </row>
        <row r="193">
          <cell r="C193" t="str">
            <v>路丹</v>
          </cell>
          <cell r="D193" t="str">
            <v>女</v>
          </cell>
          <cell r="E193">
            <v>31322</v>
          </cell>
          <cell r="F193" t="str">
            <v>41022319851002006X</v>
          </cell>
        </row>
        <row r="194">
          <cell r="C194" t="str">
            <v>杨萍</v>
          </cell>
          <cell r="D194" t="str">
            <v>女</v>
          </cell>
          <cell r="E194">
            <v>31639</v>
          </cell>
          <cell r="F194" t="str">
            <v>340822198608150725</v>
          </cell>
        </row>
        <row r="195">
          <cell r="C195" t="str">
            <v>李艳</v>
          </cell>
          <cell r="D195" t="str">
            <v>女</v>
          </cell>
          <cell r="E195">
            <v>31649</v>
          </cell>
          <cell r="F195" t="str">
            <v>342923198608251220</v>
          </cell>
        </row>
        <row r="196">
          <cell r="C196" t="str">
            <v>陆加凤</v>
          </cell>
          <cell r="D196" t="str">
            <v>女</v>
          </cell>
          <cell r="E196">
            <v>31024</v>
          </cell>
          <cell r="F196" t="str">
            <v>430722198412082288</v>
          </cell>
        </row>
        <row r="197">
          <cell r="C197" t="str">
            <v>刘巧荣</v>
          </cell>
          <cell r="D197" t="str">
            <v>女</v>
          </cell>
          <cell r="E197">
            <v>29827</v>
          </cell>
          <cell r="F197" t="str">
            <v>410122810829472</v>
          </cell>
        </row>
        <row r="198">
          <cell r="C198" t="str">
            <v>杨艳霞</v>
          </cell>
          <cell r="D198" t="str">
            <v>女</v>
          </cell>
          <cell r="E198">
            <v>31590</v>
          </cell>
          <cell r="F198" t="str">
            <v>420621198606278920</v>
          </cell>
        </row>
        <row r="199">
          <cell r="C199" t="str">
            <v>王姣</v>
          </cell>
          <cell r="D199" t="str">
            <v>女</v>
          </cell>
          <cell r="E199">
            <v>31588</v>
          </cell>
          <cell r="F199" t="str">
            <v>420621198606258641</v>
          </cell>
        </row>
        <row r="200">
          <cell r="C200" t="str">
            <v>马小叶</v>
          </cell>
          <cell r="D200" t="str">
            <v>女</v>
          </cell>
          <cell r="E200">
            <v>30048</v>
          </cell>
          <cell r="F200" t="str">
            <v>410223820407052</v>
          </cell>
        </row>
        <row r="201">
          <cell r="C201" t="str">
            <v>史小珍</v>
          </cell>
          <cell r="D201" t="str">
            <v>女</v>
          </cell>
          <cell r="E201">
            <v>31486</v>
          </cell>
          <cell r="F201" t="str">
            <v>410223198603150541</v>
          </cell>
        </row>
        <row r="202">
          <cell r="C202" t="str">
            <v>孟洁</v>
          </cell>
          <cell r="D202" t="str">
            <v>女</v>
          </cell>
          <cell r="E202">
            <v>30759</v>
          </cell>
          <cell r="F202" t="str">
            <v>410122198403184729</v>
          </cell>
        </row>
        <row r="203">
          <cell r="C203" t="str">
            <v>师会霞</v>
          </cell>
          <cell r="D203" t="str">
            <v>女</v>
          </cell>
          <cell r="E203">
            <v>30405</v>
          </cell>
          <cell r="F203" t="str">
            <v>410223198303308028</v>
          </cell>
        </row>
        <row r="204">
          <cell r="C204" t="str">
            <v>曹静</v>
          </cell>
          <cell r="D204" t="str">
            <v>女</v>
          </cell>
          <cell r="E204">
            <v>30218</v>
          </cell>
          <cell r="F204" t="str">
            <v>420621198209248621</v>
          </cell>
        </row>
        <row r="205">
          <cell r="C205" t="str">
            <v>卢金兰</v>
          </cell>
          <cell r="D205" t="str">
            <v>女</v>
          </cell>
          <cell r="E205">
            <v>30618</v>
          </cell>
          <cell r="F205" t="str">
            <v>42062119831029864X</v>
          </cell>
        </row>
        <row r="206">
          <cell r="C206" t="str">
            <v>段文向</v>
          </cell>
          <cell r="D206" t="str">
            <v>女</v>
          </cell>
          <cell r="E206">
            <v>29080</v>
          </cell>
          <cell r="F206" t="str">
            <v>412921790813362</v>
          </cell>
        </row>
        <row r="207">
          <cell r="C207" t="str">
            <v>张利</v>
          </cell>
          <cell r="D207" t="str">
            <v>女</v>
          </cell>
          <cell r="E207">
            <v>30374</v>
          </cell>
          <cell r="F207" t="str">
            <v>410223198302276060</v>
          </cell>
        </row>
        <row r="208">
          <cell r="C208" t="str">
            <v>陈国云</v>
          </cell>
          <cell r="D208" t="str">
            <v>女</v>
          </cell>
          <cell r="E208">
            <v>30778</v>
          </cell>
          <cell r="F208" t="str">
            <v>420621198404068968</v>
          </cell>
        </row>
        <row r="209">
          <cell r="C209" t="str">
            <v>王秋菊</v>
          </cell>
          <cell r="D209" t="str">
            <v>女</v>
          </cell>
          <cell r="E209">
            <v>31638</v>
          </cell>
          <cell r="F209" t="str">
            <v>411326198608143629</v>
          </cell>
        </row>
        <row r="210">
          <cell r="C210" t="str">
            <v>黄杰</v>
          </cell>
          <cell r="D210" t="str">
            <v>女</v>
          </cell>
          <cell r="E210">
            <v>30552</v>
          </cell>
          <cell r="F210" t="str">
            <v>420623198308241524</v>
          </cell>
        </row>
        <row r="211">
          <cell r="C211" t="str">
            <v>张治华</v>
          </cell>
          <cell r="D211" t="str">
            <v>女</v>
          </cell>
          <cell r="E211">
            <v>31424</v>
          </cell>
          <cell r="F211" t="str">
            <v>410223198601126046</v>
          </cell>
        </row>
        <row r="212">
          <cell r="C212" t="str">
            <v>彭霞</v>
          </cell>
          <cell r="D212" t="str">
            <v>女</v>
          </cell>
          <cell r="E212">
            <v>29998</v>
          </cell>
          <cell r="F212" t="str">
            <v>430511820216752</v>
          </cell>
        </row>
        <row r="213">
          <cell r="C213" t="str">
            <v>易香燕</v>
          </cell>
          <cell r="D213" t="str">
            <v>女</v>
          </cell>
          <cell r="E213">
            <v>31072</v>
          </cell>
          <cell r="F213" t="str">
            <v>42068419850125504X</v>
          </cell>
        </row>
        <row r="214">
          <cell r="C214" t="str">
            <v>王春燕</v>
          </cell>
          <cell r="D214" t="str">
            <v>女</v>
          </cell>
          <cell r="E214">
            <v>31239</v>
          </cell>
          <cell r="F214" t="str">
            <v>420621198507118622</v>
          </cell>
        </row>
        <row r="215">
          <cell r="C215" t="str">
            <v>肖艳平</v>
          </cell>
          <cell r="D215" t="str">
            <v>女</v>
          </cell>
          <cell r="E215">
            <v>31211</v>
          </cell>
          <cell r="F215" t="str">
            <v>420621198506138920</v>
          </cell>
        </row>
        <row r="216">
          <cell r="C216" t="str">
            <v>赵永霞</v>
          </cell>
          <cell r="D216" t="str">
            <v>女</v>
          </cell>
          <cell r="E216">
            <v>30754</v>
          </cell>
          <cell r="F216" t="str">
            <v>410223198403136024</v>
          </cell>
        </row>
        <row r="217">
          <cell r="C217" t="str">
            <v>张艳丽</v>
          </cell>
          <cell r="D217" t="str">
            <v>女</v>
          </cell>
          <cell r="E217">
            <v>30871</v>
          </cell>
          <cell r="F217" t="str">
            <v>410223198407086044</v>
          </cell>
        </row>
        <row r="218">
          <cell r="C218" t="str">
            <v>张敏</v>
          </cell>
          <cell r="D218" t="str">
            <v>女</v>
          </cell>
          <cell r="E218">
            <v>31070</v>
          </cell>
          <cell r="F218" t="str">
            <v>410224198501230766</v>
          </cell>
        </row>
        <row r="219">
          <cell r="C219" t="str">
            <v>王舒婷</v>
          </cell>
          <cell r="D219" t="str">
            <v>女</v>
          </cell>
          <cell r="E219">
            <v>30435</v>
          </cell>
          <cell r="F219" t="str">
            <v>362233198304291627</v>
          </cell>
        </row>
        <row r="220">
          <cell r="C220" t="str">
            <v>刘小瑞</v>
          </cell>
          <cell r="D220" t="str">
            <v>女</v>
          </cell>
          <cell r="E220">
            <v>31495</v>
          </cell>
          <cell r="F220" t="str">
            <v>410223198603240520</v>
          </cell>
        </row>
        <row r="221">
          <cell r="C221" t="str">
            <v>何仙仙</v>
          </cell>
          <cell r="D221" t="str">
            <v>女</v>
          </cell>
          <cell r="E221">
            <v>31598</v>
          </cell>
          <cell r="F221" t="str">
            <v>420621198607058647</v>
          </cell>
        </row>
        <row r="222">
          <cell r="C222" t="str">
            <v>刘海霞</v>
          </cell>
          <cell r="D222" t="str">
            <v>女</v>
          </cell>
          <cell r="E222">
            <v>29849</v>
          </cell>
          <cell r="F222" t="str">
            <v>412721810920424</v>
          </cell>
        </row>
        <row r="223">
          <cell r="C223" t="str">
            <v>曾凡娇</v>
          </cell>
          <cell r="D223" t="str">
            <v>女</v>
          </cell>
          <cell r="E223">
            <v>31359</v>
          </cell>
          <cell r="F223" t="str">
            <v>420621198511088665</v>
          </cell>
        </row>
        <row r="224">
          <cell r="C224" t="str">
            <v xml:space="preserve">孙小娜 </v>
          </cell>
          <cell r="D224" t="str">
            <v>女</v>
          </cell>
          <cell r="E224">
            <v>31087</v>
          </cell>
          <cell r="F224" t="str">
            <v>410223198502091060</v>
          </cell>
        </row>
        <row r="225">
          <cell r="C225" t="str">
            <v>任玉娇</v>
          </cell>
          <cell r="D225" t="str">
            <v>女</v>
          </cell>
          <cell r="E225">
            <v>31683</v>
          </cell>
          <cell r="F225" t="str">
            <v>420621198609288665</v>
          </cell>
        </row>
        <row r="226">
          <cell r="C226" t="str">
            <v>师改平</v>
          </cell>
          <cell r="D226" t="str">
            <v>女</v>
          </cell>
          <cell r="E226">
            <v>31245</v>
          </cell>
          <cell r="F226" t="str">
            <v>410223198507178026</v>
          </cell>
        </row>
        <row r="227">
          <cell r="C227" t="str">
            <v>刘小霞</v>
          </cell>
          <cell r="D227" t="str">
            <v>女</v>
          </cell>
          <cell r="E227">
            <v>30814</v>
          </cell>
          <cell r="F227" t="str">
            <v>41012219840512472X</v>
          </cell>
        </row>
        <row r="228">
          <cell r="C228" t="str">
            <v>梁盈</v>
          </cell>
          <cell r="D228" t="str">
            <v>女</v>
          </cell>
          <cell r="E228">
            <v>31637</v>
          </cell>
          <cell r="F228" t="str">
            <v>420621198608138665</v>
          </cell>
        </row>
        <row r="229">
          <cell r="C229" t="str">
            <v>徐征</v>
          </cell>
          <cell r="D229" t="str">
            <v>女</v>
          </cell>
          <cell r="E229">
            <v>31433</v>
          </cell>
          <cell r="F229" t="str">
            <v>420621198601218646</v>
          </cell>
        </row>
        <row r="230">
          <cell r="C230" t="str">
            <v>尹娥</v>
          </cell>
          <cell r="D230" t="str">
            <v>女</v>
          </cell>
          <cell r="E230">
            <v>30401</v>
          </cell>
          <cell r="F230" t="str">
            <v>420621198303268645</v>
          </cell>
        </row>
        <row r="231">
          <cell r="C231" t="str">
            <v>李娟</v>
          </cell>
          <cell r="D231" t="str">
            <v>女</v>
          </cell>
          <cell r="E231">
            <v>31438</v>
          </cell>
          <cell r="F231" t="str">
            <v>612324198601264028</v>
          </cell>
        </row>
        <row r="232">
          <cell r="C232" t="str">
            <v>杨云霞</v>
          </cell>
          <cell r="D232" t="str">
            <v>女</v>
          </cell>
          <cell r="E232">
            <v>29986</v>
          </cell>
          <cell r="F232" t="str">
            <v>41102419820204324X</v>
          </cell>
        </row>
        <row r="233">
          <cell r="C233" t="str">
            <v>祁艳霞</v>
          </cell>
          <cell r="D233" t="str">
            <v>女</v>
          </cell>
          <cell r="E233">
            <v>30365</v>
          </cell>
          <cell r="F233" t="str">
            <v>412722830910492</v>
          </cell>
        </row>
        <row r="234">
          <cell r="C234" t="str">
            <v>张新华</v>
          </cell>
          <cell r="D234" t="str">
            <v>女</v>
          </cell>
          <cell r="E234">
            <v>27479</v>
          </cell>
          <cell r="F234" t="str">
            <v>341022750326432</v>
          </cell>
        </row>
        <row r="235">
          <cell r="C235" t="str">
            <v>郑爱琴</v>
          </cell>
          <cell r="D235" t="str">
            <v>女</v>
          </cell>
          <cell r="E235">
            <v>30012</v>
          </cell>
          <cell r="F235" t="str">
            <v>410503820302104</v>
          </cell>
        </row>
        <row r="236">
          <cell r="C236" t="str">
            <v>黄利琴</v>
          </cell>
          <cell r="D236" t="str">
            <v>女</v>
          </cell>
          <cell r="E236">
            <v>30398</v>
          </cell>
          <cell r="F236" t="str">
            <v>430181198303237428</v>
          </cell>
        </row>
        <row r="237">
          <cell r="C237" t="str">
            <v>耿慧娜</v>
          </cell>
          <cell r="D237" t="str">
            <v>女</v>
          </cell>
          <cell r="E237">
            <v>29445</v>
          </cell>
          <cell r="F237" t="str">
            <v>411024198008123289</v>
          </cell>
        </row>
        <row r="238">
          <cell r="C238" t="str">
            <v>田华</v>
          </cell>
          <cell r="D238" t="str">
            <v>女</v>
          </cell>
          <cell r="E238">
            <v>29857</v>
          </cell>
          <cell r="F238" t="str">
            <v>420623198109281523</v>
          </cell>
        </row>
        <row r="239">
          <cell r="C239" t="str">
            <v>李云霞</v>
          </cell>
          <cell r="D239" t="str">
            <v>男</v>
          </cell>
          <cell r="E239">
            <v>28299</v>
          </cell>
          <cell r="F239" t="str">
            <v>430602770623051</v>
          </cell>
        </row>
        <row r="240">
          <cell r="C240" t="str">
            <v>蒋维</v>
          </cell>
          <cell r="D240" t="str">
            <v>女</v>
          </cell>
          <cell r="E240">
            <v>30945</v>
          </cell>
          <cell r="F240" t="str">
            <v>450325198409201304</v>
          </cell>
        </row>
        <row r="241">
          <cell r="C241" t="str">
            <v>马丽霞</v>
          </cell>
          <cell r="D241" t="str">
            <v>女</v>
          </cell>
          <cell r="E241">
            <v>30818</v>
          </cell>
          <cell r="F241" t="str">
            <v>61232419840516402X</v>
          </cell>
        </row>
        <row r="242">
          <cell r="C242" t="str">
            <v>何卫华</v>
          </cell>
          <cell r="D242" t="str">
            <v>男</v>
          </cell>
          <cell r="E242">
            <v>28396</v>
          </cell>
          <cell r="F242" t="str">
            <v>430602770928151</v>
          </cell>
        </row>
        <row r="243">
          <cell r="C243" t="str">
            <v>崔淑娟</v>
          </cell>
          <cell r="D243" t="str">
            <v>女</v>
          </cell>
          <cell r="E243">
            <v>30056</v>
          </cell>
          <cell r="F243" t="str">
            <v>411024820415322</v>
          </cell>
        </row>
        <row r="244">
          <cell r="C244" t="str">
            <v>张艳芳</v>
          </cell>
          <cell r="D244" t="str">
            <v>女</v>
          </cell>
          <cell r="E244">
            <v>31168</v>
          </cell>
          <cell r="F244" t="str">
            <v>411024198505012547</v>
          </cell>
        </row>
        <row r="245">
          <cell r="C245" t="str">
            <v>陈永霞</v>
          </cell>
          <cell r="D245" t="str">
            <v>女</v>
          </cell>
          <cell r="E245">
            <v>29531</v>
          </cell>
          <cell r="F245" t="str">
            <v>411102198011060060</v>
          </cell>
        </row>
        <row r="246">
          <cell r="C246" t="str">
            <v>牛瑞瑞</v>
          </cell>
          <cell r="D246" t="str">
            <v>女</v>
          </cell>
          <cell r="E246">
            <v>30170</v>
          </cell>
          <cell r="F246" t="str">
            <v>410224198208071620</v>
          </cell>
        </row>
        <row r="247">
          <cell r="C247" t="str">
            <v>蒋连香</v>
          </cell>
          <cell r="D247" t="str">
            <v>女</v>
          </cell>
          <cell r="E247">
            <v>31174</v>
          </cell>
          <cell r="F247" t="str">
            <v>450325198505070324</v>
          </cell>
        </row>
        <row r="248">
          <cell r="C248" t="str">
            <v>唐妮琼</v>
          </cell>
          <cell r="D248" t="str">
            <v>女</v>
          </cell>
          <cell r="E248">
            <v>30067</v>
          </cell>
          <cell r="F248" t="str">
            <v>452324820426124</v>
          </cell>
        </row>
        <row r="249">
          <cell r="C249" t="str">
            <v>谢闫</v>
          </cell>
          <cell r="D249" t="str">
            <v>女</v>
          </cell>
          <cell r="E249">
            <v>31215</v>
          </cell>
          <cell r="F249" t="str">
            <v>421125198506176125</v>
          </cell>
        </row>
        <row r="250">
          <cell r="C250" t="str">
            <v>牛琳利</v>
          </cell>
          <cell r="D250" t="str">
            <v>女</v>
          </cell>
          <cell r="E250">
            <v>28693</v>
          </cell>
          <cell r="F250" t="str">
            <v>410224780722162</v>
          </cell>
        </row>
        <row r="251">
          <cell r="C251" t="str">
            <v>武艳</v>
          </cell>
          <cell r="D251" t="str">
            <v>女</v>
          </cell>
          <cell r="E251">
            <v>30855</v>
          </cell>
          <cell r="F251" t="str">
            <v>412722198406223548</v>
          </cell>
        </row>
        <row r="252">
          <cell r="C252" t="str">
            <v>武锦锦</v>
          </cell>
          <cell r="D252" t="str">
            <v>女</v>
          </cell>
          <cell r="E252">
            <v>30516</v>
          </cell>
          <cell r="F252" t="str">
            <v>412722830719352</v>
          </cell>
        </row>
        <row r="253">
          <cell r="C253" t="str">
            <v>牛兰芳</v>
          </cell>
          <cell r="D253" t="str">
            <v>女</v>
          </cell>
          <cell r="E253">
            <v>29531</v>
          </cell>
          <cell r="F253" t="str">
            <v>411024801106254</v>
          </cell>
        </row>
        <row r="254">
          <cell r="C254" t="str">
            <v>聂小红</v>
          </cell>
          <cell r="D254" t="str">
            <v>女</v>
          </cell>
          <cell r="E254">
            <v>31662</v>
          </cell>
          <cell r="F254" t="str">
            <v>362424198609076420</v>
          </cell>
        </row>
        <row r="255">
          <cell r="C255" t="str">
            <v>卓毓琴</v>
          </cell>
          <cell r="D255" t="str">
            <v>女</v>
          </cell>
          <cell r="E255">
            <v>29423</v>
          </cell>
          <cell r="F255" t="str">
            <v>362103800721002</v>
          </cell>
        </row>
        <row r="256">
          <cell r="C256" t="str">
            <v>孙彦红</v>
          </cell>
          <cell r="D256" t="str">
            <v>女</v>
          </cell>
          <cell r="E256">
            <v>31672</v>
          </cell>
          <cell r="F256" t="str">
            <v>412722198609171549</v>
          </cell>
        </row>
        <row r="257">
          <cell r="C257" t="str">
            <v>蔡昭晶</v>
          </cell>
          <cell r="D257" t="str">
            <v>女</v>
          </cell>
          <cell r="E257">
            <v>31248</v>
          </cell>
          <cell r="F257" t="str">
            <v>460200198507201403</v>
          </cell>
        </row>
        <row r="258">
          <cell r="C258" t="str">
            <v>王小莉</v>
          </cell>
          <cell r="D258" t="str">
            <v>女</v>
          </cell>
          <cell r="E258">
            <v>31532</v>
          </cell>
          <cell r="F258" t="str">
            <v>411024198604303227</v>
          </cell>
        </row>
        <row r="259">
          <cell r="C259" t="str">
            <v>李娟</v>
          </cell>
          <cell r="D259" t="str">
            <v>女</v>
          </cell>
          <cell r="E259">
            <v>31438</v>
          </cell>
          <cell r="F259" t="str">
            <v>612324198601264028</v>
          </cell>
        </row>
        <row r="260">
          <cell r="C260" t="str">
            <v>胡华勇</v>
          </cell>
          <cell r="D260" t="str">
            <v>男</v>
          </cell>
          <cell r="E260">
            <v>29114</v>
          </cell>
          <cell r="F260" t="str">
            <v>430602197909161015</v>
          </cell>
        </row>
        <row r="261">
          <cell r="C261" t="str">
            <v>滕娅敏</v>
          </cell>
          <cell r="D261" t="str">
            <v>女</v>
          </cell>
          <cell r="E261">
            <v>30209</v>
          </cell>
          <cell r="F261" t="str">
            <v>411024820915260</v>
          </cell>
        </row>
        <row r="262">
          <cell r="C262" t="str">
            <v>李艳芳</v>
          </cell>
          <cell r="D262" t="str">
            <v>女</v>
          </cell>
          <cell r="E262">
            <v>29922</v>
          </cell>
          <cell r="F262" t="str">
            <v>412722198112021545</v>
          </cell>
        </row>
        <row r="263">
          <cell r="C263" t="str">
            <v>曾苏远</v>
          </cell>
          <cell r="D263" t="str">
            <v>男</v>
          </cell>
          <cell r="E263">
            <v>31372</v>
          </cell>
          <cell r="F263" t="str">
            <v>441621198511215315</v>
          </cell>
        </row>
        <row r="264">
          <cell r="C264" t="str">
            <v>刘培</v>
          </cell>
          <cell r="D264" t="str">
            <v>女</v>
          </cell>
          <cell r="E264">
            <v>30696</v>
          </cell>
          <cell r="F264" t="str">
            <v>411024198401152529</v>
          </cell>
        </row>
        <row r="265">
          <cell r="C265" t="str">
            <v>刘侃</v>
          </cell>
          <cell r="D265" t="str">
            <v>男</v>
          </cell>
          <cell r="E265">
            <v>31481</v>
          </cell>
          <cell r="F265" t="str">
            <v>430681198603109337</v>
          </cell>
        </row>
        <row r="266">
          <cell r="C266" t="str">
            <v>蒋润秀</v>
          </cell>
          <cell r="D266" t="str">
            <v>女</v>
          </cell>
          <cell r="E266">
            <v>30980</v>
          </cell>
          <cell r="F266" t="str">
            <v>450325198410250402</v>
          </cell>
        </row>
        <row r="267">
          <cell r="C267" t="str">
            <v>易芳</v>
          </cell>
          <cell r="D267" t="str">
            <v>女</v>
          </cell>
          <cell r="E267">
            <v>30615</v>
          </cell>
          <cell r="F267" t="str">
            <v>430681198310269345</v>
          </cell>
        </row>
        <row r="268">
          <cell r="C268" t="str">
            <v>董辛欣</v>
          </cell>
          <cell r="D268" t="str">
            <v>女</v>
          </cell>
          <cell r="E268">
            <v>30717</v>
          </cell>
          <cell r="F268" t="str">
            <v>411303840205452</v>
          </cell>
        </row>
        <row r="269">
          <cell r="C269" t="str">
            <v>李香丽</v>
          </cell>
          <cell r="D269" t="str">
            <v>女</v>
          </cell>
          <cell r="E269">
            <v>31369</v>
          </cell>
          <cell r="F269" t="str">
            <v>411302198511181329</v>
          </cell>
        </row>
        <row r="270">
          <cell r="C270" t="str">
            <v>马兵</v>
          </cell>
          <cell r="D270" t="str">
            <v>女</v>
          </cell>
          <cell r="E270">
            <v>30901</v>
          </cell>
          <cell r="F270" t="str">
            <v>411324840807582</v>
          </cell>
        </row>
        <row r="271">
          <cell r="C271" t="str">
            <v>尚妍</v>
          </cell>
          <cell r="D271" t="str">
            <v>女</v>
          </cell>
          <cell r="E271">
            <v>30083</v>
          </cell>
          <cell r="F271" t="str">
            <v>411324820512112</v>
          </cell>
        </row>
        <row r="272">
          <cell r="C272" t="str">
            <v>陈波</v>
          </cell>
          <cell r="D272" t="str">
            <v>女</v>
          </cell>
          <cell r="E272">
            <v>28670</v>
          </cell>
          <cell r="F272" t="str">
            <v>430321780802355</v>
          </cell>
        </row>
        <row r="273">
          <cell r="C273" t="str">
            <v>王胜</v>
          </cell>
          <cell r="D273" t="str">
            <v>女</v>
          </cell>
          <cell r="E273">
            <v>30921</v>
          </cell>
          <cell r="F273" t="str">
            <v>421123198408270019</v>
          </cell>
        </row>
        <row r="274">
          <cell r="C274" t="str">
            <v>尧勇田</v>
          </cell>
          <cell r="D274" t="str">
            <v>男</v>
          </cell>
          <cell r="E274">
            <v>27330</v>
          </cell>
          <cell r="F274" t="str">
            <v>362502197410285834</v>
          </cell>
        </row>
        <row r="275">
          <cell r="C275" t="str">
            <v>王海霞</v>
          </cell>
          <cell r="D275" t="str">
            <v>女</v>
          </cell>
          <cell r="E275">
            <v>31481</v>
          </cell>
          <cell r="F275" t="str">
            <v>411324198603105903</v>
          </cell>
        </row>
        <row r="276">
          <cell r="C276" t="str">
            <v>彭耐选</v>
          </cell>
          <cell r="D276" t="str">
            <v>女</v>
          </cell>
          <cell r="E276">
            <v>30998</v>
          </cell>
          <cell r="F276" t="str">
            <v>41132419841112582X</v>
          </cell>
        </row>
        <row r="277">
          <cell r="C277" t="str">
            <v>肖永霞</v>
          </cell>
          <cell r="D277" t="str">
            <v>女</v>
          </cell>
          <cell r="E277">
            <v>29874</v>
          </cell>
          <cell r="F277" t="str">
            <v>412723811015294</v>
          </cell>
        </row>
        <row r="278">
          <cell r="C278" t="str">
            <v>陶林</v>
          </cell>
          <cell r="D278" t="str">
            <v>女</v>
          </cell>
          <cell r="E278">
            <v>31366</v>
          </cell>
          <cell r="F278" t="str">
            <v>430527198511154823</v>
          </cell>
        </row>
        <row r="279">
          <cell r="C279" t="str">
            <v>邓晓情</v>
          </cell>
          <cell r="D279" t="str">
            <v>女</v>
          </cell>
          <cell r="E279">
            <v>30590</v>
          </cell>
          <cell r="F279" t="str">
            <v>421181198310011725</v>
          </cell>
        </row>
        <row r="280">
          <cell r="C280" t="str">
            <v>刘慧娟</v>
          </cell>
          <cell r="D280" t="str">
            <v>女</v>
          </cell>
          <cell r="E280">
            <v>31772</v>
          </cell>
          <cell r="F280" t="str">
            <v>421181198612261324</v>
          </cell>
        </row>
        <row r="281">
          <cell r="C281" t="str">
            <v>石爱凤</v>
          </cell>
          <cell r="D281" t="str">
            <v>女</v>
          </cell>
          <cell r="E281">
            <v>30574</v>
          </cell>
          <cell r="F281" t="str">
            <v>452702198309152663</v>
          </cell>
        </row>
        <row r="282">
          <cell r="C282" t="str">
            <v>王世娥</v>
          </cell>
          <cell r="D282" t="str">
            <v>女</v>
          </cell>
          <cell r="E282">
            <v>29926</v>
          </cell>
          <cell r="F282" t="str">
            <v>411303811206428</v>
          </cell>
        </row>
        <row r="283">
          <cell r="C283" t="str">
            <v>罗丽华</v>
          </cell>
          <cell r="D283" t="str">
            <v>女</v>
          </cell>
          <cell r="E283">
            <v>30798</v>
          </cell>
          <cell r="F283" t="str">
            <v>430124198404261243</v>
          </cell>
        </row>
        <row r="284">
          <cell r="C284" t="str">
            <v>杨燕</v>
          </cell>
          <cell r="D284" t="str">
            <v>女</v>
          </cell>
          <cell r="E284">
            <v>31575</v>
          </cell>
          <cell r="F284" t="str">
            <v>411324198606120922</v>
          </cell>
        </row>
        <row r="285">
          <cell r="C285" t="str">
            <v>陆燕瑞</v>
          </cell>
          <cell r="D285" t="str">
            <v>女</v>
          </cell>
          <cell r="E285">
            <v>31505</v>
          </cell>
          <cell r="F285" t="str">
            <v>411324198604030966</v>
          </cell>
        </row>
        <row r="286">
          <cell r="C286" t="str">
            <v>张礼琼</v>
          </cell>
          <cell r="D286" t="str">
            <v>女</v>
          </cell>
          <cell r="E286">
            <v>29375</v>
          </cell>
          <cell r="F286" t="str">
            <v>510230800603232</v>
          </cell>
        </row>
        <row r="287">
          <cell r="C287" t="str">
            <v>胡营年</v>
          </cell>
          <cell r="D287" t="str">
            <v>女</v>
          </cell>
          <cell r="E287">
            <v>31110</v>
          </cell>
          <cell r="F287" t="str">
            <v>411303198503043547</v>
          </cell>
        </row>
        <row r="288">
          <cell r="C288" t="str">
            <v>樊光香</v>
          </cell>
          <cell r="D288" t="str">
            <v>女</v>
          </cell>
          <cell r="E288">
            <v>29544</v>
          </cell>
          <cell r="F288" t="str">
            <v>412924801119062</v>
          </cell>
        </row>
        <row r="289">
          <cell r="C289" t="str">
            <v>曾琼燕</v>
          </cell>
          <cell r="D289" t="str">
            <v>女</v>
          </cell>
          <cell r="E289">
            <v>31016</v>
          </cell>
          <cell r="F289" t="str">
            <v>440981198411301760</v>
          </cell>
        </row>
        <row r="290">
          <cell r="C290" t="str">
            <v>传永会</v>
          </cell>
          <cell r="D290" t="str">
            <v>女</v>
          </cell>
          <cell r="E290">
            <v>30838</v>
          </cell>
          <cell r="F290" t="str">
            <v>512301197406057223</v>
          </cell>
        </row>
        <row r="291">
          <cell r="C291" t="str">
            <v>常亚娟</v>
          </cell>
          <cell r="D291" t="str">
            <v>女</v>
          </cell>
          <cell r="E291">
            <v>31762</v>
          </cell>
          <cell r="F291" t="str">
            <v>411123198612166540</v>
          </cell>
        </row>
        <row r="292">
          <cell r="C292" t="str">
            <v>李海艳</v>
          </cell>
          <cell r="D292" t="str">
            <v>女</v>
          </cell>
          <cell r="E292">
            <v>29026</v>
          </cell>
          <cell r="F292" t="str">
            <v>429001790620742</v>
          </cell>
        </row>
        <row r="293">
          <cell r="C293" t="str">
            <v xml:space="preserve">李琼 </v>
          </cell>
          <cell r="D293" t="str">
            <v>女</v>
          </cell>
          <cell r="E293">
            <v>29203</v>
          </cell>
          <cell r="F293" t="str">
            <v>429001197912142824</v>
          </cell>
        </row>
        <row r="294">
          <cell r="C294" t="str">
            <v>苟婉娟</v>
          </cell>
          <cell r="D294" t="str">
            <v>女</v>
          </cell>
          <cell r="E294">
            <v>30221</v>
          </cell>
          <cell r="F294" t="str">
            <v>610426198209272927</v>
          </cell>
        </row>
        <row r="295">
          <cell r="C295" t="str">
            <v>顾燕</v>
          </cell>
          <cell r="D295" t="str">
            <v>女</v>
          </cell>
          <cell r="E295">
            <v>31312</v>
          </cell>
          <cell r="F295" t="str">
            <v>360426198509222022</v>
          </cell>
        </row>
        <row r="296">
          <cell r="C296" t="str">
            <v>闵茶秀</v>
          </cell>
          <cell r="D296" t="str">
            <v>女</v>
          </cell>
          <cell r="E296">
            <v>30961</v>
          </cell>
          <cell r="F296" t="str">
            <v>36220419841006336X</v>
          </cell>
        </row>
        <row r="297">
          <cell r="C297" t="str">
            <v>汪琴</v>
          </cell>
          <cell r="D297" t="str">
            <v>女</v>
          </cell>
          <cell r="E297">
            <v>30926</v>
          </cell>
          <cell r="F297" t="str">
            <v>429004198409013148</v>
          </cell>
        </row>
        <row r="298">
          <cell r="C298" t="str">
            <v>雷艳会</v>
          </cell>
          <cell r="D298" t="str">
            <v>女</v>
          </cell>
          <cell r="E298">
            <v>30371</v>
          </cell>
          <cell r="F298" t="str">
            <v>410324830224312</v>
          </cell>
        </row>
        <row r="299">
          <cell r="C299" t="str">
            <v>王世华</v>
          </cell>
          <cell r="D299" t="str">
            <v>女</v>
          </cell>
          <cell r="E299">
            <v>30239</v>
          </cell>
          <cell r="F299" t="str">
            <v>411303821015400</v>
          </cell>
        </row>
        <row r="300">
          <cell r="C300" t="str">
            <v>马其选</v>
          </cell>
          <cell r="D300" t="str">
            <v>女</v>
          </cell>
          <cell r="E300">
            <v>30257</v>
          </cell>
          <cell r="F300" t="str">
            <v>411324198211020927</v>
          </cell>
        </row>
        <row r="301">
          <cell r="C301" t="str">
            <v>柯纷红</v>
          </cell>
          <cell r="D301" t="str">
            <v>女</v>
          </cell>
          <cell r="E301">
            <v>30228</v>
          </cell>
          <cell r="F301" t="str">
            <v>420281821004244</v>
          </cell>
        </row>
        <row r="302">
          <cell r="C302" t="str">
            <v>王利娜</v>
          </cell>
          <cell r="D302" t="str">
            <v>女</v>
          </cell>
          <cell r="E302">
            <v>30930</v>
          </cell>
          <cell r="F302" t="str">
            <v>411002198409053527</v>
          </cell>
        </row>
        <row r="303">
          <cell r="C303" t="str">
            <v>王小丽</v>
          </cell>
          <cell r="D303" t="str">
            <v>女</v>
          </cell>
          <cell r="E303">
            <v>31340</v>
          </cell>
          <cell r="F303" t="str">
            <v>513022851020606</v>
          </cell>
        </row>
        <row r="304">
          <cell r="C304" t="str">
            <v>李兴芳</v>
          </cell>
          <cell r="D304" t="str">
            <v>女</v>
          </cell>
          <cell r="E304">
            <v>30166</v>
          </cell>
          <cell r="F304" t="str">
            <v>51302219820803606X</v>
          </cell>
        </row>
        <row r="305">
          <cell r="C305" t="str">
            <v>刘德湘</v>
          </cell>
          <cell r="D305" t="str">
            <v>女</v>
          </cell>
          <cell r="E305">
            <v>31157</v>
          </cell>
          <cell r="F305" t="str">
            <v>411303198504203522</v>
          </cell>
        </row>
        <row r="306">
          <cell r="C306" t="str">
            <v>杨利娟</v>
          </cell>
          <cell r="D306" t="str">
            <v>女</v>
          </cell>
          <cell r="E306">
            <v>29630</v>
          </cell>
          <cell r="F306" t="str">
            <v>430124810213916</v>
          </cell>
        </row>
        <row r="307">
          <cell r="C307" t="str">
            <v>欧慧</v>
          </cell>
          <cell r="D307" t="str">
            <v>女</v>
          </cell>
          <cell r="E307">
            <v>30594</v>
          </cell>
          <cell r="F307" t="str">
            <v>432924198310050109</v>
          </cell>
        </row>
        <row r="308">
          <cell r="C308" t="str">
            <v>赵华枝</v>
          </cell>
          <cell r="D308" t="str">
            <v>女</v>
          </cell>
          <cell r="E308">
            <v>30175</v>
          </cell>
          <cell r="F308" t="str">
            <v>412722820812492</v>
          </cell>
        </row>
        <row r="309">
          <cell r="C309" t="str">
            <v>覃小兰</v>
          </cell>
          <cell r="D309" t="str">
            <v>女</v>
          </cell>
          <cell r="E309">
            <v>30531</v>
          </cell>
          <cell r="F309" t="str">
            <v>452523830803352</v>
          </cell>
        </row>
        <row r="310">
          <cell r="C310" t="str">
            <v>申卫云</v>
          </cell>
          <cell r="D310" t="str">
            <v>女</v>
          </cell>
          <cell r="E310">
            <v>30816</v>
          </cell>
          <cell r="F310" t="str">
            <v>411123198405146520</v>
          </cell>
        </row>
        <row r="311">
          <cell r="C311" t="str">
            <v>杨芬</v>
          </cell>
          <cell r="D311" t="str">
            <v>女</v>
          </cell>
          <cell r="E311">
            <v>30563</v>
          </cell>
          <cell r="F311" t="str">
            <v>411303198309043922</v>
          </cell>
        </row>
        <row r="312">
          <cell r="C312" t="str">
            <v>张小灵</v>
          </cell>
          <cell r="D312" t="str">
            <v>女</v>
          </cell>
          <cell r="E312">
            <v>29863</v>
          </cell>
          <cell r="F312" t="str">
            <v>412723811004252</v>
          </cell>
        </row>
        <row r="313">
          <cell r="C313" t="str">
            <v>魏凡</v>
          </cell>
          <cell r="D313" t="str">
            <v>女</v>
          </cell>
          <cell r="E313">
            <v>31496</v>
          </cell>
          <cell r="F313" t="str">
            <v>411324198603255821</v>
          </cell>
        </row>
        <row r="314">
          <cell r="C314" t="str">
            <v>杜变变</v>
          </cell>
          <cell r="D314" t="str">
            <v>女</v>
          </cell>
          <cell r="E314">
            <v>31543</v>
          </cell>
          <cell r="F314" t="str">
            <v>411324198605115849</v>
          </cell>
        </row>
        <row r="315">
          <cell r="C315" t="str">
            <v>杨腊芝</v>
          </cell>
          <cell r="D315" t="str">
            <v>女</v>
          </cell>
          <cell r="E315">
            <v>30701</v>
          </cell>
          <cell r="F315" t="str">
            <v>429001198401206122</v>
          </cell>
        </row>
        <row r="316">
          <cell r="C316" t="str">
            <v>王娥</v>
          </cell>
          <cell r="D316" t="str">
            <v>女</v>
          </cell>
          <cell r="E316">
            <v>31636</v>
          </cell>
          <cell r="F316" t="str">
            <v>411324198608120926</v>
          </cell>
        </row>
        <row r="317">
          <cell r="C317" t="str">
            <v>龙任翠</v>
          </cell>
          <cell r="D317" t="str">
            <v>女</v>
          </cell>
          <cell r="E317">
            <v>28474</v>
          </cell>
          <cell r="F317" t="str">
            <v>432924771215563</v>
          </cell>
        </row>
        <row r="318">
          <cell r="C318" t="str">
            <v>王中原</v>
          </cell>
          <cell r="D318" t="str">
            <v>女</v>
          </cell>
          <cell r="E318">
            <v>30927</v>
          </cell>
          <cell r="F318" t="str">
            <v>411324840902092</v>
          </cell>
        </row>
        <row r="319">
          <cell r="C319" t="str">
            <v>黄华萍</v>
          </cell>
          <cell r="D319" t="str">
            <v>女</v>
          </cell>
          <cell r="E319">
            <v>30969</v>
          </cell>
          <cell r="F319" t="str">
            <v>420821198410142547</v>
          </cell>
        </row>
        <row r="320">
          <cell r="C320" t="str">
            <v>陆利娜</v>
          </cell>
          <cell r="D320" t="str">
            <v>女</v>
          </cell>
          <cell r="E320">
            <v>30244</v>
          </cell>
          <cell r="F320" t="str">
            <v>10224821020102</v>
          </cell>
        </row>
        <row r="321">
          <cell r="C321" t="str">
            <v>袁芳</v>
          </cell>
          <cell r="D321" t="str">
            <v>女</v>
          </cell>
          <cell r="E321">
            <v>30962</v>
          </cell>
          <cell r="F321" t="str">
            <v>430621198412075027</v>
          </cell>
        </row>
        <row r="322">
          <cell r="C322" t="str">
            <v>尹瑞</v>
          </cell>
          <cell r="D322" t="str">
            <v>女</v>
          </cell>
          <cell r="E322">
            <v>30849</v>
          </cell>
          <cell r="F322" t="str">
            <v>41272119840616182X</v>
          </cell>
        </row>
        <row r="323">
          <cell r="C323" t="str">
            <v>肖银凤</v>
          </cell>
          <cell r="D323" t="str">
            <v>女</v>
          </cell>
          <cell r="E323">
            <v>30403</v>
          </cell>
          <cell r="F323" t="str">
            <v>412722198303280080</v>
          </cell>
        </row>
        <row r="324">
          <cell r="C324" t="str">
            <v>严莉娜</v>
          </cell>
          <cell r="D324" t="str">
            <v>女</v>
          </cell>
          <cell r="E324">
            <v>30428</v>
          </cell>
          <cell r="F324" t="str">
            <v>412721830422182</v>
          </cell>
        </row>
        <row r="325">
          <cell r="C325" t="str">
            <v>蒲玉霞</v>
          </cell>
          <cell r="D325" t="str">
            <v>女</v>
          </cell>
          <cell r="E325">
            <v>29805</v>
          </cell>
          <cell r="F325" t="str">
            <v>412721810807182</v>
          </cell>
        </row>
        <row r="326">
          <cell r="C326" t="str">
            <v>许艳红</v>
          </cell>
          <cell r="D326" t="str">
            <v>女</v>
          </cell>
          <cell r="E326">
            <v>31209</v>
          </cell>
          <cell r="F326" t="str">
            <v>411024198506111643</v>
          </cell>
        </row>
        <row r="327">
          <cell r="C327" t="str">
            <v>胡英</v>
          </cell>
          <cell r="D327" t="str">
            <v>女</v>
          </cell>
          <cell r="E327">
            <v>29038</v>
          </cell>
          <cell r="F327" t="str">
            <v>430611197907025526</v>
          </cell>
        </row>
        <row r="328">
          <cell r="C328" t="str">
            <v>张会娜</v>
          </cell>
          <cell r="D328" t="str">
            <v>女</v>
          </cell>
          <cell r="E328">
            <v>30012</v>
          </cell>
          <cell r="F328" t="str">
            <v>412721198203022627</v>
          </cell>
        </row>
        <row r="329">
          <cell r="C329" t="str">
            <v>何星云</v>
          </cell>
          <cell r="D329" t="str">
            <v>女</v>
          </cell>
          <cell r="E329">
            <v>31009</v>
          </cell>
          <cell r="F329" t="str">
            <v>412721198411235424</v>
          </cell>
        </row>
        <row r="330">
          <cell r="C330" t="str">
            <v>彭春丽</v>
          </cell>
          <cell r="D330" t="str">
            <v>女</v>
          </cell>
          <cell r="E330">
            <v>28861</v>
          </cell>
          <cell r="F330" t="str">
            <v>412722790106104</v>
          </cell>
        </row>
        <row r="331">
          <cell r="C331" t="str">
            <v>满言兰</v>
          </cell>
          <cell r="D331" t="str">
            <v>女</v>
          </cell>
          <cell r="E331">
            <v>28544</v>
          </cell>
          <cell r="F331" t="str">
            <v>422828780223152</v>
          </cell>
        </row>
        <row r="332">
          <cell r="C332" t="str">
            <v>李秋颂</v>
          </cell>
          <cell r="D332" t="str">
            <v>女</v>
          </cell>
          <cell r="E332">
            <v>31144</v>
          </cell>
          <cell r="F332" t="str">
            <v>421125198504070343</v>
          </cell>
        </row>
        <row r="333">
          <cell r="C333" t="str">
            <v>徐可</v>
          </cell>
          <cell r="D333" t="str">
            <v>女</v>
          </cell>
          <cell r="E333">
            <v>30108</v>
          </cell>
          <cell r="F333" t="str">
            <v>421125198206068309</v>
          </cell>
        </row>
        <row r="334">
          <cell r="C334" t="str">
            <v>张艳</v>
          </cell>
          <cell r="D334" t="str">
            <v>女</v>
          </cell>
          <cell r="E334">
            <v>30848</v>
          </cell>
          <cell r="F334" t="str">
            <v>420322198406153963</v>
          </cell>
        </row>
        <row r="335">
          <cell r="C335" t="str">
            <v>龚利平</v>
          </cell>
          <cell r="D335" t="str">
            <v>女</v>
          </cell>
          <cell r="E335">
            <v>30376</v>
          </cell>
          <cell r="F335" t="str">
            <v>421125830301004</v>
          </cell>
        </row>
        <row r="336">
          <cell r="C336" t="str">
            <v>李多多</v>
          </cell>
          <cell r="D336" t="str">
            <v>女</v>
          </cell>
          <cell r="E336">
            <v>30968</v>
          </cell>
          <cell r="F336" t="str">
            <v>421125198410138263</v>
          </cell>
        </row>
        <row r="337">
          <cell r="C337" t="str">
            <v>李秀珍</v>
          </cell>
          <cell r="D337" t="str">
            <v>女</v>
          </cell>
          <cell r="E337">
            <v>28688</v>
          </cell>
          <cell r="F337" t="str">
            <v>422127780717008</v>
          </cell>
        </row>
        <row r="338">
          <cell r="C338" t="str">
            <v>康黎黎</v>
          </cell>
          <cell r="D338" t="str">
            <v>女</v>
          </cell>
          <cell r="E338">
            <v>31028</v>
          </cell>
          <cell r="F338" t="str">
            <v>420621198412128668</v>
          </cell>
        </row>
        <row r="339">
          <cell r="C339" t="str">
            <v>王玉姣</v>
          </cell>
          <cell r="D339" t="str">
            <v>女</v>
          </cell>
          <cell r="E339">
            <v>31179</v>
          </cell>
          <cell r="F339" t="str">
            <v>421125198505127022</v>
          </cell>
        </row>
        <row r="340">
          <cell r="C340" t="str">
            <v>张思雨</v>
          </cell>
          <cell r="D340" t="str">
            <v>女</v>
          </cell>
          <cell r="E340">
            <v>31684</v>
          </cell>
          <cell r="F340" t="str">
            <v>421125198609296488</v>
          </cell>
        </row>
        <row r="341">
          <cell r="C341" t="str">
            <v>张无霄</v>
          </cell>
          <cell r="D341" t="str">
            <v>女</v>
          </cell>
          <cell r="E341">
            <v>30696</v>
          </cell>
          <cell r="F341" t="str">
            <v>421125198401150084</v>
          </cell>
        </row>
        <row r="342">
          <cell r="C342" t="str">
            <v>王鹏丽</v>
          </cell>
          <cell r="D342" t="str">
            <v>女</v>
          </cell>
          <cell r="E342">
            <v>31274</v>
          </cell>
          <cell r="F342" t="str">
            <v>652722198508150241</v>
          </cell>
        </row>
        <row r="343">
          <cell r="C343" t="str">
            <v>董艳艳</v>
          </cell>
          <cell r="D343" t="str">
            <v>女</v>
          </cell>
          <cell r="E343">
            <v>31627</v>
          </cell>
          <cell r="F343" t="str">
            <v>412721198608031820</v>
          </cell>
        </row>
        <row r="344">
          <cell r="C344" t="str">
            <v>温剑方</v>
          </cell>
          <cell r="D344" t="str">
            <v>女</v>
          </cell>
          <cell r="E344">
            <v>30542</v>
          </cell>
          <cell r="F344" t="str">
            <v>441602198308140435</v>
          </cell>
        </row>
        <row r="345">
          <cell r="C345" t="str">
            <v>刘兰</v>
          </cell>
          <cell r="D345" t="str">
            <v>女</v>
          </cell>
          <cell r="E345">
            <v>30622</v>
          </cell>
          <cell r="F345" t="str">
            <v>410224831102102</v>
          </cell>
        </row>
        <row r="346">
          <cell r="C346" t="str">
            <v>吴思</v>
          </cell>
          <cell r="D346" t="str">
            <v>女</v>
          </cell>
          <cell r="E346">
            <v>31580</v>
          </cell>
          <cell r="F346" t="str">
            <v>43012119860617574X</v>
          </cell>
        </row>
        <row r="347">
          <cell r="C347" t="str">
            <v>苟转丽</v>
          </cell>
          <cell r="D347" t="str">
            <v>女</v>
          </cell>
          <cell r="E347">
            <v>30677</v>
          </cell>
          <cell r="F347" t="str">
            <v>610426198312272925</v>
          </cell>
        </row>
        <row r="348">
          <cell r="C348" t="str">
            <v>严金霞</v>
          </cell>
          <cell r="D348" t="str">
            <v>女</v>
          </cell>
          <cell r="E348">
            <v>30121</v>
          </cell>
          <cell r="F348" t="str">
            <v>412721820619184</v>
          </cell>
        </row>
        <row r="349">
          <cell r="C349" t="str">
            <v>王红娜</v>
          </cell>
          <cell r="D349" t="str">
            <v>女</v>
          </cell>
          <cell r="E349">
            <v>30972</v>
          </cell>
          <cell r="F349" t="str">
            <v>412722841017252</v>
          </cell>
        </row>
        <row r="350">
          <cell r="C350" t="str">
            <v>王娜</v>
          </cell>
          <cell r="D350" t="str">
            <v>女</v>
          </cell>
          <cell r="E350">
            <v>31502</v>
          </cell>
          <cell r="F350" t="str">
            <v>362201198603310620</v>
          </cell>
        </row>
        <row r="351">
          <cell r="C351" t="str">
            <v>李梅</v>
          </cell>
          <cell r="D351" t="str">
            <v>女</v>
          </cell>
          <cell r="E351">
            <v>31692</v>
          </cell>
          <cell r="F351" t="str">
            <v>612321198610070728</v>
          </cell>
        </row>
        <row r="352">
          <cell r="C352" t="str">
            <v>吴冬艳</v>
          </cell>
          <cell r="D352" t="str">
            <v>女</v>
          </cell>
          <cell r="E352">
            <v>31395</v>
          </cell>
          <cell r="F352" t="str">
            <v>362201198512142828</v>
          </cell>
        </row>
        <row r="353">
          <cell r="C353" t="str">
            <v>宋彩云</v>
          </cell>
          <cell r="D353" t="str">
            <v>女</v>
          </cell>
          <cell r="E353">
            <v>30308</v>
          </cell>
          <cell r="F353" t="str">
            <v>412722198212234046</v>
          </cell>
        </row>
        <row r="354">
          <cell r="C354" t="str">
            <v>王晓娟</v>
          </cell>
          <cell r="D354" t="str">
            <v>女</v>
          </cell>
          <cell r="E354">
            <v>30207</v>
          </cell>
          <cell r="F354" t="str">
            <v>410422820913654</v>
          </cell>
        </row>
        <row r="355">
          <cell r="C355" t="str">
            <v>周艳</v>
          </cell>
          <cell r="D355" t="str">
            <v>女</v>
          </cell>
          <cell r="E355">
            <v>29806</v>
          </cell>
          <cell r="F355" t="str">
            <v>429001198108087427</v>
          </cell>
        </row>
        <row r="356">
          <cell r="C356" t="str">
            <v>王瑞丽</v>
          </cell>
          <cell r="D356" t="str">
            <v>女</v>
          </cell>
          <cell r="E356">
            <v>29351</v>
          </cell>
          <cell r="F356" t="str">
            <v>412721800510182</v>
          </cell>
        </row>
        <row r="357">
          <cell r="C357" t="str">
            <v>贾应</v>
          </cell>
          <cell r="D357" t="str">
            <v>女</v>
          </cell>
          <cell r="E357">
            <v>31618</v>
          </cell>
          <cell r="F357" t="str">
            <v>412721198607251821</v>
          </cell>
        </row>
        <row r="358">
          <cell r="C358" t="str">
            <v>陈艳杰</v>
          </cell>
          <cell r="D358" t="str">
            <v>女</v>
          </cell>
          <cell r="E358">
            <v>31717</v>
          </cell>
          <cell r="F358" t="str">
            <v>412721198611011863</v>
          </cell>
        </row>
        <row r="359">
          <cell r="C359" t="str">
            <v>刘红云</v>
          </cell>
          <cell r="D359" t="str">
            <v>女</v>
          </cell>
          <cell r="E359">
            <v>28840</v>
          </cell>
          <cell r="F359" t="str">
            <v>430523197812168022</v>
          </cell>
        </row>
        <row r="360">
          <cell r="C360" t="str">
            <v xml:space="preserve">张立勤   </v>
          </cell>
          <cell r="D360" t="str">
            <v>女</v>
          </cell>
          <cell r="E360">
            <v>31151</v>
          </cell>
          <cell r="F360" t="str">
            <v>412724198504147043</v>
          </cell>
        </row>
        <row r="361">
          <cell r="C361" t="str">
            <v>王素停</v>
          </cell>
          <cell r="D361" t="str">
            <v>女</v>
          </cell>
          <cell r="E361">
            <v>30878</v>
          </cell>
          <cell r="F361" t="str">
            <v>410198407156049</v>
          </cell>
        </row>
        <row r="362">
          <cell r="C362" t="str">
            <v>姚美平</v>
          </cell>
          <cell r="D362" t="str">
            <v>女</v>
          </cell>
          <cell r="E362">
            <v>31719</v>
          </cell>
          <cell r="F362" t="str">
            <v>450330198611030781</v>
          </cell>
        </row>
        <row r="363">
          <cell r="C363" t="str">
            <v>黄惠梅</v>
          </cell>
          <cell r="D363" t="str">
            <v>女</v>
          </cell>
          <cell r="E363">
            <v>29492</v>
          </cell>
          <cell r="F363" t="str">
            <v>441827800928642</v>
          </cell>
        </row>
        <row r="364">
          <cell r="C364" t="str">
            <v>姚时梅</v>
          </cell>
          <cell r="D364" t="str">
            <v>女</v>
          </cell>
          <cell r="E364">
            <v>31183</v>
          </cell>
          <cell r="F364" t="str">
            <v>450330198505160726</v>
          </cell>
        </row>
        <row r="365">
          <cell r="C365" t="str">
            <v>王东美</v>
          </cell>
          <cell r="D365" t="str">
            <v>女</v>
          </cell>
          <cell r="E365">
            <v>31321</v>
          </cell>
          <cell r="F365" t="str">
            <v>412722198510011043</v>
          </cell>
        </row>
        <row r="366">
          <cell r="C366" t="str">
            <v>翟秀</v>
          </cell>
          <cell r="D366" t="str">
            <v>女</v>
          </cell>
          <cell r="E366">
            <v>30716</v>
          </cell>
          <cell r="F366" t="str">
            <v>421125198402040629</v>
          </cell>
        </row>
        <row r="367">
          <cell r="C367" t="str">
            <v>赵末春</v>
          </cell>
          <cell r="D367" t="str">
            <v>女</v>
          </cell>
          <cell r="E367">
            <v>27529</v>
          </cell>
          <cell r="F367" t="str">
            <v>430626197505152420</v>
          </cell>
        </row>
        <row r="368">
          <cell r="C368" t="str">
            <v>鲍丽荣</v>
          </cell>
          <cell r="D368" t="str">
            <v>女</v>
          </cell>
          <cell r="E368">
            <v>30995</v>
          </cell>
          <cell r="F368" t="str">
            <v>362227198411090049</v>
          </cell>
        </row>
        <row r="369">
          <cell r="C369" t="str">
            <v>苏亚娟</v>
          </cell>
          <cell r="D369" t="str">
            <v>女</v>
          </cell>
          <cell r="E369">
            <v>30425</v>
          </cell>
          <cell r="F369" t="str">
            <v>410222198404195564</v>
          </cell>
        </row>
        <row r="370">
          <cell r="C370" t="str">
            <v>王锦茹</v>
          </cell>
          <cell r="D370" t="str">
            <v>女</v>
          </cell>
          <cell r="E370">
            <v>31417</v>
          </cell>
          <cell r="F370" t="str">
            <v>610528198601055722</v>
          </cell>
        </row>
        <row r="371">
          <cell r="C371" t="str">
            <v>余灿</v>
          </cell>
          <cell r="D371" t="str">
            <v>女</v>
          </cell>
          <cell r="E371">
            <v>31403</v>
          </cell>
          <cell r="F371" t="str">
            <v>421125198512221367</v>
          </cell>
        </row>
        <row r="372">
          <cell r="C372" t="str">
            <v>杨雪</v>
          </cell>
          <cell r="D372" t="str">
            <v>女</v>
          </cell>
          <cell r="E372">
            <v>31696</v>
          </cell>
          <cell r="F372" t="str">
            <v>411224198610116429</v>
          </cell>
        </row>
        <row r="373">
          <cell r="C373" t="str">
            <v>邓素侠</v>
          </cell>
          <cell r="D373" t="str">
            <v>女</v>
          </cell>
          <cell r="E373">
            <v>30638</v>
          </cell>
          <cell r="F373" t="str">
            <v>340304198311181248</v>
          </cell>
        </row>
        <row r="374">
          <cell r="C374" t="str">
            <v>刘文飞</v>
          </cell>
          <cell r="D374" t="str">
            <v>女</v>
          </cell>
          <cell r="E374">
            <v>30456</v>
          </cell>
          <cell r="F374" t="str">
            <v>430181198305207409</v>
          </cell>
        </row>
        <row r="375">
          <cell r="C375" t="str">
            <v>张桂丽</v>
          </cell>
          <cell r="D375" t="str">
            <v>女</v>
          </cell>
          <cell r="E375">
            <v>30496</v>
          </cell>
          <cell r="F375" t="str">
            <v>411322198306295349</v>
          </cell>
        </row>
        <row r="376">
          <cell r="C376" t="str">
            <v>胡润萍</v>
          </cell>
          <cell r="D376" t="str">
            <v>女</v>
          </cell>
          <cell r="E376">
            <v>30983</v>
          </cell>
          <cell r="F376" t="str">
            <v>430181198410287367</v>
          </cell>
        </row>
        <row r="377">
          <cell r="C377" t="str">
            <v>孔秀清</v>
          </cell>
          <cell r="D377" t="str">
            <v>女</v>
          </cell>
          <cell r="E377">
            <v>30774</v>
          </cell>
          <cell r="F377" t="str">
            <v>350825198404021324</v>
          </cell>
        </row>
        <row r="378">
          <cell r="C378" t="str">
            <v>陈小平</v>
          </cell>
          <cell r="D378" t="str">
            <v>女</v>
          </cell>
          <cell r="E378">
            <v>31531</v>
          </cell>
          <cell r="F378" t="str">
            <v>362201198604295426</v>
          </cell>
        </row>
        <row r="379">
          <cell r="C379" t="str">
            <v>曾琪</v>
          </cell>
          <cell r="D379" t="str">
            <v>女</v>
          </cell>
          <cell r="E379">
            <v>30593</v>
          </cell>
          <cell r="F379" t="str">
            <v>422325198310043242</v>
          </cell>
        </row>
        <row r="380">
          <cell r="C380" t="str">
            <v>杨兰</v>
          </cell>
          <cell r="D380" t="str">
            <v>女</v>
          </cell>
          <cell r="E380">
            <v>31457</v>
          </cell>
          <cell r="F380" t="str">
            <v>610528198602148648</v>
          </cell>
        </row>
        <row r="381">
          <cell r="C381" t="str">
            <v>尚亚丽</v>
          </cell>
          <cell r="D381" t="str">
            <v>女</v>
          </cell>
          <cell r="E381">
            <v>29983</v>
          </cell>
          <cell r="F381" t="str">
            <v>411121198202013522</v>
          </cell>
        </row>
        <row r="382">
          <cell r="C382" t="str">
            <v>吕细贵</v>
          </cell>
          <cell r="D382" t="str">
            <v>女</v>
          </cell>
          <cell r="E382">
            <v>30402</v>
          </cell>
          <cell r="F382" t="str">
            <v>422127830327232</v>
          </cell>
        </row>
        <row r="383">
          <cell r="C383" t="str">
            <v>裴耐青</v>
          </cell>
          <cell r="D383" t="str">
            <v>女</v>
          </cell>
          <cell r="E383">
            <v>31062</v>
          </cell>
          <cell r="F383" t="str">
            <v>41102419850115162X</v>
          </cell>
        </row>
        <row r="384">
          <cell r="C384" t="str">
            <v>王文静</v>
          </cell>
          <cell r="D384" t="str">
            <v>女</v>
          </cell>
          <cell r="E384">
            <v>30881</v>
          </cell>
          <cell r="F384" t="str">
            <v>412721198407183860</v>
          </cell>
        </row>
        <row r="385">
          <cell r="C385" t="str">
            <v>甘信萍</v>
          </cell>
          <cell r="D385" t="str">
            <v>女</v>
          </cell>
          <cell r="E385">
            <v>28392</v>
          </cell>
          <cell r="F385" t="str">
            <v>360302770924301</v>
          </cell>
        </row>
        <row r="386">
          <cell r="C386" t="str">
            <v>白俊慧</v>
          </cell>
          <cell r="D386" t="str">
            <v>女</v>
          </cell>
          <cell r="E386">
            <v>31208</v>
          </cell>
          <cell r="F386" t="str">
            <v>412721198506103862</v>
          </cell>
        </row>
        <row r="387">
          <cell r="C387" t="str">
            <v>丁耀红</v>
          </cell>
          <cell r="D387" t="str">
            <v>女</v>
          </cell>
          <cell r="E387">
            <v>28974</v>
          </cell>
          <cell r="F387" t="str">
            <v>412721197904293820</v>
          </cell>
        </row>
        <row r="388">
          <cell r="C388" t="str">
            <v>周景娜</v>
          </cell>
          <cell r="D388" t="str">
            <v>女</v>
          </cell>
          <cell r="E388">
            <v>30756</v>
          </cell>
          <cell r="F388" t="str">
            <v>411024198403151669</v>
          </cell>
        </row>
        <row r="389">
          <cell r="C389" t="str">
            <v>王莉君</v>
          </cell>
          <cell r="D389" t="str">
            <v>女</v>
          </cell>
          <cell r="E389">
            <v>31374</v>
          </cell>
          <cell r="F389" t="str">
            <v>412721198511233821</v>
          </cell>
        </row>
        <row r="390">
          <cell r="C390" t="str">
            <v>魏红</v>
          </cell>
          <cell r="D390" t="str">
            <v>女</v>
          </cell>
          <cell r="E390">
            <v>30693</v>
          </cell>
          <cell r="F390" t="str">
            <v>421125198401123326</v>
          </cell>
        </row>
        <row r="391">
          <cell r="C391" t="str">
            <v>李善英</v>
          </cell>
          <cell r="D391" t="str">
            <v>女</v>
          </cell>
          <cell r="E391">
            <v>29871</v>
          </cell>
          <cell r="F391" t="str">
            <v>432925811012094</v>
          </cell>
        </row>
        <row r="392">
          <cell r="C392" t="str">
            <v>蒙娜秀</v>
          </cell>
          <cell r="D392" t="str">
            <v>女</v>
          </cell>
          <cell r="E392">
            <v>30168</v>
          </cell>
          <cell r="F392" t="str">
            <v>452628198208052725</v>
          </cell>
        </row>
        <row r="393">
          <cell r="C393" t="str">
            <v>潘敏</v>
          </cell>
          <cell r="D393" t="str">
            <v>女</v>
          </cell>
          <cell r="E393">
            <v>30865</v>
          </cell>
          <cell r="F393" t="str">
            <v>522422198407020469</v>
          </cell>
        </row>
        <row r="394">
          <cell r="C394" t="str">
            <v>钟练菊</v>
          </cell>
          <cell r="D394" t="str">
            <v>女</v>
          </cell>
          <cell r="E394">
            <v>28074</v>
          </cell>
          <cell r="F394" t="str">
            <v>430626197611102128</v>
          </cell>
        </row>
        <row r="395">
          <cell r="C395" t="str">
            <v>李丽</v>
          </cell>
          <cell r="D395" t="str">
            <v>女</v>
          </cell>
          <cell r="E395">
            <v>30253</v>
          </cell>
          <cell r="F395" t="str">
            <v>420281821029002</v>
          </cell>
        </row>
        <row r="396">
          <cell r="C396" t="str">
            <v>容芬兰</v>
          </cell>
          <cell r="D396" t="str">
            <v>女</v>
          </cell>
          <cell r="E396">
            <v>29743</v>
          </cell>
          <cell r="F396" t="str">
            <v>432923198106063424</v>
          </cell>
        </row>
        <row r="397">
          <cell r="C397" t="str">
            <v>陈小燕</v>
          </cell>
          <cell r="D397" t="str">
            <v>女</v>
          </cell>
          <cell r="E397">
            <v>30817</v>
          </cell>
          <cell r="F397" t="str">
            <v>362228198405150048</v>
          </cell>
        </row>
        <row r="398">
          <cell r="C398" t="str">
            <v>王红丽</v>
          </cell>
          <cell r="D398" t="str">
            <v>女</v>
          </cell>
          <cell r="E398">
            <v>31650</v>
          </cell>
          <cell r="F398" t="str">
            <v>412722198608261067</v>
          </cell>
        </row>
        <row r="399">
          <cell r="C399" t="str">
            <v>袁明</v>
          </cell>
          <cell r="D399" t="str">
            <v>女</v>
          </cell>
          <cell r="E399">
            <v>31380</v>
          </cell>
          <cell r="F399" t="str">
            <v>430527198511296020</v>
          </cell>
        </row>
        <row r="400">
          <cell r="C400" t="str">
            <v>胡满珍</v>
          </cell>
          <cell r="E400">
            <v>30240</v>
          </cell>
          <cell r="F400" t="str">
            <v>430626821016364</v>
          </cell>
        </row>
        <row r="401">
          <cell r="C401" t="str">
            <v>陈超延</v>
          </cell>
          <cell r="E401">
            <v>31261</v>
          </cell>
          <cell r="F401" t="str">
            <v>440221198508021912</v>
          </cell>
        </row>
        <row r="402">
          <cell r="C402" t="str">
            <v>赵化青</v>
          </cell>
          <cell r="E402">
            <v>31734</v>
          </cell>
          <cell r="F402" t="str">
            <v>61052819861118662x</v>
          </cell>
        </row>
        <row r="403">
          <cell r="C403" t="str">
            <v>周芬芬</v>
          </cell>
          <cell r="E403">
            <v>31297</v>
          </cell>
          <cell r="F403" t="str">
            <v>420881198509073728</v>
          </cell>
        </row>
        <row r="404">
          <cell r="C404" t="str">
            <v>罗菲菲</v>
          </cell>
          <cell r="E404">
            <v>31695</v>
          </cell>
          <cell r="F404" t="str">
            <v>610528198610105744</v>
          </cell>
        </row>
        <row r="405">
          <cell r="C405" t="str">
            <v>王晓谊</v>
          </cell>
          <cell r="E405">
            <v>30701</v>
          </cell>
          <cell r="F405" t="str">
            <v>610502198401208225</v>
          </cell>
        </row>
        <row r="406">
          <cell r="C406" t="str">
            <v>范亚娟</v>
          </cell>
          <cell r="E406">
            <v>30324</v>
          </cell>
          <cell r="F406" t="str">
            <v>512324830108120</v>
          </cell>
        </row>
        <row r="407">
          <cell r="C407" t="str">
            <v>皮小霞</v>
          </cell>
          <cell r="E407">
            <v>31117</v>
          </cell>
          <cell r="F407" t="str">
            <v>420821198503116065</v>
          </cell>
        </row>
        <row r="408">
          <cell r="C408" t="str">
            <v>王媛</v>
          </cell>
          <cell r="E408">
            <v>30575</v>
          </cell>
          <cell r="F408" t="str">
            <v>610422198309161727</v>
          </cell>
        </row>
        <row r="409">
          <cell r="C409" t="str">
            <v>张生龙</v>
          </cell>
          <cell r="E409">
            <v>30123</v>
          </cell>
          <cell r="F409" t="str">
            <v>420381198206214653</v>
          </cell>
        </row>
        <row r="410">
          <cell r="C410" t="str">
            <v>温其钊</v>
          </cell>
          <cell r="E410">
            <v>31440</v>
          </cell>
          <cell r="F410" t="str">
            <v>450722198601280412</v>
          </cell>
        </row>
        <row r="411">
          <cell r="C411" t="str">
            <v>张锡伟</v>
          </cell>
          <cell r="E411">
            <v>29160</v>
          </cell>
          <cell r="F411" t="str">
            <v>230123791101127</v>
          </cell>
        </row>
        <row r="412">
          <cell r="C412" t="str">
            <v>胡洪平</v>
          </cell>
          <cell r="E412">
            <v>29212</v>
          </cell>
          <cell r="F412" t="str">
            <v>512926197912230738</v>
          </cell>
        </row>
        <row r="413">
          <cell r="C413" t="str">
            <v>刘振华</v>
          </cell>
          <cell r="E413">
            <v>27337</v>
          </cell>
          <cell r="F413" t="str">
            <v>422128197411010079</v>
          </cell>
        </row>
        <row r="414">
          <cell r="C414" t="str">
            <v>孙香华</v>
          </cell>
          <cell r="E414">
            <v>31257</v>
          </cell>
          <cell r="F414" t="str">
            <v>432522198507294065</v>
          </cell>
        </row>
        <row r="415">
          <cell r="C415" t="str">
            <v>曾凡平</v>
          </cell>
          <cell r="E415">
            <v>31187</v>
          </cell>
          <cell r="F415" t="str">
            <v>432522198505204062</v>
          </cell>
        </row>
        <row r="416">
          <cell r="C416" t="str">
            <v>刘亚芬</v>
          </cell>
          <cell r="E416">
            <v>29155</v>
          </cell>
          <cell r="F416" t="str">
            <v>612323791027284</v>
          </cell>
        </row>
        <row r="417">
          <cell r="C417" t="str">
            <v>陈莲花</v>
          </cell>
          <cell r="E417">
            <v>31524</v>
          </cell>
          <cell r="F417" t="str">
            <v>430421198604227901</v>
          </cell>
        </row>
        <row r="418">
          <cell r="C418" t="str">
            <v>谭永红</v>
          </cell>
          <cell r="E418">
            <v>31467</v>
          </cell>
          <cell r="F418" t="str">
            <v>43252219860224412X</v>
          </cell>
        </row>
        <row r="419">
          <cell r="C419" t="str">
            <v>邓佩</v>
          </cell>
          <cell r="E419">
            <v>31749</v>
          </cell>
          <cell r="F419" t="str">
            <v>432522198612034062</v>
          </cell>
        </row>
        <row r="420">
          <cell r="C420" t="str">
            <v>彭红梅</v>
          </cell>
          <cell r="E420">
            <v>29194</v>
          </cell>
          <cell r="F420" t="str">
            <v>430421791205788</v>
          </cell>
        </row>
        <row r="421">
          <cell r="C421" t="str">
            <v>陈彩葵</v>
          </cell>
          <cell r="E421">
            <v>31615</v>
          </cell>
          <cell r="F421" t="str">
            <v>432522198607224064</v>
          </cell>
        </row>
        <row r="422">
          <cell r="C422" t="str">
            <v>彭志文</v>
          </cell>
          <cell r="E422">
            <v>31404</v>
          </cell>
          <cell r="F422" t="str">
            <v>432522198512234067</v>
          </cell>
        </row>
        <row r="423">
          <cell r="C423" t="str">
            <v>曾梦丽</v>
          </cell>
          <cell r="E423">
            <v>31287</v>
          </cell>
          <cell r="F423" t="str">
            <v>432522198508284061</v>
          </cell>
        </row>
        <row r="424">
          <cell r="C424" t="str">
            <v>朱巧云</v>
          </cell>
          <cell r="E424">
            <v>30957</v>
          </cell>
          <cell r="F424" t="str">
            <v>432522198410024165</v>
          </cell>
        </row>
        <row r="425">
          <cell r="C425" t="str">
            <v>李书娜</v>
          </cell>
          <cell r="E425">
            <v>30010</v>
          </cell>
          <cell r="F425" t="str">
            <v>411303820228424</v>
          </cell>
        </row>
        <row r="426">
          <cell r="C426" t="str">
            <v>冯艳云</v>
          </cell>
          <cell r="E426">
            <v>28857</v>
          </cell>
          <cell r="F426" t="str">
            <v>422129790102132</v>
          </cell>
        </row>
        <row r="427">
          <cell r="C427" t="str">
            <v>赵全营</v>
          </cell>
          <cell r="E427">
            <v>29044</v>
          </cell>
          <cell r="F427" t="str">
            <v>422101197907086054</v>
          </cell>
        </row>
        <row r="428">
          <cell r="C428" t="str">
            <v>杜文娟</v>
          </cell>
          <cell r="E428">
            <v>30170</v>
          </cell>
          <cell r="F428" t="str">
            <v>421122198208076346</v>
          </cell>
        </row>
        <row r="429">
          <cell r="C429" t="str">
            <v>岳静静</v>
          </cell>
          <cell r="E429">
            <v>31375</v>
          </cell>
          <cell r="F429" t="str">
            <v>610124198511244522</v>
          </cell>
        </row>
        <row r="430">
          <cell r="C430" t="str">
            <v>游学群</v>
          </cell>
          <cell r="E430">
            <v>30032</v>
          </cell>
          <cell r="F430" t="str">
            <v>430621820322272</v>
          </cell>
        </row>
        <row r="431">
          <cell r="C431" t="str">
            <v>周小英</v>
          </cell>
          <cell r="E431">
            <v>30209</v>
          </cell>
          <cell r="F431" t="str">
            <v>511221820915716</v>
          </cell>
        </row>
        <row r="432">
          <cell r="C432" t="str">
            <v>彭双</v>
          </cell>
          <cell r="E432">
            <v>31734</v>
          </cell>
          <cell r="F432" t="str">
            <v>430281198611186285</v>
          </cell>
        </row>
        <row r="433">
          <cell r="C433" t="str">
            <v>王岚</v>
          </cell>
          <cell r="E433">
            <v>31362</v>
          </cell>
          <cell r="F433" t="str">
            <v>432522198511117424</v>
          </cell>
        </row>
        <row r="434">
          <cell r="C434" t="str">
            <v>张二花</v>
          </cell>
          <cell r="E434">
            <v>30707</v>
          </cell>
          <cell r="F434" t="str">
            <v>372523840126842</v>
          </cell>
        </row>
        <row r="435">
          <cell r="C435" t="str">
            <v>杨梅</v>
          </cell>
          <cell r="E435">
            <v>30857</v>
          </cell>
          <cell r="F435" t="str">
            <v>420526198406240828</v>
          </cell>
        </row>
        <row r="436">
          <cell r="C436" t="str">
            <v>杨春彦</v>
          </cell>
          <cell r="E436">
            <v>31577</v>
          </cell>
          <cell r="F436" t="str">
            <v>411324198606140923</v>
          </cell>
        </row>
        <row r="437">
          <cell r="C437" t="str">
            <v>李兵</v>
          </cell>
          <cell r="E437">
            <v>31744</v>
          </cell>
          <cell r="F437" t="str">
            <v>411303198611284225</v>
          </cell>
        </row>
        <row r="438">
          <cell r="C438" t="str">
            <v>孟小艳</v>
          </cell>
          <cell r="E438">
            <v>30968</v>
          </cell>
          <cell r="F438" t="str">
            <v>610124198410132740</v>
          </cell>
        </row>
        <row r="439">
          <cell r="C439" t="str">
            <v>马小转</v>
          </cell>
          <cell r="E439">
            <v>31275</v>
          </cell>
          <cell r="F439" t="str">
            <v>411324198508160920</v>
          </cell>
        </row>
        <row r="440">
          <cell r="C440" t="str">
            <v>任娟</v>
          </cell>
          <cell r="E440">
            <v>31010</v>
          </cell>
          <cell r="F440" t="str">
            <v>410222198411244520</v>
          </cell>
        </row>
        <row r="441">
          <cell r="C441" t="str">
            <v>李明兰</v>
          </cell>
          <cell r="E441">
            <v>29035</v>
          </cell>
          <cell r="F441" t="str">
            <v>513030790629722</v>
          </cell>
        </row>
        <row r="442">
          <cell r="C442" t="str">
            <v>厉红丽</v>
          </cell>
          <cell r="E442">
            <v>30364</v>
          </cell>
          <cell r="F442" t="str">
            <v>410222830217602</v>
          </cell>
        </row>
        <row r="443">
          <cell r="C443" t="str">
            <v>苗珊</v>
          </cell>
          <cell r="E443">
            <v>31279</v>
          </cell>
          <cell r="F443" t="str">
            <v>411324198508200929</v>
          </cell>
        </row>
        <row r="444">
          <cell r="C444" t="str">
            <v>刘敏莉</v>
          </cell>
          <cell r="E444">
            <v>31394</v>
          </cell>
          <cell r="F444" t="str">
            <v>610124198512134544</v>
          </cell>
        </row>
        <row r="445">
          <cell r="C445" t="str">
            <v>李静平</v>
          </cell>
          <cell r="E445">
            <v>31224</v>
          </cell>
          <cell r="F445" t="str">
            <v>610124198506263921</v>
          </cell>
        </row>
        <row r="446">
          <cell r="C446" t="str">
            <v>李士雯</v>
          </cell>
          <cell r="E446">
            <v>31670</v>
          </cell>
          <cell r="F446" t="str">
            <v>411303198609156769</v>
          </cell>
        </row>
        <row r="447">
          <cell r="C447" t="str">
            <v>吴颜</v>
          </cell>
          <cell r="E447">
            <v>29110</v>
          </cell>
          <cell r="F447" t="str">
            <v>412924197909124225</v>
          </cell>
        </row>
        <row r="448">
          <cell r="C448" t="str">
            <v>李萍</v>
          </cell>
          <cell r="E448">
            <v>29953</v>
          </cell>
          <cell r="F448" t="str">
            <v>360312820102001</v>
          </cell>
        </row>
        <row r="449">
          <cell r="C449" t="str">
            <v>潘成坤</v>
          </cell>
          <cell r="E449">
            <v>28555</v>
          </cell>
          <cell r="F449" t="str">
            <v>522624780306001</v>
          </cell>
        </row>
        <row r="450">
          <cell r="C450" t="str">
            <v>王仕伟</v>
          </cell>
          <cell r="E450">
            <v>31400</v>
          </cell>
          <cell r="F450" t="str">
            <v>430524198512196671</v>
          </cell>
        </row>
        <row r="451">
          <cell r="C451" t="str">
            <v>刘娟娟</v>
          </cell>
          <cell r="E451">
            <v>31691</v>
          </cell>
          <cell r="F451" t="str">
            <v>610426198610060023</v>
          </cell>
        </row>
        <row r="452">
          <cell r="C452" t="str">
            <v>杨岁利</v>
          </cell>
          <cell r="E452">
            <v>28860</v>
          </cell>
          <cell r="F452" t="str">
            <v>610324197901052848</v>
          </cell>
        </row>
        <row r="453">
          <cell r="C453" t="str">
            <v>陈快快</v>
          </cell>
          <cell r="E453">
            <v>31205</v>
          </cell>
          <cell r="F453" t="str">
            <v>610426198506070029</v>
          </cell>
        </row>
        <row r="454">
          <cell r="C454" t="str">
            <v>聂永霞</v>
          </cell>
          <cell r="E454">
            <v>31400</v>
          </cell>
          <cell r="F454" t="str">
            <v>410222198512194526</v>
          </cell>
        </row>
        <row r="455">
          <cell r="C455" t="str">
            <v>于娜</v>
          </cell>
          <cell r="E455">
            <v>30299</v>
          </cell>
          <cell r="F455" t="str">
            <v>410222821214402</v>
          </cell>
        </row>
        <row r="456">
          <cell r="C456" t="str">
            <v>李淑敏</v>
          </cell>
          <cell r="E456">
            <v>30724</v>
          </cell>
          <cell r="F456" t="str">
            <v>61043119840212154X</v>
          </cell>
        </row>
        <row r="457">
          <cell r="C457" t="str">
            <v>孙海娟</v>
          </cell>
          <cell r="E457">
            <v>29619</v>
          </cell>
          <cell r="F457" t="str">
            <v>610528810202122</v>
          </cell>
        </row>
        <row r="458">
          <cell r="C458" t="str">
            <v>成莉侠</v>
          </cell>
          <cell r="E458">
            <v>29356</v>
          </cell>
          <cell r="F458" t="str">
            <v>610324198000515527</v>
          </cell>
        </row>
        <row r="459">
          <cell r="C459" t="str">
            <v>李翠平</v>
          </cell>
          <cell r="E459">
            <v>29043</v>
          </cell>
          <cell r="F459" t="str">
            <v>412902790707454</v>
          </cell>
        </row>
        <row r="460">
          <cell r="C460" t="str">
            <v>吴晓花</v>
          </cell>
          <cell r="E460">
            <v>30550</v>
          </cell>
          <cell r="F460" t="str">
            <v>511321198308222925</v>
          </cell>
        </row>
        <row r="461">
          <cell r="C461" t="str">
            <v>郑亚芹</v>
          </cell>
          <cell r="E461">
            <v>30022</v>
          </cell>
          <cell r="F461" t="str">
            <v>410411198203125588</v>
          </cell>
        </row>
        <row r="462">
          <cell r="C462" t="str">
            <v>戚仁凤</v>
          </cell>
          <cell r="E462">
            <v>30115</v>
          </cell>
          <cell r="F462" t="str">
            <v>420982198206132323</v>
          </cell>
        </row>
        <row r="463">
          <cell r="C463" t="str">
            <v>吴小曼</v>
          </cell>
          <cell r="E463">
            <v>31695</v>
          </cell>
          <cell r="F463" t="str">
            <v>430626198610103027</v>
          </cell>
        </row>
        <row r="464">
          <cell r="C464" t="str">
            <v>杨小苗</v>
          </cell>
          <cell r="E464">
            <v>30808</v>
          </cell>
          <cell r="F464" t="str">
            <v>411381840506482</v>
          </cell>
        </row>
        <row r="465">
          <cell r="C465" t="str">
            <v>艾忠燕</v>
          </cell>
          <cell r="E465">
            <v>30812</v>
          </cell>
          <cell r="F465" t="str">
            <v>51302919840510314X</v>
          </cell>
        </row>
        <row r="466">
          <cell r="C466" t="str">
            <v>雷培焕</v>
          </cell>
          <cell r="E466">
            <v>30651</v>
          </cell>
          <cell r="F466" t="str">
            <v>411023831201502</v>
          </cell>
        </row>
        <row r="467">
          <cell r="C467" t="str">
            <v>殷二梅</v>
          </cell>
          <cell r="E467">
            <v>30873</v>
          </cell>
          <cell r="F467" t="str">
            <v>340123198407102626</v>
          </cell>
        </row>
        <row r="468">
          <cell r="C468" t="str">
            <v>王苹</v>
          </cell>
          <cell r="E468">
            <v>31682</v>
          </cell>
          <cell r="F468" t="str">
            <v>61250119860927602X</v>
          </cell>
        </row>
        <row r="469">
          <cell r="C469" t="str">
            <v>唐相英</v>
          </cell>
          <cell r="E469">
            <v>31372</v>
          </cell>
          <cell r="F469" t="str">
            <v>50023419851121924X</v>
          </cell>
        </row>
        <row r="470">
          <cell r="C470" t="str">
            <v>周海燕</v>
          </cell>
          <cell r="E470">
            <v>30240</v>
          </cell>
          <cell r="F470" t="str">
            <v>513622821016580</v>
          </cell>
        </row>
        <row r="471">
          <cell r="C471" t="str">
            <v>李祥鹏</v>
          </cell>
          <cell r="E471">
            <v>30963</v>
          </cell>
          <cell r="F471" t="str">
            <v>342923198410086020</v>
          </cell>
        </row>
        <row r="472">
          <cell r="C472" t="str">
            <v>吴丽香</v>
          </cell>
          <cell r="E472">
            <v>29345</v>
          </cell>
          <cell r="F472" t="str">
            <v>460003800504182</v>
          </cell>
        </row>
        <row r="473">
          <cell r="C473" t="str">
            <v>蔡小梅</v>
          </cell>
          <cell r="E473">
            <v>27274</v>
          </cell>
          <cell r="F473" t="str">
            <v>422130740402132</v>
          </cell>
        </row>
        <row r="474">
          <cell r="C474" t="str">
            <v>张培彪</v>
          </cell>
          <cell r="E474">
            <v>29314</v>
          </cell>
          <cell r="F474" t="str">
            <v>500233198004035810</v>
          </cell>
        </row>
        <row r="475">
          <cell r="C475" t="str">
            <v>梅太宝</v>
          </cell>
          <cell r="E475">
            <v>28671</v>
          </cell>
          <cell r="F475" t="str">
            <v>610114197806302016</v>
          </cell>
        </row>
        <row r="476">
          <cell r="C476" t="str">
            <v>黄燕琴</v>
          </cell>
          <cell r="E476">
            <v>31400</v>
          </cell>
          <cell r="F476" t="str">
            <v>362502198512195826</v>
          </cell>
        </row>
        <row r="477">
          <cell r="C477" t="str">
            <v>侯翠云</v>
          </cell>
          <cell r="E477">
            <v>30792</v>
          </cell>
          <cell r="F477" t="str">
            <v>513721198404201706</v>
          </cell>
        </row>
        <row r="478">
          <cell r="C478" t="str">
            <v>陈寿辉</v>
          </cell>
          <cell r="E478">
            <v>31090</v>
          </cell>
          <cell r="F478" t="str">
            <v>440902198502122455</v>
          </cell>
        </row>
        <row r="479">
          <cell r="C479" t="str">
            <v>江淑英</v>
          </cell>
          <cell r="E479">
            <v>30581</v>
          </cell>
          <cell r="F479" t="str">
            <v>431023198309228161</v>
          </cell>
        </row>
        <row r="480">
          <cell r="C480" t="str">
            <v>陈苗苗</v>
          </cell>
          <cell r="E480">
            <v>31609</v>
          </cell>
          <cell r="F480" t="str">
            <v>610528198607166626</v>
          </cell>
        </row>
        <row r="481">
          <cell r="C481" t="str">
            <v>彭志红</v>
          </cell>
          <cell r="E481">
            <v>30612</v>
          </cell>
          <cell r="F481" t="str">
            <v>430421198310237880</v>
          </cell>
        </row>
        <row r="482">
          <cell r="C482" t="str">
            <v>张珍</v>
          </cell>
          <cell r="E482">
            <v>30792</v>
          </cell>
          <cell r="F482" t="str">
            <v>41022419840420032X</v>
          </cell>
        </row>
        <row r="483">
          <cell r="C483" t="str">
            <v>徐欠欠</v>
          </cell>
          <cell r="E483">
            <v>31445</v>
          </cell>
          <cell r="F483" t="str">
            <v>410224198602021023</v>
          </cell>
        </row>
        <row r="484">
          <cell r="C484" t="str">
            <v>孙军华</v>
          </cell>
          <cell r="E484">
            <v>30091</v>
          </cell>
          <cell r="F484" t="str">
            <v>410222198205203082</v>
          </cell>
        </row>
        <row r="485">
          <cell r="C485" t="str">
            <v>李苗苗</v>
          </cell>
          <cell r="E485">
            <v>30826</v>
          </cell>
          <cell r="F485" t="str">
            <v>410311198405246024</v>
          </cell>
        </row>
        <row r="486">
          <cell r="C486" t="str">
            <v>张春花</v>
          </cell>
          <cell r="E486">
            <v>31515</v>
          </cell>
          <cell r="F486" t="str">
            <v>513029198604134168</v>
          </cell>
        </row>
        <row r="487">
          <cell r="C487" t="str">
            <v>董贺丽</v>
          </cell>
          <cell r="E487">
            <v>30428</v>
          </cell>
          <cell r="F487" t="str">
            <v>412821830422202</v>
          </cell>
        </row>
        <row r="488">
          <cell r="C488" t="str">
            <v>张红丽</v>
          </cell>
          <cell r="E488">
            <v>29926</v>
          </cell>
          <cell r="F488" t="str">
            <v>410222811206458</v>
          </cell>
        </row>
        <row r="489">
          <cell r="C489" t="str">
            <v>马平</v>
          </cell>
          <cell r="E489">
            <v>31454</v>
          </cell>
          <cell r="F489" t="str">
            <v>421022198602117665</v>
          </cell>
        </row>
        <row r="490">
          <cell r="C490" t="str">
            <v>江林林</v>
          </cell>
          <cell r="E490">
            <v>31043</v>
          </cell>
          <cell r="F490" t="str">
            <v>420821198412276063</v>
          </cell>
        </row>
        <row r="491">
          <cell r="C491" t="str">
            <v>谭欣欣</v>
          </cell>
          <cell r="E491">
            <v>31710</v>
          </cell>
          <cell r="F491" t="str">
            <v>432522198610254088</v>
          </cell>
        </row>
        <row r="492">
          <cell r="C492" t="str">
            <v>冯露菊</v>
          </cell>
          <cell r="E492">
            <v>31384</v>
          </cell>
          <cell r="F492" t="str">
            <v>420683198512036129</v>
          </cell>
        </row>
        <row r="493">
          <cell r="C493" t="str">
            <v>肖兰</v>
          </cell>
          <cell r="E493">
            <v>28704</v>
          </cell>
          <cell r="F493" t="str">
            <v>512924780802002</v>
          </cell>
        </row>
        <row r="494">
          <cell r="C494" t="str">
            <v>彭永红</v>
          </cell>
          <cell r="E494">
            <v>31661</v>
          </cell>
          <cell r="F494" t="str">
            <v>432522198609064105</v>
          </cell>
        </row>
        <row r="495">
          <cell r="C495" t="str">
            <v>杨霞</v>
          </cell>
          <cell r="E495">
            <v>31319</v>
          </cell>
          <cell r="F495" t="str">
            <v>429001198509293387</v>
          </cell>
        </row>
        <row r="496">
          <cell r="C496" t="str">
            <v>周书香</v>
          </cell>
          <cell r="E496">
            <v>30901</v>
          </cell>
          <cell r="F496" t="str">
            <v>429001198408077247</v>
          </cell>
        </row>
        <row r="497">
          <cell r="C497" t="str">
            <v>王英</v>
          </cell>
          <cell r="E497">
            <v>30399</v>
          </cell>
          <cell r="F497" t="str">
            <v>410222830324452</v>
          </cell>
        </row>
        <row r="498">
          <cell r="C498" t="str">
            <v>戴霞</v>
          </cell>
          <cell r="E498">
            <v>30648</v>
          </cell>
          <cell r="F498" t="str">
            <v>610124198311283949</v>
          </cell>
        </row>
        <row r="499">
          <cell r="C499" t="str">
            <v>娄方方</v>
          </cell>
          <cell r="E499">
            <v>30697</v>
          </cell>
          <cell r="F499" t="str">
            <v>410222198401164084</v>
          </cell>
        </row>
        <row r="500">
          <cell r="C500" t="str">
            <v>吴娟</v>
          </cell>
          <cell r="E500">
            <v>28978</v>
          </cell>
          <cell r="F500" t="str">
            <v>43068119790503492X</v>
          </cell>
        </row>
        <row r="501">
          <cell r="C501" t="str">
            <v>张蕾</v>
          </cell>
          <cell r="E501">
            <v>30566</v>
          </cell>
          <cell r="F501" t="str">
            <v>452324198309070947</v>
          </cell>
        </row>
        <row r="502">
          <cell r="C502" t="str">
            <v>张方方</v>
          </cell>
          <cell r="E502">
            <v>30391</v>
          </cell>
          <cell r="F502" t="str">
            <v>410222830316402</v>
          </cell>
        </row>
        <row r="503">
          <cell r="C503" t="str">
            <v>苏雄枚</v>
          </cell>
          <cell r="E503">
            <v>29358</v>
          </cell>
          <cell r="F503" t="str">
            <v>362201800517526</v>
          </cell>
        </row>
        <row r="504">
          <cell r="C504" t="str">
            <v>杨群</v>
          </cell>
          <cell r="E504">
            <v>31189</v>
          </cell>
          <cell r="F504" t="str">
            <v>61232319850522832X</v>
          </cell>
        </row>
        <row r="505">
          <cell r="C505" t="str">
            <v>李艳琼</v>
          </cell>
          <cell r="E505">
            <v>31616</v>
          </cell>
          <cell r="F505" t="str">
            <v>420527198607232644</v>
          </cell>
        </row>
        <row r="506">
          <cell r="C506" t="str">
            <v>刘溪娟</v>
          </cell>
          <cell r="E506">
            <v>30737</v>
          </cell>
          <cell r="F506" t="str">
            <v>422322198402254865</v>
          </cell>
        </row>
        <row r="507">
          <cell r="C507" t="str">
            <v>张腊梅</v>
          </cell>
          <cell r="E507">
            <v>29948</v>
          </cell>
          <cell r="F507" t="str">
            <v>612321811228262</v>
          </cell>
        </row>
        <row r="508">
          <cell r="C508" t="str">
            <v>文华丽</v>
          </cell>
          <cell r="E508">
            <v>29710</v>
          </cell>
          <cell r="F508" t="str">
            <v>421002810504242</v>
          </cell>
        </row>
        <row r="509">
          <cell r="C509" t="str">
            <v>薛笋</v>
          </cell>
          <cell r="E509">
            <v>30155</v>
          </cell>
          <cell r="F509" t="str">
            <v>411381820723046</v>
          </cell>
        </row>
        <row r="510">
          <cell r="C510" t="str">
            <v>曾琪琦</v>
          </cell>
          <cell r="E510">
            <v>31604</v>
          </cell>
          <cell r="F510" t="str">
            <v>43250319860711638X</v>
          </cell>
        </row>
        <row r="511">
          <cell r="C511" t="str">
            <v>梁丽娟</v>
          </cell>
          <cell r="E511">
            <v>30514</v>
          </cell>
          <cell r="F511" t="str">
            <v>452729198307170622</v>
          </cell>
        </row>
        <row r="512">
          <cell r="C512" t="str">
            <v>张引娟</v>
          </cell>
          <cell r="E512">
            <v>29257</v>
          </cell>
          <cell r="F512" t="str">
            <v>612133800206242</v>
          </cell>
        </row>
        <row r="513">
          <cell r="C513" t="str">
            <v>赵光玮</v>
          </cell>
          <cell r="E513">
            <v>30928</v>
          </cell>
          <cell r="F513" t="str">
            <v>341182198409031028</v>
          </cell>
        </row>
        <row r="514">
          <cell r="C514" t="str">
            <v>赵末春</v>
          </cell>
          <cell r="E514">
            <v>27529</v>
          </cell>
          <cell r="F514" t="str">
            <v>430626197505152420</v>
          </cell>
        </row>
        <row r="515">
          <cell r="C515" t="str">
            <v>鲍丽荣</v>
          </cell>
          <cell r="E515">
            <v>30995</v>
          </cell>
          <cell r="F515" t="str">
            <v>362227198411090049</v>
          </cell>
        </row>
        <row r="516">
          <cell r="C516" t="str">
            <v>苏亚娟</v>
          </cell>
          <cell r="E516">
            <v>30425</v>
          </cell>
          <cell r="F516" t="str">
            <v>410222198404195564</v>
          </cell>
        </row>
        <row r="517">
          <cell r="C517" t="str">
            <v>王锦茹</v>
          </cell>
          <cell r="E517">
            <v>31417</v>
          </cell>
          <cell r="F517" t="str">
            <v>610528198601055722</v>
          </cell>
        </row>
        <row r="518">
          <cell r="C518" t="str">
            <v>余灿</v>
          </cell>
          <cell r="E518">
            <v>31403</v>
          </cell>
          <cell r="F518" t="str">
            <v>421125198512221367</v>
          </cell>
        </row>
        <row r="519">
          <cell r="C519" t="str">
            <v>杨雪</v>
          </cell>
          <cell r="E519">
            <v>31696</v>
          </cell>
          <cell r="F519" t="str">
            <v>411224198610116429</v>
          </cell>
        </row>
        <row r="520">
          <cell r="C520" t="str">
            <v>邓素侠</v>
          </cell>
          <cell r="E520">
            <v>30638</v>
          </cell>
          <cell r="F520" t="str">
            <v>340304198311181248</v>
          </cell>
        </row>
        <row r="521">
          <cell r="C521" t="str">
            <v>刘文飞</v>
          </cell>
          <cell r="E521">
            <v>30456</v>
          </cell>
          <cell r="F521" t="str">
            <v>430181198305207409</v>
          </cell>
        </row>
        <row r="522">
          <cell r="C522" t="str">
            <v>张桂丽</v>
          </cell>
          <cell r="E522">
            <v>30496</v>
          </cell>
          <cell r="F522" t="str">
            <v>411322198306295349</v>
          </cell>
        </row>
        <row r="523">
          <cell r="C523" t="str">
            <v>胡润萍</v>
          </cell>
          <cell r="E523">
            <v>30983</v>
          </cell>
          <cell r="F523" t="str">
            <v>430181198410287367</v>
          </cell>
        </row>
        <row r="524">
          <cell r="C524" t="str">
            <v>孔秀清</v>
          </cell>
          <cell r="E524">
            <v>30774</v>
          </cell>
          <cell r="F524" t="str">
            <v>350825198404021324</v>
          </cell>
        </row>
        <row r="525">
          <cell r="C525" t="str">
            <v>陈小平</v>
          </cell>
          <cell r="E525">
            <v>31531</v>
          </cell>
          <cell r="F525" t="str">
            <v>362201198604295426</v>
          </cell>
        </row>
        <row r="526">
          <cell r="C526" t="str">
            <v>曾琪</v>
          </cell>
          <cell r="E526">
            <v>30593</v>
          </cell>
          <cell r="F526" t="str">
            <v>422325198310043242</v>
          </cell>
        </row>
        <row r="527">
          <cell r="C527" t="str">
            <v>杨兰</v>
          </cell>
          <cell r="E527">
            <v>31457</v>
          </cell>
          <cell r="F527" t="str">
            <v>610528198602148648</v>
          </cell>
        </row>
        <row r="528">
          <cell r="C528" t="str">
            <v>尚亚丽</v>
          </cell>
          <cell r="E528">
            <v>29983</v>
          </cell>
          <cell r="F528" t="str">
            <v>411121198202013522</v>
          </cell>
        </row>
        <row r="529">
          <cell r="C529" t="str">
            <v>吕细贵</v>
          </cell>
          <cell r="E529">
            <v>30402</v>
          </cell>
          <cell r="F529" t="str">
            <v>422127830327232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12"/>
  <sheetViews>
    <sheetView showGridLines="0" view="pageLayout" zoomScale="70" zoomScaleNormal="80" zoomScaleSheetLayoutView="85" zoomScalePageLayoutView="70" workbookViewId="0">
      <selection activeCell="J8" sqref="J8"/>
    </sheetView>
  </sheetViews>
  <sheetFormatPr defaultColWidth="9" defaultRowHeight="14"/>
  <cols>
    <col min="1" max="1" width="2" style="119" customWidth="1"/>
    <col min="2" max="2" width="6.08984375" style="120" customWidth="1"/>
    <col min="3" max="3" width="7.08984375" style="119" customWidth="1"/>
    <col min="4" max="5" width="12.90625" style="119" customWidth="1"/>
    <col min="6" max="7" width="10.6328125" style="119" customWidth="1"/>
    <col min="8" max="8" width="28.36328125" style="119" customWidth="1"/>
    <col min="9" max="9" width="9.6328125" style="119" customWidth="1"/>
    <col min="10" max="10" width="13.6328125" style="119" customWidth="1"/>
    <col min="11" max="16384" width="9" style="119"/>
  </cols>
  <sheetData>
    <row r="1" spans="2:10" ht="55.5" customHeight="1">
      <c r="B1" s="245" t="s">
        <v>227</v>
      </c>
      <c r="C1" s="246"/>
      <c r="D1" s="246"/>
      <c r="E1" s="246"/>
      <c r="F1" s="246"/>
      <c r="G1" s="246"/>
      <c r="H1" s="246"/>
      <c r="I1" s="246"/>
      <c r="J1" s="247"/>
    </row>
    <row r="2" spans="2:10" ht="40" customHeight="1">
      <c r="B2" s="248" t="s">
        <v>0</v>
      </c>
      <c r="C2" s="248"/>
      <c r="D2" s="249" t="s">
        <v>300</v>
      </c>
      <c r="E2" s="250"/>
      <c r="F2" s="250"/>
      <c r="G2" s="121" t="s">
        <v>1</v>
      </c>
      <c r="H2" s="251" t="s">
        <v>2</v>
      </c>
      <c r="I2" s="252"/>
      <c r="J2" s="252"/>
    </row>
    <row r="3" spans="2:10" ht="40" customHeight="1">
      <c r="B3" s="122"/>
      <c r="C3" s="123"/>
      <c r="D3" s="253" t="s">
        <v>3</v>
      </c>
      <c r="E3" s="253"/>
      <c r="F3" s="253"/>
      <c r="G3" s="253"/>
      <c r="H3" s="253"/>
      <c r="I3" s="253"/>
      <c r="J3" s="130"/>
    </row>
    <row r="4" spans="2:10" ht="40" customHeight="1">
      <c r="B4" s="124" t="s">
        <v>4</v>
      </c>
      <c r="C4" s="125" t="s">
        <v>5</v>
      </c>
      <c r="D4" s="240" t="s">
        <v>6</v>
      </c>
      <c r="E4" s="240"/>
      <c r="F4" s="240"/>
      <c r="G4" s="240"/>
      <c r="H4" s="240"/>
      <c r="I4" s="131" t="s">
        <v>7</v>
      </c>
      <c r="J4" s="131" t="s">
        <v>8</v>
      </c>
    </row>
    <row r="5" spans="2:10" ht="27" customHeight="1">
      <c r="B5" s="234">
        <v>1</v>
      </c>
      <c r="C5" s="210" t="s">
        <v>407</v>
      </c>
      <c r="D5" s="241" t="s">
        <v>408</v>
      </c>
      <c r="E5" s="242"/>
      <c r="F5" s="242"/>
      <c r="G5" s="242"/>
      <c r="H5" s="243"/>
      <c r="I5" s="211" t="s">
        <v>409</v>
      </c>
      <c r="J5" s="132" t="s">
        <v>418</v>
      </c>
    </row>
    <row r="6" spans="2:10" ht="43.5" customHeight="1">
      <c r="B6" s="234">
        <v>2</v>
      </c>
      <c r="C6" s="210" t="s">
        <v>414</v>
      </c>
      <c r="D6" s="244" t="s">
        <v>468</v>
      </c>
      <c r="E6" s="242"/>
      <c r="F6" s="242"/>
      <c r="G6" s="242"/>
      <c r="H6" s="243"/>
      <c r="I6" s="211" t="s">
        <v>351</v>
      </c>
      <c r="J6" s="132" t="s">
        <v>415</v>
      </c>
    </row>
    <row r="7" spans="2:10" ht="62.15" customHeight="1">
      <c r="B7" s="126">
        <v>3</v>
      </c>
      <c r="C7" s="127" t="s">
        <v>416</v>
      </c>
      <c r="D7" s="254" t="s">
        <v>469</v>
      </c>
      <c r="E7" s="255"/>
      <c r="F7" s="255"/>
      <c r="G7" s="255"/>
      <c r="H7" s="255"/>
      <c r="I7" s="211" t="s">
        <v>351</v>
      </c>
      <c r="J7" s="132" t="s">
        <v>419</v>
      </c>
    </row>
    <row r="8" spans="2:10" ht="322" customHeight="1">
      <c r="B8" s="128">
        <v>4</v>
      </c>
      <c r="C8" s="129" t="s">
        <v>421</v>
      </c>
      <c r="D8" s="244" t="s">
        <v>470</v>
      </c>
      <c r="E8" s="242"/>
      <c r="F8" s="242"/>
      <c r="G8" s="242"/>
      <c r="H8" s="243"/>
      <c r="I8" s="133" t="s">
        <v>422</v>
      </c>
      <c r="J8" s="132" t="s">
        <v>423</v>
      </c>
    </row>
    <row r="9" spans="2:10" ht="32.25" customHeight="1">
      <c r="B9" s="263" t="s">
        <v>9</v>
      </c>
      <c r="C9" s="264"/>
      <c r="D9" s="264"/>
      <c r="E9" s="264"/>
      <c r="F9" s="264"/>
      <c r="G9" s="264"/>
      <c r="H9" s="264"/>
      <c r="I9" s="264"/>
      <c r="J9" s="265"/>
    </row>
    <row r="10" spans="2:10" ht="21.75" customHeight="1">
      <c r="B10" s="261" t="s">
        <v>4</v>
      </c>
      <c r="C10" s="262"/>
      <c r="D10" s="266" t="s">
        <v>10</v>
      </c>
      <c r="E10" s="267"/>
      <c r="F10" s="267"/>
      <c r="G10" s="268"/>
      <c r="H10" s="178" t="s">
        <v>11</v>
      </c>
      <c r="I10" s="206" t="s">
        <v>12</v>
      </c>
      <c r="J10" s="208" t="s">
        <v>352</v>
      </c>
    </row>
    <row r="11" spans="2:10" ht="42.65" customHeight="1">
      <c r="B11" s="259">
        <v>1</v>
      </c>
      <c r="C11" s="260"/>
      <c r="D11" s="256" t="s">
        <v>389</v>
      </c>
      <c r="E11" s="257"/>
      <c r="F11" s="257"/>
      <c r="G11" s="258"/>
      <c r="H11" s="182" t="s">
        <v>258</v>
      </c>
      <c r="I11" s="207" t="s">
        <v>392</v>
      </c>
      <c r="J11" s="209">
        <v>1</v>
      </c>
    </row>
    <row r="12" spans="2:10" ht="39" customHeight="1">
      <c r="B12" s="259">
        <v>2</v>
      </c>
      <c r="C12" s="260"/>
      <c r="D12" s="256" t="s">
        <v>347</v>
      </c>
      <c r="E12" s="257"/>
      <c r="F12" s="257"/>
      <c r="G12" s="258"/>
      <c r="H12" s="182" t="s">
        <v>251</v>
      </c>
      <c r="I12" s="207" t="s">
        <v>257</v>
      </c>
      <c r="J12" s="209">
        <v>1</v>
      </c>
    </row>
  </sheetData>
  <mergeCells count="17">
    <mergeCell ref="D7:H7"/>
    <mergeCell ref="D8:H8"/>
    <mergeCell ref="D11:G11"/>
    <mergeCell ref="D12:G12"/>
    <mergeCell ref="B11:C11"/>
    <mergeCell ref="B10:C10"/>
    <mergeCell ref="B9:J9"/>
    <mergeCell ref="D10:G10"/>
    <mergeCell ref="B12:C12"/>
    <mergeCell ref="D4:H4"/>
    <mergeCell ref="D5:H5"/>
    <mergeCell ref="D6:H6"/>
    <mergeCell ref="B1:J1"/>
    <mergeCell ref="B2:C2"/>
    <mergeCell ref="D2:F2"/>
    <mergeCell ref="H2:J2"/>
    <mergeCell ref="D3:I3"/>
  </mergeCells>
  <phoneticPr fontId="45" type="noConversion"/>
  <printOptions horizontalCentered="1" verticalCentered="1"/>
  <pageMargins left="0" right="0" top="0.51181102362204722" bottom="0.39370078740157483" header="0.19685039370078741" footer="0.19685039370078741"/>
  <pageSetup paperSize="9" scale="89" fitToHeight="0" orientation="portrait" r:id="rId1"/>
  <headerFooter alignWithMargins="0">
    <oddHeader>&amp;LPM240707-014&amp;C正极涂布工序控制计划&amp;R版本号：B2</oddHeader>
    <oddFooter>&amp;C第 &amp;P 页，共 &amp;N 页</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A70"/>
  <sheetViews>
    <sheetView showGridLines="0" view="pageBreakPreview" topLeftCell="C49" zoomScale="55" zoomScaleNormal="70" zoomScaleSheetLayoutView="55" zoomScalePageLayoutView="55" workbookViewId="0">
      <selection activeCell="I53" sqref="I53"/>
    </sheetView>
  </sheetViews>
  <sheetFormatPr defaultColWidth="9" defaultRowHeight="14"/>
  <cols>
    <col min="1" max="1" width="1.08984375" style="87" customWidth="1"/>
    <col min="2" max="2" width="11" style="87" customWidth="1"/>
    <col min="3" max="3" width="8.453125" style="87" customWidth="1"/>
    <col min="4" max="4" width="10.6328125" style="87" customWidth="1"/>
    <col min="5" max="5" width="7.36328125" style="87" customWidth="1"/>
    <col min="6" max="6" width="12.08984375" style="87" customWidth="1"/>
    <col min="7" max="7" width="11.453125" style="87" customWidth="1"/>
    <col min="8" max="8" width="9.36328125" style="87" customWidth="1"/>
    <col min="9" max="9" width="23.36328125" style="87" customWidth="1"/>
    <col min="10" max="10" width="13.08984375" style="87" customWidth="1"/>
    <col min="11" max="14" width="10.90625" style="87" customWidth="1"/>
    <col min="15" max="15" width="32.6328125" style="87" customWidth="1"/>
    <col min="16" max="16" width="14.08984375" style="88" customWidth="1"/>
    <col min="17" max="17" width="22.6328125" style="88" customWidth="1"/>
    <col min="18" max="18" width="14.36328125" style="87" customWidth="1"/>
    <col min="19" max="16384" width="9" style="87"/>
  </cols>
  <sheetData>
    <row r="1" spans="2:27" s="84" customFormat="1" ht="10.5" customHeight="1" thickBot="1">
      <c r="B1" s="280"/>
      <c r="C1" s="280"/>
      <c r="D1" s="280"/>
      <c r="E1" s="89"/>
      <c r="F1" s="87"/>
      <c r="G1" s="87"/>
      <c r="H1" s="87"/>
      <c r="I1" s="103"/>
      <c r="K1" s="87"/>
      <c r="L1" s="87"/>
      <c r="M1" s="87"/>
      <c r="N1" s="87"/>
      <c r="O1" s="280"/>
      <c r="P1" s="280"/>
      <c r="Q1" s="280"/>
    </row>
    <row r="2" spans="2:27" s="85" customFormat="1" ht="31.5" customHeight="1">
      <c r="B2" s="294" t="s">
        <v>13</v>
      </c>
      <c r="C2" s="295"/>
      <c r="D2" s="295"/>
      <c r="E2" s="295"/>
      <c r="F2" s="295"/>
      <c r="G2" s="295"/>
      <c r="H2" s="295"/>
      <c r="I2" s="295"/>
      <c r="J2" s="296"/>
      <c r="K2" s="281" t="s">
        <v>14</v>
      </c>
      <c r="L2" s="282"/>
      <c r="M2" s="300" t="s">
        <v>364</v>
      </c>
      <c r="N2" s="301"/>
      <c r="O2" s="302"/>
      <c r="P2" s="159" t="s">
        <v>15</v>
      </c>
      <c r="Q2" s="160" t="s">
        <v>390</v>
      </c>
    </row>
    <row r="3" spans="2:27" s="85" customFormat="1" ht="31.5" customHeight="1">
      <c r="B3" s="297"/>
      <c r="C3" s="298"/>
      <c r="D3" s="298"/>
      <c r="E3" s="298"/>
      <c r="F3" s="298"/>
      <c r="G3" s="298"/>
      <c r="H3" s="298"/>
      <c r="I3" s="298"/>
      <c r="J3" s="299"/>
      <c r="K3" s="283" t="s">
        <v>16</v>
      </c>
      <c r="L3" s="284"/>
      <c r="M3" s="303" t="s">
        <v>17</v>
      </c>
      <c r="N3" s="304"/>
      <c r="O3" s="305"/>
      <c r="P3" s="162" t="s">
        <v>18</v>
      </c>
      <c r="Q3" s="163" t="s">
        <v>429</v>
      </c>
      <c r="T3" s="115"/>
      <c r="U3" s="115"/>
      <c r="V3" s="115"/>
      <c r="W3" s="115"/>
      <c r="X3" s="115"/>
      <c r="Y3" s="115"/>
      <c r="Z3" s="115"/>
      <c r="AA3" s="115"/>
    </row>
    <row r="4" spans="2:27" s="85" customFormat="1" ht="32.25" customHeight="1">
      <c r="B4" s="285" t="s">
        <v>19</v>
      </c>
      <c r="C4" s="286"/>
      <c r="D4" s="286"/>
      <c r="E4" s="287" t="s">
        <v>405</v>
      </c>
      <c r="F4" s="287"/>
      <c r="G4" s="287"/>
      <c r="H4" s="287"/>
      <c r="I4" s="287"/>
      <c r="J4" s="287"/>
      <c r="K4" s="288" t="s">
        <v>20</v>
      </c>
      <c r="L4" s="289"/>
      <c r="M4" s="306" t="s">
        <v>252</v>
      </c>
      <c r="N4" s="307"/>
      <c r="O4" s="307"/>
      <c r="P4" s="307"/>
      <c r="Q4" s="308"/>
      <c r="T4" s="116"/>
      <c r="U4" s="115"/>
      <c r="V4" s="115"/>
      <c r="W4" s="115"/>
      <c r="X4" s="115"/>
      <c r="Y4" s="115"/>
      <c r="Z4" s="115"/>
      <c r="AA4" s="115"/>
    </row>
    <row r="5" spans="2:27" s="85" customFormat="1" ht="38.25" customHeight="1">
      <c r="B5" s="212" t="s">
        <v>21</v>
      </c>
      <c r="C5" s="290" t="s">
        <v>360</v>
      </c>
      <c r="D5" s="290"/>
      <c r="E5" s="291" t="s">
        <v>22</v>
      </c>
      <c r="F5" s="290"/>
      <c r="G5" s="290" t="s">
        <v>361</v>
      </c>
      <c r="H5" s="290"/>
      <c r="I5" s="213" t="s">
        <v>362</v>
      </c>
      <c r="J5" s="213" t="s">
        <v>363</v>
      </c>
      <c r="K5" s="104" t="s">
        <v>23</v>
      </c>
      <c r="L5" s="292" t="s">
        <v>24</v>
      </c>
      <c r="M5" s="292"/>
      <c r="N5" s="292"/>
      <c r="O5" s="293"/>
      <c r="P5" s="154" t="s">
        <v>25</v>
      </c>
      <c r="Q5" s="105" t="s">
        <v>24</v>
      </c>
      <c r="T5" s="117"/>
      <c r="U5" s="117"/>
      <c r="V5" s="117"/>
      <c r="W5" s="117"/>
      <c r="X5" s="117"/>
      <c r="Y5" s="117"/>
      <c r="Z5" s="117"/>
      <c r="AA5" s="117"/>
    </row>
    <row r="6" spans="2:27" s="86" customFormat="1" ht="27" customHeight="1">
      <c r="B6" s="285" t="s">
        <v>26</v>
      </c>
      <c r="C6" s="362" t="s">
        <v>27</v>
      </c>
      <c r="D6" s="362" t="s">
        <v>28</v>
      </c>
      <c r="E6" s="325" t="s">
        <v>29</v>
      </c>
      <c r="F6" s="327"/>
      <c r="G6" s="327"/>
      <c r="H6" s="327"/>
      <c r="I6" s="325" t="s">
        <v>30</v>
      </c>
      <c r="J6" s="328"/>
      <c r="K6" s="328"/>
      <c r="L6" s="328"/>
      <c r="M6" s="328"/>
      <c r="N6" s="328"/>
      <c r="O6" s="328"/>
      <c r="P6" s="325" t="s">
        <v>31</v>
      </c>
      <c r="Q6" s="326"/>
      <c r="T6" s="118"/>
      <c r="U6" s="118"/>
      <c r="V6" s="118"/>
      <c r="W6" s="118"/>
      <c r="X6" s="118"/>
      <c r="Y6" s="118"/>
      <c r="Z6" s="118"/>
      <c r="AA6" s="118"/>
    </row>
    <row r="7" spans="2:27" s="86" customFormat="1" ht="27" customHeight="1">
      <c r="B7" s="285"/>
      <c r="C7" s="362"/>
      <c r="D7" s="362"/>
      <c r="E7" s="333" t="s">
        <v>32</v>
      </c>
      <c r="F7" s="336" t="s">
        <v>33</v>
      </c>
      <c r="G7" s="277" t="s">
        <v>34</v>
      </c>
      <c r="H7" s="277" t="s">
        <v>35</v>
      </c>
      <c r="I7" s="277" t="s">
        <v>36</v>
      </c>
      <c r="J7" s="277" t="s">
        <v>37</v>
      </c>
      <c r="K7" s="329" t="s">
        <v>326</v>
      </c>
      <c r="L7" s="330"/>
      <c r="M7" s="329" t="s">
        <v>327</v>
      </c>
      <c r="N7" s="330"/>
      <c r="O7" s="325" t="s">
        <v>38</v>
      </c>
      <c r="P7" s="325"/>
      <c r="Q7" s="326"/>
      <c r="T7" s="118"/>
      <c r="U7" s="118"/>
      <c r="V7" s="118"/>
      <c r="W7" s="118"/>
      <c r="X7" s="118"/>
      <c r="Y7" s="118"/>
      <c r="Z7" s="118"/>
      <c r="AA7" s="118"/>
    </row>
    <row r="8" spans="2:27" s="86" customFormat="1" ht="30" customHeight="1">
      <c r="B8" s="356"/>
      <c r="C8" s="286"/>
      <c r="D8" s="286"/>
      <c r="E8" s="334"/>
      <c r="F8" s="337"/>
      <c r="G8" s="278"/>
      <c r="H8" s="278"/>
      <c r="I8" s="278"/>
      <c r="J8" s="278"/>
      <c r="K8" s="329" t="s">
        <v>302</v>
      </c>
      <c r="L8" s="330"/>
      <c r="M8" s="329" t="s">
        <v>301</v>
      </c>
      <c r="N8" s="330"/>
      <c r="O8" s="325"/>
      <c r="P8" s="327"/>
      <c r="Q8" s="326"/>
      <c r="T8" s="118"/>
      <c r="U8" s="118"/>
      <c r="V8" s="118"/>
      <c r="W8" s="118"/>
      <c r="X8" s="118"/>
      <c r="Y8" s="118"/>
      <c r="Z8" s="118"/>
      <c r="AA8" s="118"/>
    </row>
    <row r="9" spans="2:27" s="86" customFormat="1" ht="35.25" customHeight="1">
      <c r="B9" s="356"/>
      <c r="C9" s="286"/>
      <c r="D9" s="286"/>
      <c r="E9" s="335"/>
      <c r="F9" s="338"/>
      <c r="G9" s="279"/>
      <c r="H9" s="279"/>
      <c r="I9" s="279"/>
      <c r="J9" s="279"/>
      <c r="K9" s="203" t="s">
        <v>304</v>
      </c>
      <c r="L9" s="203" t="s">
        <v>306</v>
      </c>
      <c r="M9" s="203" t="s">
        <v>303</v>
      </c>
      <c r="N9" s="203" t="s">
        <v>305</v>
      </c>
      <c r="O9" s="327"/>
      <c r="P9" s="327"/>
      <c r="Q9" s="326"/>
      <c r="T9" s="118"/>
      <c r="U9" s="118"/>
      <c r="V9" s="118"/>
      <c r="W9" s="118"/>
      <c r="X9" s="118"/>
      <c r="Y9" s="118"/>
      <c r="Z9" s="118"/>
      <c r="AA9" s="118"/>
    </row>
    <row r="10" spans="2:27" s="86" customFormat="1" ht="44.15" customHeight="1">
      <c r="B10" s="357" t="s">
        <v>39</v>
      </c>
      <c r="C10" s="363" t="s">
        <v>40</v>
      </c>
      <c r="D10" s="363" t="s">
        <v>430</v>
      </c>
      <c r="E10" s="156" t="s">
        <v>24</v>
      </c>
      <c r="F10" s="156" t="s">
        <v>41</v>
      </c>
      <c r="G10" s="156" t="s">
        <v>24</v>
      </c>
      <c r="H10" s="90" t="s">
        <v>24</v>
      </c>
      <c r="I10" s="93" t="s">
        <v>359</v>
      </c>
      <c r="J10" s="205" t="s">
        <v>399</v>
      </c>
      <c r="K10" s="90" t="s">
        <v>328</v>
      </c>
      <c r="L10" s="90" t="s">
        <v>44</v>
      </c>
      <c r="M10" s="92" t="s">
        <v>307</v>
      </c>
      <c r="N10" s="92" t="s">
        <v>259</v>
      </c>
      <c r="O10" s="139" t="s">
        <v>329</v>
      </c>
      <c r="P10" s="331" t="s">
        <v>45</v>
      </c>
      <c r="Q10" s="332"/>
      <c r="R10" s="110"/>
    </row>
    <row r="11" spans="2:27" s="86" customFormat="1" ht="26">
      <c r="B11" s="357"/>
      <c r="C11" s="363"/>
      <c r="D11" s="363"/>
      <c r="E11" s="156" t="s">
        <v>24</v>
      </c>
      <c r="F11" s="91" t="s">
        <v>46</v>
      </c>
      <c r="G11" s="156" t="s">
        <v>24</v>
      </c>
      <c r="H11" s="92" t="s">
        <v>24</v>
      </c>
      <c r="I11" s="214" t="s">
        <v>410</v>
      </c>
      <c r="J11" s="156" t="s">
        <v>47</v>
      </c>
      <c r="K11" s="90" t="s">
        <v>43</v>
      </c>
      <c r="L11" s="90" t="s">
        <v>48</v>
      </c>
      <c r="M11" s="92" t="s">
        <v>330</v>
      </c>
      <c r="N11" s="92" t="s">
        <v>307</v>
      </c>
      <c r="O11" s="106" t="s">
        <v>331</v>
      </c>
      <c r="P11" s="309" t="s">
        <v>49</v>
      </c>
      <c r="Q11" s="310"/>
    </row>
    <row r="12" spans="2:27" s="86" customFormat="1" ht="26">
      <c r="B12" s="357"/>
      <c r="C12" s="363"/>
      <c r="D12" s="363"/>
      <c r="E12" s="217" t="s">
        <v>24</v>
      </c>
      <c r="F12" s="91" t="s">
        <v>357</v>
      </c>
      <c r="G12" s="156" t="s">
        <v>24</v>
      </c>
      <c r="H12" s="92" t="s">
        <v>24</v>
      </c>
      <c r="I12" s="214" t="s">
        <v>371</v>
      </c>
      <c r="J12" s="91" t="s">
        <v>50</v>
      </c>
      <c r="K12" s="90" t="s">
        <v>43</v>
      </c>
      <c r="L12" s="90" t="s">
        <v>48</v>
      </c>
      <c r="M12" s="92" t="s">
        <v>310</v>
      </c>
      <c r="N12" s="92" t="s">
        <v>310</v>
      </c>
      <c r="O12" s="106" t="s">
        <v>309</v>
      </c>
      <c r="P12" s="309" t="s">
        <v>49</v>
      </c>
      <c r="Q12" s="310"/>
    </row>
    <row r="13" spans="2:27" s="86" customFormat="1" ht="39">
      <c r="B13" s="357"/>
      <c r="C13" s="363"/>
      <c r="D13" s="363"/>
      <c r="E13" s="217" t="s">
        <v>24</v>
      </c>
      <c r="F13" s="91" t="s">
        <v>250</v>
      </c>
      <c r="G13" s="156" t="s">
        <v>24</v>
      </c>
      <c r="H13" s="92" t="s">
        <v>24</v>
      </c>
      <c r="I13" s="214" t="s">
        <v>417</v>
      </c>
      <c r="J13" s="93" t="s">
        <v>219</v>
      </c>
      <c r="K13" s="90" t="s">
        <v>43</v>
      </c>
      <c r="L13" s="90" t="s">
        <v>226</v>
      </c>
      <c r="M13" s="92" t="s">
        <v>310</v>
      </c>
      <c r="N13" s="92" t="s">
        <v>259</v>
      </c>
      <c r="O13" s="106" t="s">
        <v>331</v>
      </c>
      <c r="P13" s="309" t="s">
        <v>49</v>
      </c>
      <c r="Q13" s="310"/>
    </row>
    <row r="14" spans="2:27" s="86" customFormat="1" ht="32.15" customHeight="1">
      <c r="B14" s="357"/>
      <c r="C14" s="363"/>
      <c r="D14" s="363"/>
      <c r="E14" s="156" t="s">
        <v>24</v>
      </c>
      <c r="F14" s="93" t="s">
        <v>51</v>
      </c>
      <c r="G14" s="156" t="s">
        <v>24</v>
      </c>
      <c r="H14" s="90" t="s">
        <v>24</v>
      </c>
      <c r="I14" s="91" t="s">
        <v>52</v>
      </c>
      <c r="J14" s="156" t="s">
        <v>53</v>
      </c>
      <c r="K14" s="107" t="s">
        <v>332</v>
      </c>
      <c r="L14" s="90" t="s">
        <v>48</v>
      </c>
      <c r="M14" s="92" t="s">
        <v>310</v>
      </c>
      <c r="N14" s="92" t="s">
        <v>259</v>
      </c>
      <c r="O14" s="139" t="s">
        <v>308</v>
      </c>
      <c r="P14" s="309" t="s">
        <v>49</v>
      </c>
      <c r="Q14" s="310"/>
    </row>
    <row r="15" spans="2:27" s="86" customFormat="1" ht="55.5" customHeight="1">
      <c r="B15" s="358" t="s">
        <v>55</v>
      </c>
      <c r="C15" s="364" t="s">
        <v>56</v>
      </c>
      <c r="D15" s="374" t="s">
        <v>24</v>
      </c>
      <c r="E15" s="94" t="s">
        <v>24</v>
      </c>
      <c r="F15" s="94" t="s">
        <v>24</v>
      </c>
      <c r="G15" s="95" t="s">
        <v>57</v>
      </c>
      <c r="H15" s="96" t="s">
        <v>24</v>
      </c>
      <c r="I15" s="95" t="s">
        <v>58</v>
      </c>
      <c r="J15" s="95" t="s">
        <v>59</v>
      </c>
      <c r="K15" s="108" t="s">
        <v>54</v>
      </c>
      <c r="L15" s="109" t="s">
        <v>333</v>
      </c>
      <c r="M15" s="92" t="s">
        <v>334</v>
      </c>
      <c r="N15" s="92" t="s">
        <v>310</v>
      </c>
      <c r="O15" s="106" t="s">
        <v>314</v>
      </c>
      <c r="P15" s="323" t="s">
        <v>60</v>
      </c>
      <c r="Q15" s="324"/>
    </row>
    <row r="16" spans="2:27" s="86" customFormat="1" ht="54.65" customHeight="1">
      <c r="B16" s="358"/>
      <c r="C16" s="364"/>
      <c r="D16" s="375"/>
      <c r="E16" s="94" t="s">
        <v>24</v>
      </c>
      <c r="F16" s="94" t="s">
        <v>24</v>
      </c>
      <c r="G16" s="95" t="s">
        <v>61</v>
      </c>
      <c r="H16" s="96" t="s">
        <v>24</v>
      </c>
      <c r="I16" s="95" t="s">
        <v>62</v>
      </c>
      <c r="J16" s="95" t="s">
        <v>245</v>
      </c>
      <c r="K16" s="108" t="s">
        <v>54</v>
      </c>
      <c r="L16" s="109" t="s">
        <v>313</v>
      </c>
      <c r="M16" s="92" t="s">
        <v>310</v>
      </c>
      <c r="N16" s="92" t="s">
        <v>330</v>
      </c>
      <c r="O16" s="106" t="s">
        <v>314</v>
      </c>
      <c r="P16" s="323" t="s">
        <v>60</v>
      </c>
      <c r="Q16" s="324"/>
      <c r="T16" s="118"/>
      <c r="U16" s="118"/>
      <c r="V16" s="118"/>
      <c r="W16" s="118"/>
      <c r="X16" s="118"/>
      <c r="Y16" s="118"/>
      <c r="Z16" s="118"/>
      <c r="AA16" s="118"/>
    </row>
    <row r="17" spans="2:27" s="86" customFormat="1" ht="51" customHeight="1">
      <c r="B17" s="358"/>
      <c r="C17" s="364"/>
      <c r="D17" s="376"/>
      <c r="E17" s="94" t="s">
        <v>24</v>
      </c>
      <c r="F17" s="94" t="s">
        <v>24</v>
      </c>
      <c r="G17" s="94" t="s">
        <v>63</v>
      </c>
      <c r="H17" s="96" t="s">
        <v>24</v>
      </c>
      <c r="I17" s="100" t="s">
        <v>388</v>
      </c>
      <c r="J17" s="92" t="s">
        <v>353</v>
      </c>
      <c r="K17" s="92" t="s">
        <v>310</v>
      </c>
      <c r="L17" s="92" t="s">
        <v>307</v>
      </c>
      <c r="M17" s="108" t="s">
        <v>54</v>
      </c>
      <c r="N17" s="109" t="s">
        <v>64</v>
      </c>
      <c r="O17" s="106" t="s">
        <v>309</v>
      </c>
      <c r="P17" s="323" t="s">
        <v>60</v>
      </c>
      <c r="Q17" s="324"/>
      <c r="T17" s="118"/>
      <c r="U17" s="118"/>
      <c r="V17" s="118"/>
      <c r="W17" s="118"/>
      <c r="X17" s="118"/>
      <c r="Y17" s="118"/>
      <c r="Z17" s="118"/>
      <c r="AA17" s="118"/>
    </row>
    <row r="18" spans="2:27" s="86" customFormat="1" ht="32.25" customHeight="1">
      <c r="B18" s="155" t="s">
        <v>65</v>
      </c>
      <c r="C18" s="156" t="s">
        <v>66</v>
      </c>
      <c r="D18" s="91" t="s">
        <v>67</v>
      </c>
      <c r="E18" s="156" t="s">
        <v>24</v>
      </c>
      <c r="F18" s="94" t="s">
        <v>24</v>
      </c>
      <c r="G18" s="93" t="s">
        <v>66</v>
      </c>
      <c r="H18" s="96" t="s">
        <v>24</v>
      </c>
      <c r="I18" s="91" t="s">
        <v>68</v>
      </c>
      <c r="J18" s="156" t="s">
        <v>42</v>
      </c>
      <c r="K18" s="107" t="s">
        <v>54</v>
      </c>
      <c r="L18" s="90" t="s">
        <v>69</v>
      </c>
      <c r="M18" s="92" t="s">
        <v>307</v>
      </c>
      <c r="N18" s="92" t="s">
        <v>310</v>
      </c>
      <c r="O18" s="106" t="s">
        <v>308</v>
      </c>
      <c r="P18" s="309" t="s">
        <v>70</v>
      </c>
      <c r="Q18" s="310"/>
      <c r="R18" s="218"/>
      <c r="S18" s="218"/>
    </row>
    <row r="19" spans="2:27" s="86" customFormat="1" ht="33.65" customHeight="1">
      <c r="B19" s="379" t="s">
        <v>185</v>
      </c>
      <c r="C19" s="382" t="s">
        <v>209</v>
      </c>
      <c r="D19" s="382" t="s">
        <v>189</v>
      </c>
      <c r="E19" s="157" t="s">
        <v>24</v>
      </c>
      <c r="F19" s="157" t="s">
        <v>24</v>
      </c>
      <c r="G19" s="220" t="s">
        <v>190</v>
      </c>
      <c r="H19" s="220" t="s">
        <v>24</v>
      </c>
      <c r="I19" s="221" t="s">
        <v>210</v>
      </c>
      <c r="J19" s="220" t="s">
        <v>191</v>
      </c>
      <c r="K19" s="222" t="s">
        <v>192</v>
      </c>
      <c r="L19" s="108" t="s">
        <v>193</v>
      </c>
      <c r="M19" s="92" t="s">
        <v>310</v>
      </c>
      <c r="N19" s="92" t="s">
        <v>310</v>
      </c>
      <c r="O19" s="106" t="s">
        <v>308</v>
      </c>
      <c r="P19" s="317" t="s">
        <v>194</v>
      </c>
      <c r="Q19" s="318"/>
      <c r="R19" s="216"/>
      <c r="S19" s="216"/>
      <c r="T19" s="134"/>
      <c r="U19" s="134"/>
      <c r="V19" s="135"/>
    </row>
    <row r="20" spans="2:27" s="86" customFormat="1" ht="36.65" customHeight="1">
      <c r="B20" s="380"/>
      <c r="C20" s="383"/>
      <c r="D20" s="383"/>
      <c r="E20" s="157" t="s">
        <v>24</v>
      </c>
      <c r="F20" s="136" t="s">
        <v>24</v>
      </c>
      <c r="G20" s="112" t="s">
        <v>220</v>
      </c>
      <c r="H20" s="220" t="s">
        <v>24</v>
      </c>
      <c r="I20" s="112" t="s">
        <v>195</v>
      </c>
      <c r="J20" s="112" t="s">
        <v>53</v>
      </c>
      <c r="K20" s="226" t="s">
        <v>54</v>
      </c>
      <c r="L20" s="226" t="s">
        <v>315</v>
      </c>
      <c r="M20" s="137" t="s">
        <v>54</v>
      </c>
      <c r="N20" s="137" t="s">
        <v>315</v>
      </c>
      <c r="O20" s="106" t="s">
        <v>308</v>
      </c>
      <c r="P20" s="319" t="s">
        <v>196</v>
      </c>
      <c r="Q20" s="320"/>
      <c r="R20" s="216"/>
      <c r="S20" s="216"/>
      <c r="T20" s="134"/>
      <c r="U20" s="134"/>
      <c r="V20" s="135"/>
    </row>
    <row r="21" spans="2:27" s="86" customFormat="1" ht="30" customHeight="1">
      <c r="B21" s="380"/>
      <c r="C21" s="383"/>
      <c r="D21" s="384"/>
      <c r="E21" s="157" t="s">
        <v>24</v>
      </c>
      <c r="F21" s="136" t="s">
        <v>24</v>
      </c>
      <c r="G21" s="112" t="s">
        <v>222</v>
      </c>
      <c r="H21" s="220" t="s">
        <v>24</v>
      </c>
      <c r="I21" s="112" t="s">
        <v>372</v>
      </c>
      <c r="J21" s="112" t="s">
        <v>53</v>
      </c>
      <c r="K21" s="137" t="s">
        <v>197</v>
      </c>
      <c r="L21" s="137" t="s">
        <v>315</v>
      </c>
      <c r="M21" s="92" t="s">
        <v>307</v>
      </c>
      <c r="N21" s="92" t="s">
        <v>310</v>
      </c>
      <c r="O21" s="106" t="s">
        <v>308</v>
      </c>
      <c r="P21" s="319" t="s">
        <v>198</v>
      </c>
      <c r="Q21" s="320"/>
      <c r="R21" s="216"/>
      <c r="S21" s="216"/>
      <c r="T21" s="134"/>
      <c r="U21" s="134"/>
      <c r="V21" s="135"/>
    </row>
    <row r="22" spans="2:27" s="86" customFormat="1" ht="26">
      <c r="B22" s="380"/>
      <c r="C22" s="383"/>
      <c r="D22" s="374" t="s">
        <v>199</v>
      </c>
      <c r="E22" s="157" t="s">
        <v>24</v>
      </c>
      <c r="F22" s="94" t="s">
        <v>24</v>
      </c>
      <c r="G22" s="94" t="s">
        <v>221</v>
      </c>
      <c r="H22" s="94" t="s">
        <v>24</v>
      </c>
      <c r="I22" s="94" t="s">
        <v>200</v>
      </c>
      <c r="J22" s="94" t="s">
        <v>201</v>
      </c>
      <c r="K22" s="223" t="s">
        <v>54</v>
      </c>
      <c r="L22" s="224" t="s">
        <v>315</v>
      </c>
      <c r="M22" s="138" t="s">
        <v>54</v>
      </c>
      <c r="N22" s="137" t="s">
        <v>335</v>
      </c>
      <c r="O22" s="106" t="s">
        <v>329</v>
      </c>
      <c r="P22" s="321" t="s">
        <v>202</v>
      </c>
      <c r="Q22" s="322"/>
      <c r="R22" s="216"/>
      <c r="S22" s="216"/>
      <c r="T22" s="134"/>
      <c r="U22" s="134"/>
      <c r="V22" s="135"/>
    </row>
    <row r="23" spans="2:27" s="86" customFormat="1" ht="39">
      <c r="B23" s="381"/>
      <c r="C23" s="384"/>
      <c r="D23" s="376"/>
      <c r="E23" s="202">
        <v>1</v>
      </c>
      <c r="F23" s="96" t="s">
        <v>24</v>
      </c>
      <c r="G23" s="99" t="s">
        <v>203</v>
      </c>
      <c r="H23" s="232" t="s">
        <v>83</v>
      </c>
      <c r="I23" s="99" t="s">
        <v>387</v>
      </c>
      <c r="J23" s="96" t="s">
        <v>204</v>
      </c>
      <c r="K23" s="199" t="s">
        <v>54</v>
      </c>
      <c r="L23" s="199" t="s">
        <v>205</v>
      </c>
      <c r="M23" s="199" t="s">
        <v>54</v>
      </c>
      <c r="N23" s="199" t="s">
        <v>205</v>
      </c>
      <c r="O23" s="219" t="s">
        <v>386</v>
      </c>
      <c r="P23" s="317" t="s">
        <v>373</v>
      </c>
      <c r="Q23" s="317"/>
      <c r="R23" s="216"/>
      <c r="S23" s="216"/>
      <c r="T23" s="134"/>
      <c r="U23" s="134"/>
      <c r="V23" s="135"/>
    </row>
    <row r="24" spans="2:27" s="86" customFormat="1" ht="26">
      <c r="B24" s="155" t="s">
        <v>206</v>
      </c>
      <c r="C24" s="156" t="s">
        <v>17</v>
      </c>
      <c r="D24" s="156" t="s">
        <v>71</v>
      </c>
      <c r="E24" s="156" t="s">
        <v>24</v>
      </c>
      <c r="F24" s="156" t="s">
        <v>24</v>
      </c>
      <c r="G24" s="93" t="s">
        <v>72</v>
      </c>
      <c r="H24" s="90" t="s">
        <v>24</v>
      </c>
      <c r="I24" s="93" t="s">
        <v>244</v>
      </c>
      <c r="J24" s="91" t="s">
        <v>73</v>
      </c>
      <c r="K24" s="90" t="s">
        <v>54</v>
      </c>
      <c r="L24" s="90" t="s">
        <v>341</v>
      </c>
      <c r="M24" s="90" t="s">
        <v>312</v>
      </c>
      <c r="N24" s="90" t="s">
        <v>316</v>
      </c>
      <c r="O24" s="106" t="s">
        <v>317</v>
      </c>
      <c r="P24" s="311" t="s">
        <v>74</v>
      </c>
      <c r="Q24" s="312"/>
    </row>
    <row r="25" spans="2:27" s="86" customFormat="1" ht="68.150000000000006" customHeight="1">
      <c r="B25" s="359" t="s">
        <v>206</v>
      </c>
      <c r="C25" s="365" t="s">
        <v>17</v>
      </c>
      <c r="D25" s="365" t="s">
        <v>71</v>
      </c>
      <c r="E25" s="156" t="s">
        <v>24</v>
      </c>
      <c r="F25" s="156" t="s">
        <v>24</v>
      </c>
      <c r="G25" s="93" t="s">
        <v>75</v>
      </c>
      <c r="H25" s="90" t="s">
        <v>24</v>
      </c>
      <c r="I25" s="93" t="s">
        <v>76</v>
      </c>
      <c r="J25" s="91" t="s">
        <v>77</v>
      </c>
      <c r="K25" s="90" t="s">
        <v>54</v>
      </c>
      <c r="L25" s="90" t="s">
        <v>341</v>
      </c>
      <c r="M25" s="90" t="s">
        <v>218</v>
      </c>
      <c r="N25" s="90" t="s">
        <v>316</v>
      </c>
      <c r="O25" s="106" t="s">
        <v>318</v>
      </c>
      <c r="P25" s="311" t="s">
        <v>74</v>
      </c>
      <c r="Q25" s="312"/>
    </row>
    <row r="26" spans="2:27" s="86" customFormat="1" ht="37" customHeight="1">
      <c r="B26" s="360"/>
      <c r="C26" s="366"/>
      <c r="D26" s="366"/>
      <c r="E26" s="156" t="s">
        <v>24</v>
      </c>
      <c r="F26" s="156" t="s">
        <v>24</v>
      </c>
      <c r="G26" s="93" t="s">
        <v>78</v>
      </c>
      <c r="H26" s="90" t="s">
        <v>24</v>
      </c>
      <c r="I26" s="93" t="s">
        <v>76</v>
      </c>
      <c r="J26" s="91" t="s">
        <v>79</v>
      </c>
      <c r="K26" s="90" t="s">
        <v>54</v>
      </c>
      <c r="L26" s="90" t="s">
        <v>341</v>
      </c>
      <c r="M26" s="90" t="s">
        <v>312</v>
      </c>
      <c r="N26" s="90" t="s">
        <v>316</v>
      </c>
      <c r="O26" s="106" t="s">
        <v>319</v>
      </c>
      <c r="P26" s="311" t="s">
        <v>74</v>
      </c>
      <c r="Q26" s="312"/>
    </row>
    <row r="27" spans="2:27" s="86" customFormat="1" ht="38.5" customHeight="1">
      <c r="B27" s="360"/>
      <c r="C27" s="366"/>
      <c r="D27" s="366"/>
      <c r="E27" s="156" t="s">
        <v>24</v>
      </c>
      <c r="F27" s="156" t="s">
        <v>24</v>
      </c>
      <c r="G27" s="93" t="s">
        <v>80</v>
      </c>
      <c r="H27" s="90" t="s">
        <v>24</v>
      </c>
      <c r="I27" s="93" t="s">
        <v>374</v>
      </c>
      <c r="J27" s="91" t="s">
        <v>81</v>
      </c>
      <c r="K27" s="90" t="s">
        <v>54</v>
      </c>
      <c r="L27" s="90" t="s">
        <v>341</v>
      </c>
      <c r="M27" s="90" t="s">
        <v>312</v>
      </c>
      <c r="N27" s="90" t="s">
        <v>316</v>
      </c>
      <c r="O27" s="106" t="s">
        <v>317</v>
      </c>
      <c r="P27" s="311" t="s">
        <v>74</v>
      </c>
      <c r="Q27" s="312"/>
    </row>
    <row r="28" spans="2:27" s="86" customFormat="1" ht="43.5" customHeight="1">
      <c r="B28" s="360"/>
      <c r="C28" s="366"/>
      <c r="D28" s="366"/>
      <c r="E28" s="156" t="s">
        <v>24</v>
      </c>
      <c r="F28" s="156" t="s">
        <v>24</v>
      </c>
      <c r="G28" s="93" t="s">
        <v>82</v>
      </c>
      <c r="H28" s="90" t="s">
        <v>24</v>
      </c>
      <c r="I28" s="93" t="s">
        <v>375</v>
      </c>
      <c r="J28" s="91" t="s">
        <v>73</v>
      </c>
      <c r="K28" s="90" t="s">
        <v>54</v>
      </c>
      <c r="L28" s="90" t="s">
        <v>341</v>
      </c>
      <c r="M28" s="90" t="s">
        <v>312</v>
      </c>
      <c r="N28" s="90" t="s">
        <v>316</v>
      </c>
      <c r="O28" s="106" t="s">
        <v>317</v>
      </c>
      <c r="P28" s="311" t="s">
        <v>74</v>
      </c>
      <c r="Q28" s="312"/>
    </row>
    <row r="29" spans="2:27" s="86" customFormat="1" ht="33.65" customHeight="1">
      <c r="B29" s="360"/>
      <c r="C29" s="366"/>
      <c r="D29" s="366"/>
      <c r="E29" s="93">
        <v>2</v>
      </c>
      <c r="F29" s="93" t="s">
        <v>24</v>
      </c>
      <c r="G29" s="93" t="s">
        <v>393</v>
      </c>
      <c r="H29" s="228" t="s">
        <v>83</v>
      </c>
      <c r="I29" s="93" t="s">
        <v>394</v>
      </c>
      <c r="J29" s="91" t="s">
        <v>73</v>
      </c>
      <c r="K29" s="90" t="s">
        <v>54</v>
      </c>
      <c r="L29" s="90" t="s">
        <v>341</v>
      </c>
      <c r="M29" s="90" t="s">
        <v>312</v>
      </c>
      <c r="N29" s="90" t="s">
        <v>316</v>
      </c>
      <c r="O29" s="106" t="s">
        <v>317</v>
      </c>
      <c r="P29" s="311" t="s">
        <v>74</v>
      </c>
      <c r="Q29" s="312"/>
    </row>
    <row r="30" spans="2:27" s="86" customFormat="1" ht="43.5" customHeight="1">
      <c r="B30" s="360"/>
      <c r="C30" s="366"/>
      <c r="D30" s="366"/>
      <c r="E30" s="156" t="s">
        <v>24</v>
      </c>
      <c r="F30" s="156" t="s">
        <v>24</v>
      </c>
      <c r="G30" s="94" t="s">
        <v>84</v>
      </c>
      <c r="H30" s="90" t="s">
        <v>24</v>
      </c>
      <c r="I30" s="93" t="s">
        <v>365</v>
      </c>
      <c r="J30" s="93" t="s">
        <v>85</v>
      </c>
      <c r="K30" s="90" t="s">
        <v>54</v>
      </c>
      <c r="L30" s="90" t="s">
        <v>311</v>
      </c>
      <c r="M30" s="90" t="s">
        <v>312</v>
      </c>
      <c r="N30" s="90" t="s">
        <v>316</v>
      </c>
      <c r="O30" s="106" t="s">
        <v>320</v>
      </c>
      <c r="P30" s="311" t="s">
        <v>74</v>
      </c>
      <c r="Q30" s="312"/>
    </row>
    <row r="31" spans="2:27" s="86" customFormat="1" ht="40.5" customHeight="1">
      <c r="B31" s="360"/>
      <c r="C31" s="366"/>
      <c r="D31" s="366"/>
      <c r="E31" s="156" t="s">
        <v>24</v>
      </c>
      <c r="F31" s="156" t="s">
        <v>24</v>
      </c>
      <c r="G31" s="94" t="s">
        <v>86</v>
      </c>
      <c r="H31" s="90" t="s">
        <v>24</v>
      </c>
      <c r="I31" s="93" t="s">
        <v>376</v>
      </c>
      <c r="J31" s="93" t="s">
        <v>85</v>
      </c>
      <c r="K31" s="90" t="s">
        <v>54</v>
      </c>
      <c r="L31" s="90" t="s">
        <v>311</v>
      </c>
      <c r="M31" s="90" t="s">
        <v>336</v>
      </c>
      <c r="N31" s="90" t="s">
        <v>316</v>
      </c>
      <c r="O31" s="106" t="s">
        <v>320</v>
      </c>
      <c r="P31" s="311" t="s">
        <v>74</v>
      </c>
      <c r="Q31" s="312"/>
    </row>
    <row r="32" spans="2:27" s="86" customFormat="1" ht="40.5" customHeight="1">
      <c r="B32" s="360"/>
      <c r="C32" s="366"/>
      <c r="D32" s="367"/>
      <c r="E32" s="156" t="s">
        <v>24</v>
      </c>
      <c r="F32" s="156" t="s">
        <v>24</v>
      </c>
      <c r="G32" s="94" t="s">
        <v>87</v>
      </c>
      <c r="H32" s="90" t="s">
        <v>24</v>
      </c>
      <c r="I32" s="93" t="s">
        <v>377</v>
      </c>
      <c r="J32" s="93" t="s">
        <v>85</v>
      </c>
      <c r="K32" s="90" t="s">
        <v>54</v>
      </c>
      <c r="L32" s="90" t="s">
        <v>311</v>
      </c>
      <c r="M32" s="90" t="s">
        <v>312</v>
      </c>
      <c r="N32" s="90" t="s">
        <v>316</v>
      </c>
      <c r="O32" s="106" t="s">
        <v>320</v>
      </c>
      <c r="P32" s="311" t="s">
        <v>74</v>
      </c>
      <c r="Q32" s="312"/>
    </row>
    <row r="33" spans="2:22" s="86" customFormat="1" ht="26.15" customHeight="1">
      <c r="B33" s="360"/>
      <c r="C33" s="366"/>
      <c r="D33" s="374" t="s">
        <v>211</v>
      </c>
      <c r="E33" s="157" t="s">
        <v>24</v>
      </c>
      <c r="F33" s="94" t="s">
        <v>24</v>
      </c>
      <c r="G33" s="94" t="s">
        <v>216</v>
      </c>
      <c r="H33" s="94" t="s">
        <v>24</v>
      </c>
      <c r="I33" s="94" t="s">
        <v>215</v>
      </c>
      <c r="J33" s="94" t="s">
        <v>201</v>
      </c>
      <c r="K33" s="138" t="s">
        <v>54</v>
      </c>
      <c r="L33" s="138" t="s">
        <v>321</v>
      </c>
      <c r="M33" s="138" t="s">
        <v>54</v>
      </c>
      <c r="N33" s="138" t="s">
        <v>321</v>
      </c>
      <c r="O33" s="106" t="s">
        <v>308</v>
      </c>
      <c r="P33" s="321" t="s">
        <v>202</v>
      </c>
      <c r="Q33" s="322"/>
      <c r="R33" s="134"/>
      <c r="S33" s="134"/>
      <c r="T33" s="134"/>
      <c r="U33" s="134"/>
      <c r="V33" s="135"/>
    </row>
    <row r="34" spans="2:22" s="86" customFormat="1" ht="50.5" customHeight="1">
      <c r="B34" s="360"/>
      <c r="C34" s="366"/>
      <c r="D34" s="375"/>
      <c r="E34" s="93">
        <v>3</v>
      </c>
      <c r="F34" s="99" t="s">
        <v>24</v>
      </c>
      <c r="G34" s="99" t="s">
        <v>203</v>
      </c>
      <c r="H34" s="232" t="s">
        <v>83</v>
      </c>
      <c r="I34" s="99" t="s">
        <v>256</v>
      </c>
      <c r="J34" s="96" t="s">
        <v>385</v>
      </c>
      <c r="K34" s="199" t="s">
        <v>54</v>
      </c>
      <c r="L34" s="199" t="s">
        <v>225</v>
      </c>
      <c r="M34" s="199" t="s">
        <v>54</v>
      </c>
      <c r="N34" s="199" t="s">
        <v>322</v>
      </c>
      <c r="O34" s="225" t="s">
        <v>386</v>
      </c>
      <c r="P34" s="339" t="s">
        <v>378</v>
      </c>
      <c r="Q34" s="339"/>
      <c r="R34" s="216"/>
      <c r="S34" s="134"/>
      <c r="T34" s="134"/>
      <c r="U34" s="134"/>
      <c r="V34" s="135"/>
    </row>
    <row r="35" spans="2:22" s="86" customFormat="1" ht="39" customHeight="1">
      <c r="B35" s="361"/>
      <c r="C35" s="367"/>
      <c r="D35" s="376"/>
      <c r="E35" s="93">
        <v>4</v>
      </c>
      <c r="F35" s="99" t="s">
        <v>24</v>
      </c>
      <c r="G35" s="99" t="s">
        <v>213</v>
      </c>
      <c r="H35" s="232" t="s">
        <v>83</v>
      </c>
      <c r="I35" s="233" t="s">
        <v>342</v>
      </c>
      <c r="J35" s="93" t="s">
        <v>401</v>
      </c>
      <c r="K35" s="90" t="s">
        <v>54</v>
      </c>
      <c r="L35" s="138" t="s">
        <v>337</v>
      </c>
      <c r="M35" s="92" t="s">
        <v>310</v>
      </c>
      <c r="N35" s="92" t="s">
        <v>310</v>
      </c>
      <c r="O35" s="106" t="s">
        <v>309</v>
      </c>
      <c r="P35" s="311" t="s">
        <v>212</v>
      </c>
      <c r="Q35" s="312"/>
      <c r="R35" s="134"/>
      <c r="S35" s="134"/>
      <c r="T35" s="134"/>
      <c r="U35" s="134"/>
      <c r="V35" s="135"/>
    </row>
    <row r="36" spans="2:22" s="86" customFormat="1" ht="102.65" customHeight="1">
      <c r="B36" s="359" t="s">
        <v>207</v>
      </c>
      <c r="C36" s="365" t="s">
        <v>17</v>
      </c>
      <c r="D36" s="365" t="s">
        <v>431</v>
      </c>
      <c r="E36" s="156" t="s">
        <v>24</v>
      </c>
      <c r="F36" s="93" t="s">
        <v>88</v>
      </c>
      <c r="G36" s="156" t="s">
        <v>24</v>
      </c>
      <c r="H36" s="90" t="s">
        <v>24</v>
      </c>
      <c r="I36" s="93" t="s">
        <v>411</v>
      </c>
      <c r="J36" s="91" t="s">
        <v>50</v>
      </c>
      <c r="K36" s="90" t="s">
        <v>54</v>
      </c>
      <c r="L36" s="90" t="s">
        <v>48</v>
      </c>
      <c r="M36" s="90" t="s">
        <v>312</v>
      </c>
      <c r="N36" s="90" t="s">
        <v>338</v>
      </c>
      <c r="O36" s="106" t="s">
        <v>309</v>
      </c>
      <c r="P36" s="315" t="s">
        <v>89</v>
      </c>
      <c r="Q36" s="316"/>
    </row>
    <row r="37" spans="2:22" s="86" customFormat="1" ht="79.5" customHeight="1">
      <c r="B37" s="360"/>
      <c r="C37" s="366"/>
      <c r="D37" s="366"/>
      <c r="E37" s="156" t="s">
        <v>24</v>
      </c>
      <c r="F37" s="93" t="s">
        <v>90</v>
      </c>
      <c r="G37" s="156" t="s">
        <v>24</v>
      </c>
      <c r="H37" s="90" t="s">
        <v>24</v>
      </c>
      <c r="I37" s="93" t="s">
        <v>412</v>
      </c>
      <c r="J37" s="91" t="s">
        <v>50</v>
      </c>
      <c r="K37" s="90" t="s">
        <v>54</v>
      </c>
      <c r="L37" s="90" t="s">
        <v>48</v>
      </c>
      <c r="M37" s="90" t="s">
        <v>312</v>
      </c>
      <c r="N37" s="90" t="s">
        <v>339</v>
      </c>
      <c r="O37" s="106" t="s">
        <v>309</v>
      </c>
      <c r="P37" s="313" t="s">
        <v>89</v>
      </c>
      <c r="Q37" s="314"/>
    </row>
    <row r="38" spans="2:22" s="86" customFormat="1" ht="69" customHeight="1">
      <c r="B38" s="360" t="s">
        <v>206</v>
      </c>
      <c r="C38" s="366" t="s">
        <v>17</v>
      </c>
      <c r="D38" s="366" t="s">
        <v>431</v>
      </c>
      <c r="E38" s="156" t="s">
        <v>24</v>
      </c>
      <c r="F38" s="93" t="s">
        <v>91</v>
      </c>
      <c r="G38" s="156" t="s">
        <v>24</v>
      </c>
      <c r="H38" s="90" t="s">
        <v>24</v>
      </c>
      <c r="I38" s="93" t="s">
        <v>366</v>
      </c>
      <c r="J38" s="205" t="s">
        <v>344</v>
      </c>
      <c r="K38" s="90" t="s">
        <v>54</v>
      </c>
      <c r="L38" s="90" t="s">
        <v>48</v>
      </c>
      <c r="M38" s="90" t="s">
        <v>312</v>
      </c>
      <c r="N38" s="90" t="s">
        <v>316</v>
      </c>
      <c r="O38" s="106" t="s">
        <v>309</v>
      </c>
      <c r="P38" s="313" t="s">
        <v>92</v>
      </c>
      <c r="Q38" s="314"/>
    </row>
    <row r="39" spans="2:22" s="86" customFormat="1" ht="67.5" customHeight="1">
      <c r="B39" s="360"/>
      <c r="C39" s="366"/>
      <c r="D39" s="366"/>
      <c r="E39" s="156" t="s">
        <v>24</v>
      </c>
      <c r="F39" s="93" t="s">
        <v>93</v>
      </c>
      <c r="G39" s="156" t="s">
        <v>24</v>
      </c>
      <c r="H39" s="90" t="s">
        <v>24</v>
      </c>
      <c r="I39" s="183" t="s">
        <v>413</v>
      </c>
      <c r="J39" s="205" t="s">
        <v>344</v>
      </c>
      <c r="K39" s="90" t="s">
        <v>54</v>
      </c>
      <c r="L39" s="90" t="s">
        <v>48</v>
      </c>
      <c r="M39" s="90" t="s">
        <v>312</v>
      </c>
      <c r="N39" s="90" t="s">
        <v>316</v>
      </c>
      <c r="O39" s="106" t="s">
        <v>331</v>
      </c>
      <c r="P39" s="313" t="s">
        <v>94</v>
      </c>
      <c r="Q39" s="314"/>
    </row>
    <row r="40" spans="2:22" s="86" customFormat="1" ht="70.5" customHeight="1">
      <c r="B40" s="360"/>
      <c r="C40" s="366"/>
      <c r="D40" s="366"/>
      <c r="E40" s="156" t="s">
        <v>24</v>
      </c>
      <c r="F40" s="93" t="s">
        <v>95</v>
      </c>
      <c r="G40" s="156" t="s">
        <v>24</v>
      </c>
      <c r="H40" s="90" t="s">
        <v>24</v>
      </c>
      <c r="I40" s="93" t="s">
        <v>444</v>
      </c>
      <c r="J40" s="205" t="s">
        <v>345</v>
      </c>
      <c r="K40" s="90" t="s">
        <v>54</v>
      </c>
      <c r="L40" s="90" t="s">
        <v>48</v>
      </c>
      <c r="M40" s="90" t="s">
        <v>312</v>
      </c>
      <c r="N40" s="90" t="s">
        <v>316</v>
      </c>
      <c r="O40" s="106" t="s">
        <v>309</v>
      </c>
      <c r="P40" s="315" t="s">
        <v>94</v>
      </c>
      <c r="Q40" s="316"/>
    </row>
    <row r="41" spans="2:22" s="86" customFormat="1" ht="69.650000000000006" customHeight="1">
      <c r="B41" s="360"/>
      <c r="C41" s="366"/>
      <c r="D41" s="366"/>
      <c r="E41" s="156" t="s">
        <v>24</v>
      </c>
      <c r="F41" s="93" t="s">
        <v>96</v>
      </c>
      <c r="G41" s="156" t="s">
        <v>24</v>
      </c>
      <c r="H41" s="90" t="s">
        <v>24</v>
      </c>
      <c r="I41" s="93" t="s">
        <v>404</v>
      </c>
      <c r="J41" s="93" t="s">
        <v>346</v>
      </c>
      <c r="K41" s="90" t="s">
        <v>54</v>
      </c>
      <c r="L41" s="90" t="s">
        <v>48</v>
      </c>
      <c r="M41" s="90" t="s">
        <v>312</v>
      </c>
      <c r="N41" s="90" t="s">
        <v>338</v>
      </c>
      <c r="O41" s="106" t="s">
        <v>309</v>
      </c>
      <c r="P41" s="315" t="s">
        <v>94</v>
      </c>
      <c r="Q41" s="316"/>
    </row>
    <row r="42" spans="2:22" s="86" customFormat="1" ht="65.150000000000006" customHeight="1">
      <c r="B42" s="360"/>
      <c r="C42" s="366"/>
      <c r="D42" s="366"/>
      <c r="E42" s="156" t="s">
        <v>24</v>
      </c>
      <c r="F42" s="93" t="s">
        <v>97</v>
      </c>
      <c r="G42" s="156" t="s">
        <v>24</v>
      </c>
      <c r="H42" s="90" t="s">
        <v>24</v>
      </c>
      <c r="I42" s="183" t="s">
        <v>98</v>
      </c>
      <c r="J42" s="205" t="s">
        <v>344</v>
      </c>
      <c r="K42" s="90" t="s">
        <v>54</v>
      </c>
      <c r="L42" s="90" t="s">
        <v>48</v>
      </c>
      <c r="M42" s="90" t="s">
        <v>312</v>
      </c>
      <c r="N42" s="90" t="s">
        <v>338</v>
      </c>
      <c r="O42" s="106" t="s">
        <v>309</v>
      </c>
      <c r="P42" s="315" t="s">
        <v>99</v>
      </c>
      <c r="Q42" s="316"/>
    </row>
    <row r="43" spans="2:22" s="86" customFormat="1" ht="92.5" customHeight="1">
      <c r="B43" s="360"/>
      <c r="C43" s="366"/>
      <c r="D43" s="366"/>
      <c r="E43" s="93">
        <v>5</v>
      </c>
      <c r="F43" s="93" t="s">
        <v>427</v>
      </c>
      <c r="G43" s="93" t="s">
        <v>24</v>
      </c>
      <c r="H43" s="228" t="s">
        <v>260</v>
      </c>
      <c r="I43" s="93" t="s">
        <v>445</v>
      </c>
      <c r="J43" s="93" t="s">
        <v>223</v>
      </c>
      <c r="K43" s="90" t="s">
        <v>54</v>
      </c>
      <c r="L43" s="90" t="s">
        <v>311</v>
      </c>
      <c r="M43" s="90" t="s">
        <v>312</v>
      </c>
      <c r="N43" s="90" t="s">
        <v>316</v>
      </c>
      <c r="O43" s="106" t="s">
        <v>309</v>
      </c>
      <c r="P43" s="350" t="s">
        <v>101</v>
      </c>
      <c r="Q43" s="351"/>
    </row>
    <row r="44" spans="2:22" s="86" customFormat="1" ht="76.5" customHeight="1">
      <c r="B44" s="360"/>
      <c r="C44" s="366"/>
      <c r="D44" s="366"/>
      <c r="E44" s="93" t="s">
        <v>24</v>
      </c>
      <c r="F44" s="93" t="s">
        <v>446</v>
      </c>
      <c r="G44" s="93" t="s">
        <v>24</v>
      </c>
      <c r="H44" s="228" t="s">
        <v>24</v>
      </c>
      <c r="I44" s="93" t="s">
        <v>424</v>
      </c>
      <c r="J44" s="93" t="s">
        <v>398</v>
      </c>
      <c r="K44" s="90" t="s">
        <v>54</v>
      </c>
      <c r="L44" s="90" t="s">
        <v>311</v>
      </c>
      <c r="M44" s="90" t="s">
        <v>312</v>
      </c>
      <c r="N44" s="90" t="s">
        <v>316</v>
      </c>
      <c r="O44" s="106" t="s">
        <v>309</v>
      </c>
      <c r="P44" s="350" t="s">
        <v>102</v>
      </c>
      <c r="Q44" s="351"/>
      <c r="R44" s="176"/>
      <c r="S44" s="176"/>
    </row>
    <row r="45" spans="2:22" s="86" customFormat="1" ht="80.150000000000006" customHeight="1">
      <c r="B45" s="360" t="s">
        <v>206</v>
      </c>
      <c r="C45" s="366" t="s">
        <v>186</v>
      </c>
      <c r="D45" s="366" t="s">
        <v>432</v>
      </c>
      <c r="E45" s="93">
        <v>6</v>
      </c>
      <c r="F45" s="93" t="s">
        <v>428</v>
      </c>
      <c r="G45" s="93" t="s">
        <v>24</v>
      </c>
      <c r="H45" s="228" t="s">
        <v>83</v>
      </c>
      <c r="I45" s="93" t="s">
        <v>425</v>
      </c>
      <c r="J45" s="93" t="s">
        <v>100</v>
      </c>
      <c r="K45" s="90" t="s">
        <v>54</v>
      </c>
      <c r="L45" s="90" t="s">
        <v>340</v>
      </c>
      <c r="M45" s="90" t="s">
        <v>312</v>
      </c>
      <c r="N45" s="90" t="s">
        <v>316</v>
      </c>
      <c r="O45" s="106" t="s">
        <v>309</v>
      </c>
      <c r="P45" s="350" t="s">
        <v>103</v>
      </c>
      <c r="Q45" s="351"/>
    </row>
    <row r="46" spans="2:22" s="86" customFormat="1" ht="70.5" customHeight="1">
      <c r="B46" s="360"/>
      <c r="C46" s="366"/>
      <c r="D46" s="366"/>
      <c r="E46" s="93" t="s">
        <v>24</v>
      </c>
      <c r="F46" s="93" t="s">
        <v>384</v>
      </c>
      <c r="G46" s="93" t="s">
        <v>24</v>
      </c>
      <c r="H46" s="228" t="s">
        <v>24</v>
      </c>
      <c r="I46" s="93" t="s">
        <v>426</v>
      </c>
      <c r="J46" s="93" t="s">
        <v>100</v>
      </c>
      <c r="K46" s="90" t="s">
        <v>54</v>
      </c>
      <c r="L46" s="90" t="s">
        <v>311</v>
      </c>
      <c r="M46" s="90" t="s">
        <v>312</v>
      </c>
      <c r="N46" s="90" t="s">
        <v>316</v>
      </c>
      <c r="O46" s="106" t="s">
        <v>217</v>
      </c>
      <c r="P46" s="350" t="s">
        <v>102</v>
      </c>
      <c r="Q46" s="351"/>
    </row>
    <row r="47" spans="2:22" s="86" customFormat="1" ht="110.5" customHeight="1">
      <c r="B47" s="360"/>
      <c r="C47" s="366"/>
      <c r="D47" s="366"/>
      <c r="E47" s="156" t="s">
        <v>24</v>
      </c>
      <c r="F47" s="93" t="s">
        <v>104</v>
      </c>
      <c r="G47" s="156" t="s">
        <v>24</v>
      </c>
      <c r="H47" s="90" t="s">
        <v>24</v>
      </c>
      <c r="I47" s="183" t="s">
        <v>105</v>
      </c>
      <c r="J47" s="91" t="s">
        <v>451</v>
      </c>
      <c r="K47" s="90" t="s">
        <v>54</v>
      </c>
      <c r="L47" s="90" t="s">
        <v>311</v>
      </c>
      <c r="M47" s="90" t="s">
        <v>312</v>
      </c>
      <c r="N47" s="90" t="s">
        <v>316</v>
      </c>
      <c r="O47" s="106" t="s">
        <v>331</v>
      </c>
      <c r="P47" s="269" t="s">
        <v>106</v>
      </c>
      <c r="Q47" s="270"/>
    </row>
    <row r="48" spans="2:22" s="86" customFormat="1" ht="101" customHeight="1">
      <c r="B48" s="360"/>
      <c r="C48" s="366"/>
      <c r="D48" s="366"/>
      <c r="E48" s="156" t="s">
        <v>24</v>
      </c>
      <c r="F48" s="93" t="s">
        <v>107</v>
      </c>
      <c r="G48" s="156" t="s">
        <v>24</v>
      </c>
      <c r="H48" s="90" t="s">
        <v>24</v>
      </c>
      <c r="I48" s="183" t="s">
        <v>108</v>
      </c>
      <c r="J48" s="91" t="s">
        <v>451</v>
      </c>
      <c r="K48" s="90" t="s">
        <v>54</v>
      </c>
      <c r="L48" s="90" t="s">
        <v>48</v>
      </c>
      <c r="M48" s="90" t="s">
        <v>312</v>
      </c>
      <c r="N48" s="90" t="s">
        <v>316</v>
      </c>
      <c r="O48" s="106" t="s">
        <v>309</v>
      </c>
      <c r="P48" s="269" t="s">
        <v>464</v>
      </c>
      <c r="Q48" s="270"/>
    </row>
    <row r="49" spans="2:18" s="86" customFormat="1" ht="119" customHeight="1">
      <c r="B49" s="360"/>
      <c r="C49" s="366"/>
      <c r="D49" s="366"/>
      <c r="E49" s="237">
        <v>7</v>
      </c>
      <c r="F49" s="93" t="s">
        <v>434</v>
      </c>
      <c r="G49" s="93" t="s">
        <v>24</v>
      </c>
      <c r="H49" s="228" t="s">
        <v>260</v>
      </c>
      <c r="I49" s="93" t="s">
        <v>455</v>
      </c>
      <c r="J49" s="91" t="s">
        <v>452</v>
      </c>
      <c r="K49" s="90" t="s">
        <v>453</v>
      </c>
      <c r="L49" s="90" t="s">
        <v>48</v>
      </c>
      <c r="M49" s="90" t="s">
        <v>312</v>
      </c>
      <c r="N49" s="90" t="s">
        <v>454</v>
      </c>
      <c r="O49" s="106" t="s">
        <v>309</v>
      </c>
      <c r="P49" s="271" t="s">
        <v>465</v>
      </c>
      <c r="Q49" s="272"/>
    </row>
    <row r="50" spans="2:18" s="86" customFormat="1" ht="99" customHeight="1">
      <c r="B50" s="360"/>
      <c r="C50" s="366"/>
      <c r="D50" s="366"/>
      <c r="E50" s="237">
        <v>8</v>
      </c>
      <c r="F50" s="93" t="s">
        <v>435</v>
      </c>
      <c r="G50" s="93" t="s">
        <v>24</v>
      </c>
      <c r="H50" s="228" t="s">
        <v>260</v>
      </c>
      <c r="I50" s="93" t="s">
        <v>457</v>
      </c>
      <c r="J50" s="91" t="s">
        <v>452</v>
      </c>
      <c r="K50" s="90" t="s">
        <v>453</v>
      </c>
      <c r="L50" s="90" t="s">
        <v>48</v>
      </c>
      <c r="M50" s="90" t="s">
        <v>312</v>
      </c>
      <c r="N50" s="90" t="s">
        <v>338</v>
      </c>
      <c r="O50" s="106" t="s">
        <v>309</v>
      </c>
      <c r="P50" s="273"/>
      <c r="Q50" s="274"/>
    </row>
    <row r="51" spans="2:18" s="86" customFormat="1" ht="41.25" customHeight="1">
      <c r="B51" s="360"/>
      <c r="C51" s="366"/>
      <c r="D51" s="366"/>
      <c r="E51" s="237">
        <v>9</v>
      </c>
      <c r="F51" s="93" t="s">
        <v>456</v>
      </c>
      <c r="G51" s="93" t="s">
        <v>24</v>
      </c>
      <c r="H51" s="228" t="s">
        <v>260</v>
      </c>
      <c r="I51" s="93" t="s">
        <v>458</v>
      </c>
      <c r="J51" s="91" t="s">
        <v>452</v>
      </c>
      <c r="K51" s="90" t="s">
        <v>453</v>
      </c>
      <c r="L51" s="90" t="s">
        <v>48</v>
      </c>
      <c r="M51" s="90" t="s">
        <v>312</v>
      </c>
      <c r="N51" s="90" t="s">
        <v>338</v>
      </c>
      <c r="O51" s="106" t="s">
        <v>309</v>
      </c>
      <c r="P51" s="273"/>
      <c r="Q51" s="274"/>
    </row>
    <row r="52" spans="2:18" s="86" customFormat="1" ht="41.25" customHeight="1">
      <c r="B52" s="360"/>
      <c r="C52" s="366"/>
      <c r="D52" s="366"/>
      <c r="E52" s="237">
        <v>10</v>
      </c>
      <c r="F52" s="93" t="s">
        <v>436</v>
      </c>
      <c r="G52" s="93" t="s">
        <v>24</v>
      </c>
      <c r="H52" s="228" t="s">
        <v>260</v>
      </c>
      <c r="I52" s="93" t="s">
        <v>459</v>
      </c>
      <c r="J52" s="91" t="s">
        <v>452</v>
      </c>
      <c r="K52" s="90" t="s">
        <v>453</v>
      </c>
      <c r="L52" s="90" t="s">
        <v>48</v>
      </c>
      <c r="M52" s="90" t="s">
        <v>312</v>
      </c>
      <c r="N52" s="90" t="s">
        <v>338</v>
      </c>
      <c r="O52" s="106" t="s">
        <v>309</v>
      </c>
      <c r="P52" s="273"/>
      <c r="Q52" s="274"/>
    </row>
    <row r="53" spans="2:18" s="86" customFormat="1" ht="58" customHeight="1">
      <c r="B53" s="360"/>
      <c r="C53" s="366"/>
      <c r="D53" s="366"/>
      <c r="E53" s="93">
        <v>11</v>
      </c>
      <c r="F53" s="93" t="s">
        <v>433</v>
      </c>
      <c r="G53" s="93" t="s">
        <v>24</v>
      </c>
      <c r="H53" s="228" t="s">
        <v>381</v>
      </c>
      <c r="I53" s="93" t="s">
        <v>437</v>
      </c>
      <c r="J53" s="91" t="s">
        <v>452</v>
      </c>
      <c r="K53" s="90" t="s">
        <v>453</v>
      </c>
      <c r="L53" s="90" t="s">
        <v>48</v>
      </c>
      <c r="M53" s="90" t="s">
        <v>312</v>
      </c>
      <c r="N53" s="90" t="s">
        <v>338</v>
      </c>
      <c r="O53" s="106" t="s">
        <v>309</v>
      </c>
      <c r="P53" s="273"/>
      <c r="Q53" s="274"/>
      <c r="R53" s="110"/>
    </row>
    <row r="54" spans="2:18" s="86" customFormat="1" ht="56.5" customHeight="1">
      <c r="B54" s="360"/>
      <c r="C54" s="366"/>
      <c r="D54" s="366"/>
      <c r="E54" s="93">
        <v>12</v>
      </c>
      <c r="F54" s="93" t="s">
        <v>395</v>
      </c>
      <c r="G54" s="93" t="s">
        <v>24</v>
      </c>
      <c r="H54" s="228" t="s">
        <v>382</v>
      </c>
      <c r="I54" s="93" t="s">
        <v>438</v>
      </c>
      <c r="J54" s="91" t="s">
        <v>452</v>
      </c>
      <c r="K54" s="90" t="s">
        <v>453</v>
      </c>
      <c r="L54" s="90" t="s">
        <v>48</v>
      </c>
      <c r="M54" s="90" t="s">
        <v>312</v>
      </c>
      <c r="N54" s="90" t="s">
        <v>338</v>
      </c>
      <c r="O54" s="106" t="s">
        <v>309</v>
      </c>
      <c r="P54" s="273"/>
      <c r="Q54" s="274"/>
      <c r="R54" s="110"/>
    </row>
    <row r="55" spans="2:18" s="86" customFormat="1" ht="109.5" customHeight="1">
      <c r="B55" s="180"/>
      <c r="C55" s="181"/>
      <c r="D55" s="181"/>
      <c r="E55" s="93">
        <v>13</v>
      </c>
      <c r="F55" s="229" t="s">
        <v>460</v>
      </c>
      <c r="G55" s="230" t="s">
        <v>254</v>
      </c>
      <c r="H55" s="228" t="s">
        <v>381</v>
      </c>
      <c r="I55" s="231" t="s">
        <v>461</v>
      </c>
      <c r="J55" s="91" t="s">
        <v>452</v>
      </c>
      <c r="K55" s="90" t="s">
        <v>453</v>
      </c>
      <c r="L55" s="90" t="s">
        <v>48</v>
      </c>
      <c r="M55" s="90" t="s">
        <v>312</v>
      </c>
      <c r="N55" s="90" t="s">
        <v>338</v>
      </c>
      <c r="O55" s="200" t="s">
        <v>255</v>
      </c>
      <c r="P55" s="273"/>
      <c r="Q55" s="274"/>
      <c r="R55" s="110"/>
    </row>
    <row r="56" spans="2:18" s="86" customFormat="1" ht="81" customHeight="1">
      <c r="B56" s="180"/>
      <c r="C56" s="181"/>
      <c r="D56" s="181"/>
      <c r="E56" s="93">
        <v>14</v>
      </c>
      <c r="F56" s="229" t="s">
        <v>442</v>
      </c>
      <c r="G56" s="230" t="s">
        <v>254</v>
      </c>
      <c r="H56" s="228" t="s">
        <v>383</v>
      </c>
      <c r="I56" s="231" t="s">
        <v>439</v>
      </c>
      <c r="J56" s="91" t="s">
        <v>452</v>
      </c>
      <c r="K56" s="90" t="s">
        <v>453</v>
      </c>
      <c r="L56" s="90" t="s">
        <v>348</v>
      </c>
      <c r="M56" s="90" t="s">
        <v>312</v>
      </c>
      <c r="N56" s="90" t="s">
        <v>316</v>
      </c>
      <c r="O56" s="200" t="s">
        <v>255</v>
      </c>
      <c r="P56" s="273"/>
      <c r="Q56" s="274"/>
      <c r="R56" s="110"/>
    </row>
    <row r="57" spans="2:18" s="86" customFormat="1" ht="81" customHeight="1">
      <c r="B57" s="236"/>
      <c r="C57" s="238"/>
      <c r="D57" s="238"/>
      <c r="E57" s="93">
        <v>15</v>
      </c>
      <c r="F57" s="229" t="s">
        <v>462</v>
      </c>
      <c r="G57" s="230" t="s">
        <v>254</v>
      </c>
      <c r="H57" s="228" t="s">
        <v>260</v>
      </c>
      <c r="I57" s="231" t="s">
        <v>440</v>
      </c>
      <c r="J57" s="91" t="s">
        <v>452</v>
      </c>
      <c r="K57" s="90" t="s">
        <v>453</v>
      </c>
      <c r="L57" s="90" t="s">
        <v>48</v>
      </c>
      <c r="M57" s="90" t="s">
        <v>312</v>
      </c>
      <c r="N57" s="90" t="s">
        <v>338</v>
      </c>
      <c r="O57" s="239" t="s">
        <v>255</v>
      </c>
      <c r="P57" s="273"/>
      <c r="Q57" s="274"/>
      <c r="R57" s="110"/>
    </row>
    <row r="58" spans="2:18" s="86" customFormat="1" ht="81" customHeight="1">
      <c r="B58" s="236"/>
      <c r="C58" s="238"/>
      <c r="D58" s="238"/>
      <c r="E58" s="93">
        <v>16</v>
      </c>
      <c r="F58" s="229" t="s">
        <v>463</v>
      </c>
      <c r="G58" s="230" t="s">
        <v>254</v>
      </c>
      <c r="H58" s="228" t="s">
        <v>383</v>
      </c>
      <c r="I58" s="231" t="s">
        <v>441</v>
      </c>
      <c r="J58" s="91" t="s">
        <v>452</v>
      </c>
      <c r="K58" s="90" t="s">
        <v>453</v>
      </c>
      <c r="L58" s="90" t="s">
        <v>348</v>
      </c>
      <c r="M58" s="90" t="s">
        <v>312</v>
      </c>
      <c r="N58" s="90" t="s">
        <v>316</v>
      </c>
      <c r="O58" s="239" t="s">
        <v>255</v>
      </c>
      <c r="P58" s="275"/>
      <c r="Q58" s="276"/>
      <c r="R58" s="110"/>
    </row>
    <row r="59" spans="2:18" s="86" customFormat="1" ht="98.15" customHeight="1">
      <c r="B59" s="360" t="s">
        <v>207</v>
      </c>
      <c r="C59" s="366" t="s">
        <v>187</v>
      </c>
      <c r="D59" s="366" t="s">
        <v>188</v>
      </c>
      <c r="E59" s="156" t="s">
        <v>24</v>
      </c>
      <c r="F59" s="93" t="s">
        <v>110</v>
      </c>
      <c r="G59" s="156" t="s">
        <v>24</v>
      </c>
      <c r="H59" s="90" t="s">
        <v>259</v>
      </c>
      <c r="I59" s="205" t="s">
        <v>379</v>
      </c>
      <c r="J59" s="93" t="s">
        <v>111</v>
      </c>
      <c r="K59" s="107" t="s">
        <v>343</v>
      </c>
      <c r="L59" s="90" t="s">
        <v>48</v>
      </c>
      <c r="M59" s="107" t="s">
        <v>218</v>
      </c>
      <c r="N59" s="90" t="s">
        <v>323</v>
      </c>
      <c r="O59" s="106" t="s">
        <v>308</v>
      </c>
      <c r="P59" s="315" t="s">
        <v>112</v>
      </c>
      <c r="Q59" s="316"/>
    </row>
    <row r="60" spans="2:18" s="86" customFormat="1" ht="68.5" customHeight="1">
      <c r="B60" s="360"/>
      <c r="C60" s="366"/>
      <c r="D60" s="366"/>
      <c r="E60" s="235">
        <v>17</v>
      </c>
      <c r="F60" s="112" t="s">
        <v>396</v>
      </c>
      <c r="G60" s="231" t="s">
        <v>24</v>
      </c>
      <c r="H60" s="232" t="s">
        <v>261</v>
      </c>
      <c r="I60" s="112" t="s">
        <v>447</v>
      </c>
      <c r="J60" s="98" t="s">
        <v>113</v>
      </c>
      <c r="K60" s="111" t="s">
        <v>109</v>
      </c>
      <c r="L60" s="97" t="s">
        <v>311</v>
      </c>
      <c r="M60" s="90" t="s">
        <v>218</v>
      </c>
      <c r="N60" s="90" t="s">
        <v>316</v>
      </c>
      <c r="O60" s="106" t="s">
        <v>309</v>
      </c>
      <c r="P60" s="352" t="s">
        <v>114</v>
      </c>
      <c r="Q60" s="353"/>
    </row>
    <row r="61" spans="2:18" s="86" customFormat="1" ht="66" customHeight="1">
      <c r="B61" s="360"/>
      <c r="C61" s="366"/>
      <c r="D61" s="366"/>
      <c r="E61" s="93">
        <v>18</v>
      </c>
      <c r="F61" s="112" t="s">
        <v>397</v>
      </c>
      <c r="G61" s="231" t="s">
        <v>24</v>
      </c>
      <c r="H61" s="232" t="s">
        <v>260</v>
      </c>
      <c r="I61" s="112" t="s">
        <v>253</v>
      </c>
      <c r="J61" s="98" t="s">
        <v>448</v>
      </c>
      <c r="K61" s="111" t="s">
        <v>380</v>
      </c>
      <c r="L61" s="90" t="s">
        <v>449</v>
      </c>
      <c r="M61" s="90" t="s">
        <v>312</v>
      </c>
      <c r="N61" s="90" t="s">
        <v>450</v>
      </c>
      <c r="O61" s="106" t="s">
        <v>309</v>
      </c>
      <c r="P61" s="352" t="s">
        <v>115</v>
      </c>
      <c r="Q61" s="353"/>
    </row>
    <row r="62" spans="2:18" s="86" customFormat="1" ht="90.65" customHeight="1">
      <c r="B62" s="361"/>
      <c r="C62" s="367"/>
      <c r="D62" s="367"/>
      <c r="E62" s="156" t="s">
        <v>24</v>
      </c>
      <c r="F62" s="93" t="s">
        <v>214</v>
      </c>
      <c r="G62" s="156" t="s">
        <v>24</v>
      </c>
      <c r="H62" s="90" t="s">
        <v>24</v>
      </c>
      <c r="I62" s="93" t="s">
        <v>116</v>
      </c>
      <c r="J62" s="93" t="s">
        <v>117</v>
      </c>
      <c r="K62" s="107" t="s">
        <v>54</v>
      </c>
      <c r="L62" s="97" t="s">
        <v>324</v>
      </c>
      <c r="M62" s="90" t="s">
        <v>312</v>
      </c>
      <c r="N62" s="90" t="s">
        <v>316</v>
      </c>
      <c r="O62" s="106" t="s">
        <v>309</v>
      </c>
      <c r="P62" s="311" t="s">
        <v>118</v>
      </c>
      <c r="Q62" s="312"/>
    </row>
    <row r="63" spans="2:18" s="86" customFormat="1" ht="51" customHeight="1">
      <c r="B63" s="357" t="s">
        <v>208</v>
      </c>
      <c r="C63" s="365" t="s">
        <v>119</v>
      </c>
      <c r="D63" s="363" t="s">
        <v>24</v>
      </c>
      <c r="E63" s="156" t="s">
        <v>24</v>
      </c>
      <c r="F63" s="99" t="s">
        <v>24</v>
      </c>
      <c r="G63" s="94" t="s">
        <v>120</v>
      </c>
      <c r="H63" s="94" t="s">
        <v>24</v>
      </c>
      <c r="I63" s="94" t="s">
        <v>121</v>
      </c>
      <c r="J63" s="112" t="s">
        <v>122</v>
      </c>
      <c r="K63" s="113" t="s">
        <v>123</v>
      </c>
      <c r="L63" s="114" t="s">
        <v>311</v>
      </c>
      <c r="M63" s="113" t="s">
        <v>123</v>
      </c>
      <c r="N63" s="114" t="s">
        <v>321</v>
      </c>
      <c r="O63" s="106" t="s">
        <v>329</v>
      </c>
      <c r="P63" s="368" t="s">
        <v>124</v>
      </c>
      <c r="Q63" s="369"/>
    </row>
    <row r="64" spans="2:18" s="86" customFormat="1" ht="51" customHeight="1">
      <c r="B64" s="357"/>
      <c r="C64" s="366"/>
      <c r="D64" s="363"/>
      <c r="E64" s="156" t="s">
        <v>24</v>
      </c>
      <c r="F64" s="96" t="s">
        <v>24</v>
      </c>
      <c r="G64" s="100" t="s">
        <v>125</v>
      </c>
      <c r="H64" s="90" t="s">
        <v>24</v>
      </c>
      <c r="I64" s="95" t="s">
        <v>58</v>
      </c>
      <c r="J64" s="95" t="s">
        <v>59</v>
      </c>
      <c r="K64" s="108" t="s">
        <v>54</v>
      </c>
      <c r="L64" s="109" t="s">
        <v>224</v>
      </c>
      <c r="M64" s="108" t="s">
        <v>310</v>
      </c>
      <c r="N64" s="108" t="s">
        <v>259</v>
      </c>
      <c r="O64" s="106" t="s">
        <v>309</v>
      </c>
      <c r="P64" s="340" t="s">
        <v>126</v>
      </c>
      <c r="Q64" s="341"/>
    </row>
    <row r="65" spans="2:17" s="86" customFormat="1" ht="51" customHeight="1">
      <c r="B65" s="357"/>
      <c r="C65" s="366"/>
      <c r="D65" s="363"/>
      <c r="E65" s="156" t="s">
        <v>24</v>
      </c>
      <c r="F65" s="96" t="s">
        <v>24</v>
      </c>
      <c r="G65" s="92" t="s">
        <v>61</v>
      </c>
      <c r="H65" s="90" t="s">
        <v>24</v>
      </c>
      <c r="I65" s="95" t="s">
        <v>62</v>
      </c>
      <c r="J65" s="95" t="s">
        <v>246</v>
      </c>
      <c r="K65" s="108" t="s">
        <v>54</v>
      </c>
      <c r="L65" s="109" t="s">
        <v>224</v>
      </c>
      <c r="M65" s="108" t="s">
        <v>259</v>
      </c>
      <c r="N65" s="108" t="s">
        <v>259</v>
      </c>
      <c r="O65" s="106" t="s">
        <v>325</v>
      </c>
      <c r="P65" s="340" t="s">
        <v>126</v>
      </c>
      <c r="Q65" s="341"/>
    </row>
    <row r="66" spans="2:17" s="86" customFormat="1" ht="61" customHeight="1">
      <c r="B66" s="357"/>
      <c r="C66" s="367"/>
      <c r="D66" s="363"/>
      <c r="E66" s="156" t="s">
        <v>24</v>
      </c>
      <c r="F66" s="96" t="s">
        <v>24</v>
      </c>
      <c r="G66" s="100" t="s">
        <v>63</v>
      </c>
      <c r="H66" s="90" t="s">
        <v>24</v>
      </c>
      <c r="I66" s="100" t="s">
        <v>388</v>
      </c>
      <c r="J66" s="92" t="s">
        <v>356</v>
      </c>
      <c r="K66" s="92" t="s">
        <v>259</v>
      </c>
      <c r="L66" s="92" t="s">
        <v>310</v>
      </c>
      <c r="M66" s="108" t="s">
        <v>54</v>
      </c>
      <c r="N66" s="109" t="s">
        <v>64</v>
      </c>
      <c r="O66" s="106" t="s">
        <v>217</v>
      </c>
      <c r="P66" s="340" t="s">
        <v>126</v>
      </c>
      <c r="Q66" s="341"/>
    </row>
    <row r="67" spans="2:17" ht="96.75" customHeight="1">
      <c r="B67" s="101" t="s">
        <v>127</v>
      </c>
      <c r="C67" s="342" t="s">
        <v>128</v>
      </c>
      <c r="D67" s="342"/>
      <c r="E67" s="342"/>
      <c r="F67" s="342"/>
      <c r="G67" s="342"/>
      <c r="H67" s="342"/>
      <c r="I67" s="342"/>
      <c r="J67" s="342"/>
      <c r="K67" s="342"/>
      <c r="L67" s="342"/>
      <c r="M67" s="342"/>
      <c r="N67" s="342"/>
      <c r="O67" s="342"/>
      <c r="P67" s="342"/>
      <c r="Q67" s="343"/>
    </row>
    <row r="68" spans="2:17" ht="34.5" customHeight="1">
      <c r="B68" s="344" t="s">
        <v>131</v>
      </c>
      <c r="C68" s="345"/>
      <c r="D68" s="345"/>
      <c r="E68" s="344" t="s">
        <v>262</v>
      </c>
      <c r="F68" s="344"/>
      <c r="G68" s="346" t="s">
        <v>132</v>
      </c>
      <c r="H68" s="347"/>
      <c r="I68" s="346" t="s">
        <v>133</v>
      </c>
      <c r="J68" s="349"/>
      <c r="K68" s="347"/>
      <c r="L68" s="344" t="s">
        <v>134</v>
      </c>
      <c r="M68" s="344"/>
      <c r="N68" s="344"/>
      <c r="O68" s="348"/>
      <c r="P68" s="344" t="s">
        <v>263</v>
      </c>
      <c r="Q68" s="348"/>
    </row>
    <row r="69" spans="2:17" ht="36" customHeight="1" thickBot="1">
      <c r="B69" s="377" t="s">
        <v>351</v>
      </c>
      <c r="C69" s="378"/>
      <c r="D69" s="378"/>
      <c r="E69" s="385" t="s">
        <v>420</v>
      </c>
      <c r="F69" s="386"/>
      <c r="G69" s="373" t="s">
        <v>350</v>
      </c>
      <c r="H69" s="387"/>
      <c r="I69" s="370" t="s">
        <v>466</v>
      </c>
      <c r="J69" s="371"/>
      <c r="K69" s="372"/>
      <c r="L69" s="354" t="s">
        <v>264</v>
      </c>
      <c r="M69" s="373"/>
      <c r="N69" s="373"/>
      <c r="O69" s="355"/>
      <c r="P69" s="354" t="s">
        <v>349</v>
      </c>
      <c r="Q69" s="355"/>
    </row>
    <row r="70" spans="2:17" ht="31.5" customHeight="1">
      <c r="B70" s="102"/>
      <c r="C70" s="102"/>
    </row>
  </sheetData>
  <sheetProtection formatCells="0" formatRows="0" insertColumns="0" insertRows="0" insertHyperlinks="0" deleteColumns="0" deleteRows="0" sort="0" autoFilter="0" pivotTables="0"/>
  <protectedRanges>
    <protectedRange sqref="Q1" name="区域1_1"/>
    <protectedRange sqref="P59:Q59" name="区域1_1_1_2_2_1_1_1"/>
    <protectedRange sqref="D15:D17" name="区域1_1_5_1_1"/>
    <protectedRange sqref="H15:H18" name="区域1_1_4_5_1_1"/>
    <protectedRange sqref="C15:C17" name="区域1_1_4_4_1_1"/>
    <protectedRange sqref="G15:G16" name="区域1_1_8_2_1"/>
    <protectedRange sqref="I15:I16 I64:I65" name="区域1_1_3_1_1_3_4_1_2"/>
    <protectedRange sqref="J64:J65 J15:J16" name="区域1_1_8_4_1_1"/>
    <protectedRange sqref="P15:P17 P64:P66" name="区域1_1_1_2_1_2_1_1_1_1"/>
    <protectedRange sqref="Q15:Q17 Q64:Q66" name="区域1_1_10_1_1_2_1"/>
    <protectedRange sqref="S19:T22 S33:T33" name="区域1_1_2_4_2"/>
    <protectedRange sqref="U19:U22 U33" name="区域1_1_1_1_2_1_1"/>
    <protectedRange sqref="E19:H19 E20:E21 H20:H21" name="区域1_1_2_3_1_3"/>
    <protectedRange sqref="D19:D21" name="区域1_1_2_3_2_1"/>
    <protectedRange sqref="B19:C23 B33:C35" name="区域1_1_4_4_1_1_1"/>
    <protectedRange sqref="S23:T23 S34:T35" name="区域1_1_1_2_1_2_1"/>
    <protectedRange sqref="D22 E23:F23 D33 E34:F34 F35" name="区域1_1_5_1"/>
    <protectedRange sqref="G23:I23 G34:I35" name="区域1_1_4_5_1"/>
    <protectedRange sqref="R35" name="区域1_1_1_2_1_2_1_1_1"/>
    <protectedRange sqref="R19:R22 R33" name="区域1_1_2_4_3_1_7_1_2"/>
    <protectedRange sqref="J23 J34" name="区域1_1_11_1"/>
    <protectedRange sqref="Q19 I19:J19" name="区域1_1_2_3_1_3_1"/>
    <protectedRange sqref="P19" name="区域1_1_1_5_1_1_1_1"/>
    <protectedRange sqref="E22 E33 E35" name="区域1_1_4_3_3_4"/>
    <protectedRange sqref="N23 N34" name="区域1_1_12_1_2"/>
    <protectedRange sqref="K15:K16 K64:K65" name="区域1_1_4_3_1_1_1_1_1_1"/>
    <protectedRange sqref="L23 L34" name="区域1_1_12_1_1_2"/>
    <protectedRange sqref="L19" name="区域1_1_2_3_1_3_1_1_1"/>
    <protectedRange sqref="K19" name="区域1_1_18_1_1_1_1"/>
    <protectedRange sqref="R23 P23" name="区域1_1_1_2_1_2_1_1_2_2"/>
    <protectedRange sqref="Q23" name="区域1_1_10_1_2"/>
    <protectedRange sqref="O23" name="区域1_1_10_1_2_1_3"/>
    <protectedRange sqref="R34 P34" name="区域1_1_1_2_1_2_1_1_2_3"/>
    <protectedRange sqref="Q34" name="区域1_1_10_1_2_3"/>
    <protectedRange sqref="O34" name="区域1_1_10_1_2_1_4"/>
  </protectedRanges>
  <mergeCells count="122">
    <mergeCell ref="I69:K69"/>
    <mergeCell ref="L69:O69"/>
    <mergeCell ref="D15:D17"/>
    <mergeCell ref="D25:D32"/>
    <mergeCell ref="D36:D37"/>
    <mergeCell ref="D38:D44"/>
    <mergeCell ref="D45:D54"/>
    <mergeCell ref="D59:D62"/>
    <mergeCell ref="D63:D66"/>
    <mergeCell ref="D33:D35"/>
    <mergeCell ref="B69:D69"/>
    <mergeCell ref="C25:C35"/>
    <mergeCell ref="B25:B35"/>
    <mergeCell ref="B19:B23"/>
    <mergeCell ref="C19:C23"/>
    <mergeCell ref="D19:D21"/>
    <mergeCell ref="D22:D23"/>
    <mergeCell ref="E69:F69"/>
    <mergeCell ref="G69:H69"/>
    <mergeCell ref="P69:Q69"/>
    <mergeCell ref="B6:B9"/>
    <mergeCell ref="B10:B14"/>
    <mergeCell ref="B15:B17"/>
    <mergeCell ref="B36:B37"/>
    <mergeCell ref="B38:B44"/>
    <mergeCell ref="B45:B54"/>
    <mergeCell ref="B59:B62"/>
    <mergeCell ref="B63:B66"/>
    <mergeCell ref="C6:C9"/>
    <mergeCell ref="C10:C14"/>
    <mergeCell ref="C15:C17"/>
    <mergeCell ref="C36:C37"/>
    <mergeCell ref="C38:C44"/>
    <mergeCell ref="C45:C54"/>
    <mergeCell ref="C59:C62"/>
    <mergeCell ref="C63:C66"/>
    <mergeCell ref="D6:D9"/>
    <mergeCell ref="D10:D14"/>
    <mergeCell ref="P61:Q61"/>
    <mergeCell ref="P62:Q62"/>
    <mergeCell ref="P63:Q63"/>
    <mergeCell ref="P64:Q64"/>
    <mergeCell ref="P65:Q65"/>
    <mergeCell ref="P66:Q66"/>
    <mergeCell ref="C67:Q67"/>
    <mergeCell ref="B68:D68"/>
    <mergeCell ref="E68:F68"/>
    <mergeCell ref="G68:H68"/>
    <mergeCell ref="P68:Q68"/>
    <mergeCell ref="I68:K68"/>
    <mergeCell ref="L68:O68"/>
    <mergeCell ref="P42:Q42"/>
    <mergeCell ref="P43:Q43"/>
    <mergeCell ref="P44:Q44"/>
    <mergeCell ref="P45:Q45"/>
    <mergeCell ref="P46:Q46"/>
    <mergeCell ref="P59:Q59"/>
    <mergeCell ref="P60:Q60"/>
    <mergeCell ref="P41:Q41"/>
    <mergeCell ref="P30:Q30"/>
    <mergeCell ref="P31:Q31"/>
    <mergeCell ref="P32:Q32"/>
    <mergeCell ref="P15:Q15"/>
    <mergeCell ref="P6:Q9"/>
    <mergeCell ref="E6:H6"/>
    <mergeCell ref="I6:O6"/>
    <mergeCell ref="K8:L8"/>
    <mergeCell ref="P10:Q10"/>
    <mergeCell ref="P11:Q11"/>
    <mergeCell ref="P12:Q12"/>
    <mergeCell ref="P13:Q13"/>
    <mergeCell ref="P14:Q14"/>
    <mergeCell ref="K7:L7"/>
    <mergeCell ref="M7:N7"/>
    <mergeCell ref="O7:O9"/>
    <mergeCell ref="M8:N8"/>
    <mergeCell ref="E7:E9"/>
    <mergeCell ref="F7:F9"/>
    <mergeCell ref="G7:G9"/>
    <mergeCell ref="H7:H9"/>
    <mergeCell ref="P16:Q16"/>
    <mergeCell ref="P17:Q17"/>
    <mergeCell ref="P27:Q27"/>
    <mergeCell ref="P39:Q39"/>
    <mergeCell ref="P40:Q40"/>
    <mergeCell ref="P28:Q28"/>
    <mergeCell ref="P29:Q29"/>
    <mergeCell ref="P19:Q19"/>
    <mergeCell ref="P20:Q20"/>
    <mergeCell ref="P21:Q21"/>
    <mergeCell ref="P22:Q22"/>
    <mergeCell ref="P23:Q23"/>
    <mergeCell ref="P33:Q33"/>
    <mergeCell ref="P34:Q34"/>
    <mergeCell ref="P35:Q35"/>
    <mergeCell ref="P36:Q36"/>
    <mergeCell ref="P37:Q37"/>
    <mergeCell ref="P38:Q38"/>
    <mergeCell ref="P47:Q47"/>
    <mergeCell ref="P48:Q48"/>
    <mergeCell ref="P49:Q58"/>
    <mergeCell ref="I7:I9"/>
    <mergeCell ref="J7:J9"/>
    <mergeCell ref="B1:D1"/>
    <mergeCell ref="O1:Q1"/>
    <mergeCell ref="K2:L2"/>
    <mergeCell ref="K3:L3"/>
    <mergeCell ref="B4:D4"/>
    <mergeCell ref="E4:J4"/>
    <mergeCell ref="K4:L4"/>
    <mergeCell ref="C5:D5"/>
    <mergeCell ref="E5:F5"/>
    <mergeCell ref="G5:H5"/>
    <mergeCell ref="L5:O5"/>
    <mergeCell ref="B2:J3"/>
    <mergeCell ref="M2:O2"/>
    <mergeCell ref="M3:O3"/>
    <mergeCell ref="M4:Q4"/>
    <mergeCell ref="P18:Q18"/>
    <mergeCell ref="P24:Q24"/>
    <mergeCell ref="P25:Q25"/>
    <mergeCell ref="P26:Q26"/>
  </mergeCells>
  <phoneticPr fontId="45" type="noConversion"/>
  <printOptions horizontalCentered="1" verticalCentered="1"/>
  <pageMargins left="7.874015748031496E-2" right="7.874015748031496E-2" top="0.3543307086614173" bottom="0.39370078740157483" header="0.19685039370078741" footer="0.19685039370078741"/>
  <pageSetup paperSize="9" scale="46" fitToHeight="0" orientation="landscape" r:id="rId1"/>
  <headerFooter alignWithMargins="0">
    <oddHeader>&amp;LPM240707-014&amp;C正极涂布工序控制计划&amp;R版本号：B2</oddHeader>
    <oddFooter>&amp;C第 &amp;P 页，共 &amp;N 页</oddFooter>
  </headerFooter>
  <rowBreaks count="4" manualBreakCount="4">
    <brk id="23" max="16383" man="1"/>
    <brk id="36" max="16383" man="1"/>
    <brk id="44" max="16383" man="1"/>
    <brk id="59"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Y24"/>
  <sheetViews>
    <sheetView showGridLines="0" tabSelected="1" view="pageBreakPreview" topLeftCell="A7" zoomScale="85" zoomScaleNormal="70" zoomScaleSheetLayoutView="85" zoomScalePageLayoutView="70" workbookViewId="0">
      <selection activeCell="B6" sqref="B6:O14"/>
    </sheetView>
  </sheetViews>
  <sheetFormatPr defaultColWidth="9" defaultRowHeight="14"/>
  <cols>
    <col min="1" max="1" width="1.08984375" style="74" customWidth="1"/>
    <col min="2" max="2" width="11" style="74" customWidth="1"/>
    <col min="3" max="3" width="8.453125" style="74" customWidth="1"/>
    <col min="4" max="4" width="10.6328125" style="74" customWidth="1"/>
    <col min="5" max="5" width="5.453125" style="74" customWidth="1"/>
    <col min="6" max="6" width="8.453125" style="74" customWidth="1"/>
    <col min="7" max="7" width="8.6328125" style="74" customWidth="1"/>
    <col min="8" max="8" width="9.36328125" style="74" customWidth="1"/>
    <col min="9" max="9" width="14.90625" style="74" customWidth="1"/>
    <col min="10" max="10" width="16.6328125" style="74" customWidth="1"/>
    <col min="11" max="12" width="10.90625" style="74" customWidth="1"/>
    <col min="13" max="13" width="15.6328125" style="74" customWidth="1"/>
    <col min="14" max="14" width="12.90625" style="75" customWidth="1"/>
    <col min="15" max="15" width="27.26953125" style="75" customWidth="1"/>
    <col min="16" max="16" width="9" style="74"/>
    <col min="17" max="17" width="44.08984375" style="74" customWidth="1"/>
    <col min="18" max="18" width="27.453125" style="74" customWidth="1"/>
    <col min="19" max="16384" width="9" style="74"/>
  </cols>
  <sheetData>
    <row r="1" spans="2:25" s="71" customFormat="1" ht="10.5" customHeight="1" thickBot="1">
      <c r="B1" s="388"/>
      <c r="C1" s="388"/>
      <c r="D1" s="388"/>
      <c r="E1" s="76"/>
      <c r="F1" s="74"/>
      <c r="G1" s="74"/>
      <c r="H1" s="74"/>
      <c r="I1" s="77"/>
      <c r="K1" s="74"/>
      <c r="L1" s="74"/>
      <c r="M1" s="388"/>
      <c r="N1" s="388"/>
      <c r="O1" s="388"/>
    </row>
    <row r="2" spans="2:25" s="72" customFormat="1" ht="30" customHeight="1">
      <c r="B2" s="294" t="s">
        <v>13</v>
      </c>
      <c r="C2" s="295"/>
      <c r="D2" s="295"/>
      <c r="E2" s="295"/>
      <c r="F2" s="295"/>
      <c r="G2" s="295"/>
      <c r="H2" s="295"/>
      <c r="I2" s="295"/>
      <c r="J2" s="296"/>
      <c r="K2" s="281" t="s">
        <v>14</v>
      </c>
      <c r="L2" s="282"/>
      <c r="M2" s="158" t="s">
        <v>370</v>
      </c>
      <c r="N2" s="159" t="s">
        <v>15</v>
      </c>
      <c r="O2" s="160" t="s">
        <v>391</v>
      </c>
    </row>
    <row r="3" spans="2:25" s="72" customFormat="1" ht="30" customHeight="1">
      <c r="B3" s="297"/>
      <c r="C3" s="298"/>
      <c r="D3" s="298"/>
      <c r="E3" s="298"/>
      <c r="F3" s="298"/>
      <c r="G3" s="298"/>
      <c r="H3" s="298"/>
      <c r="I3" s="298"/>
      <c r="J3" s="299"/>
      <c r="K3" s="283" t="s">
        <v>16</v>
      </c>
      <c r="L3" s="284"/>
      <c r="M3" s="161" t="s">
        <v>17</v>
      </c>
      <c r="N3" s="162" t="s">
        <v>18</v>
      </c>
      <c r="O3" s="163" t="s">
        <v>443</v>
      </c>
      <c r="R3" s="79"/>
      <c r="S3" s="79"/>
      <c r="T3" s="79"/>
      <c r="U3" s="79"/>
      <c r="V3" s="79"/>
      <c r="W3" s="79"/>
      <c r="X3" s="79"/>
      <c r="Y3" s="82"/>
    </row>
    <row r="4" spans="2:25" s="72" customFormat="1" ht="39" customHeight="1">
      <c r="B4" s="285" t="s">
        <v>19</v>
      </c>
      <c r="C4" s="286"/>
      <c r="D4" s="286"/>
      <c r="E4" s="287" t="s">
        <v>406</v>
      </c>
      <c r="F4" s="287"/>
      <c r="G4" s="287"/>
      <c r="H4" s="287"/>
      <c r="I4" s="287"/>
      <c r="J4" s="287"/>
      <c r="K4" s="288" t="s">
        <v>20</v>
      </c>
      <c r="L4" s="289"/>
      <c r="M4" s="306" t="s">
        <v>251</v>
      </c>
      <c r="N4" s="307"/>
      <c r="O4" s="308"/>
      <c r="R4" s="80"/>
      <c r="S4" s="79"/>
      <c r="T4" s="79"/>
      <c r="U4" s="79"/>
      <c r="V4" s="79"/>
      <c r="W4" s="79"/>
      <c r="X4" s="79"/>
      <c r="Y4" s="82"/>
    </row>
    <row r="5" spans="2:25" s="72" customFormat="1" ht="38.25" customHeight="1">
      <c r="B5" s="212" t="s">
        <v>21</v>
      </c>
      <c r="C5" s="290" t="s">
        <v>368</v>
      </c>
      <c r="D5" s="290"/>
      <c r="E5" s="291" t="s">
        <v>22</v>
      </c>
      <c r="F5" s="290"/>
      <c r="G5" s="290" t="s">
        <v>361</v>
      </c>
      <c r="H5" s="290"/>
      <c r="I5" s="213" t="s">
        <v>362</v>
      </c>
      <c r="J5" s="213" t="s">
        <v>369</v>
      </c>
      <c r="K5" s="104" t="s">
        <v>23</v>
      </c>
      <c r="L5" s="292" t="s">
        <v>24</v>
      </c>
      <c r="M5" s="293"/>
      <c r="N5" s="154" t="s">
        <v>25</v>
      </c>
      <c r="O5" s="105" t="s">
        <v>24</v>
      </c>
      <c r="R5" s="81"/>
      <c r="S5" s="81"/>
      <c r="T5" s="81"/>
      <c r="U5" s="81"/>
      <c r="V5" s="81"/>
      <c r="W5" s="81"/>
      <c r="X5" s="81"/>
      <c r="Y5" s="83"/>
    </row>
    <row r="6" spans="2:25" s="73" customFormat="1">
      <c r="B6" s="391"/>
      <c r="C6" s="392"/>
      <c r="D6" s="392"/>
      <c r="E6" s="392"/>
      <c r="F6" s="392"/>
      <c r="G6" s="392"/>
      <c r="H6" s="392"/>
      <c r="I6" s="392"/>
      <c r="J6" s="392"/>
      <c r="K6" s="392"/>
      <c r="L6" s="392"/>
      <c r="M6" s="392"/>
      <c r="N6" s="392"/>
      <c r="O6" s="393"/>
    </row>
    <row r="7" spans="2:25" s="73" customFormat="1">
      <c r="B7" s="391"/>
      <c r="C7" s="392"/>
      <c r="D7" s="392"/>
      <c r="E7" s="392"/>
      <c r="F7" s="392"/>
      <c r="G7" s="392"/>
      <c r="H7" s="392"/>
      <c r="I7" s="392"/>
      <c r="J7" s="392"/>
      <c r="K7" s="392"/>
      <c r="L7" s="392"/>
      <c r="M7" s="392"/>
      <c r="N7" s="392"/>
      <c r="O7" s="393"/>
      <c r="P7" s="78"/>
    </row>
    <row r="8" spans="2:25" s="73" customFormat="1">
      <c r="B8" s="391"/>
      <c r="C8" s="392"/>
      <c r="D8" s="392"/>
      <c r="E8" s="392"/>
      <c r="F8" s="392"/>
      <c r="G8" s="392"/>
      <c r="H8" s="392"/>
      <c r="I8" s="392"/>
      <c r="J8" s="392"/>
      <c r="K8" s="392"/>
      <c r="L8" s="392"/>
      <c r="M8" s="392"/>
      <c r="N8" s="392"/>
      <c r="O8" s="393"/>
      <c r="Q8"/>
    </row>
    <row r="9" spans="2:25" s="73" customFormat="1">
      <c r="B9" s="391"/>
      <c r="C9" s="392"/>
      <c r="D9" s="392"/>
      <c r="E9" s="392"/>
      <c r="F9" s="392"/>
      <c r="G9" s="392"/>
      <c r="H9" s="392"/>
      <c r="I9" s="392"/>
      <c r="J9" s="392"/>
      <c r="K9" s="392"/>
      <c r="L9" s="392"/>
      <c r="M9" s="392"/>
      <c r="N9" s="392"/>
      <c r="O9" s="393"/>
    </row>
    <row r="10" spans="2:25" s="73" customFormat="1">
      <c r="B10" s="391"/>
      <c r="C10" s="392"/>
      <c r="D10" s="392"/>
      <c r="E10" s="392"/>
      <c r="F10" s="392"/>
      <c r="G10" s="392"/>
      <c r="H10" s="392"/>
      <c r="I10" s="392"/>
      <c r="J10" s="392"/>
      <c r="K10" s="392"/>
      <c r="L10" s="392"/>
      <c r="M10" s="392"/>
      <c r="N10" s="392"/>
      <c r="O10" s="393"/>
    </row>
    <row r="11" spans="2:25" s="73" customFormat="1">
      <c r="B11" s="391"/>
      <c r="C11" s="392"/>
      <c r="D11" s="392"/>
      <c r="E11" s="392"/>
      <c r="F11" s="392"/>
      <c r="G11" s="392"/>
      <c r="H11" s="392"/>
      <c r="I11" s="392"/>
      <c r="J11" s="392"/>
      <c r="K11" s="392"/>
      <c r="L11" s="392"/>
      <c r="M11" s="392"/>
      <c r="N11" s="392"/>
      <c r="O11" s="393"/>
    </row>
    <row r="12" spans="2:25" s="73" customFormat="1">
      <c r="B12" s="391"/>
      <c r="C12" s="392"/>
      <c r="D12" s="392"/>
      <c r="E12" s="392"/>
      <c r="F12" s="392"/>
      <c r="G12" s="392"/>
      <c r="H12" s="392"/>
      <c r="I12" s="392"/>
      <c r="J12" s="392"/>
      <c r="K12" s="392"/>
      <c r="L12" s="392"/>
      <c r="M12" s="392"/>
      <c r="N12" s="392"/>
      <c r="O12" s="393"/>
      <c r="P12" s="78"/>
    </row>
    <row r="13" spans="2:25" s="73" customFormat="1">
      <c r="B13" s="391"/>
      <c r="C13" s="392"/>
      <c r="D13" s="392"/>
      <c r="E13" s="392"/>
      <c r="F13" s="392"/>
      <c r="G13" s="392"/>
      <c r="H13" s="392"/>
      <c r="I13" s="392"/>
      <c r="J13" s="392"/>
      <c r="K13" s="392"/>
      <c r="L13" s="392"/>
      <c r="M13" s="392"/>
      <c r="N13" s="392"/>
      <c r="O13" s="393"/>
      <c r="P13" s="78"/>
    </row>
    <row r="14" spans="2:25" s="73" customFormat="1" ht="214.5" customHeight="1">
      <c r="B14" s="391"/>
      <c r="C14" s="392"/>
      <c r="D14" s="392"/>
      <c r="E14" s="392"/>
      <c r="F14" s="392"/>
      <c r="G14" s="392"/>
      <c r="H14" s="392"/>
      <c r="I14" s="392"/>
      <c r="J14" s="392"/>
      <c r="K14" s="392"/>
      <c r="L14" s="392"/>
      <c r="M14" s="392"/>
      <c r="N14" s="392"/>
      <c r="O14" s="393"/>
      <c r="P14"/>
      <c r="Q14" s="204" t="s">
        <v>358</v>
      </c>
    </row>
    <row r="15" spans="2:25" ht="96.75" customHeight="1">
      <c r="B15" s="175" t="s">
        <v>129</v>
      </c>
      <c r="C15" s="389" t="s">
        <v>130</v>
      </c>
      <c r="D15" s="389"/>
      <c r="E15" s="389"/>
      <c r="F15" s="389"/>
      <c r="G15" s="389"/>
      <c r="H15" s="389"/>
      <c r="I15" s="389"/>
      <c r="J15" s="389"/>
      <c r="K15" s="389"/>
      <c r="L15" s="389"/>
      <c r="M15" s="389"/>
      <c r="N15" s="389"/>
      <c r="O15" s="390"/>
    </row>
    <row r="16" spans="2:25" ht="34.5" customHeight="1">
      <c r="B16" s="344" t="s">
        <v>131</v>
      </c>
      <c r="C16" s="345"/>
      <c r="D16" s="345"/>
      <c r="E16" s="344" t="s">
        <v>262</v>
      </c>
      <c r="F16" s="344"/>
      <c r="G16" s="346" t="s">
        <v>132</v>
      </c>
      <c r="H16" s="347"/>
      <c r="I16" s="346" t="s">
        <v>133</v>
      </c>
      <c r="J16" s="349"/>
      <c r="K16" s="347"/>
      <c r="L16" s="344" t="s">
        <v>134</v>
      </c>
      <c r="M16" s="348"/>
      <c r="N16" s="344" t="s">
        <v>263</v>
      </c>
      <c r="O16" s="348"/>
    </row>
    <row r="17" spans="2:15" ht="37.5" customHeight="1" thickBot="1">
      <c r="B17" s="377" t="s">
        <v>355</v>
      </c>
      <c r="C17" s="378"/>
      <c r="D17" s="378"/>
      <c r="E17" s="385" t="s">
        <v>349</v>
      </c>
      <c r="F17" s="386"/>
      <c r="G17" s="373" t="s">
        <v>350</v>
      </c>
      <c r="H17" s="387"/>
      <c r="I17" s="370" t="s">
        <v>467</v>
      </c>
      <c r="J17" s="371"/>
      <c r="K17" s="372"/>
      <c r="L17" s="354" t="s">
        <v>265</v>
      </c>
      <c r="M17" s="355"/>
      <c r="N17" s="354" t="s">
        <v>354</v>
      </c>
      <c r="O17" s="355"/>
    </row>
    <row r="24" spans="2:15">
      <c r="I24" s="201"/>
    </row>
  </sheetData>
  <sheetProtection formatCells="0" formatRows="0" insertColumns="0" insertRows="0" insertHyperlinks="0" deleteColumns="0" deleteRows="0" sort="0" autoFilter="0" pivotTables="0"/>
  <protectedRanges>
    <protectedRange sqref="O1" name="区域1_1"/>
  </protectedRanges>
  <mergeCells count="27">
    <mergeCell ref="N16:O16"/>
    <mergeCell ref="B17:D17"/>
    <mergeCell ref="E17:F17"/>
    <mergeCell ref="G17:H17"/>
    <mergeCell ref="N17:O17"/>
    <mergeCell ref="B16:D16"/>
    <mergeCell ref="E16:F16"/>
    <mergeCell ref="G16:H16"/>
    <mergeCell ref="I16:K16"/>
    <mergeCell ref="L16:M16"/>
    <mergeCell ref="I17:K17"/>
    <mergeCell ref="L17:M17"/>
    <mergeCell ref="C5:D5"/>
    <mergeCell ref="E5:F5"/>
    <mergeCell ref="G5:H5"/>
    <mergeCell ref="L5:M5"/>
    <mergeCell ref="C15:O15"/>
    <mergeCell ref="B6:O14"/>
    <mergeCell ref="B1:D1"/>
    <mergeCell ref="M1:O1"/>
    <mergeCell ref="K2:L2"/>
    <mergeCell ref="K3:L3"/>
    <mergeCell ref="B4:D4"/>
    <mergeCell ref="E4:J4"/>
    <mergeCell ref="K4:L4"/>
    <mergeCell ref="M4:O4"/>
    <mergeCell ref="B2:J3"/>
  </mergeCells>
  <phoneticPr fontId="45" type="noConversion"/>
  <printOptions horizontalCentered="1" verticalCentered="1"/>
  <pageMargins left="7.874015748031496E-2" right="7.874015748031496E-2" top="0.3543307086614173" bottom="0.39370078740157483" header="0.19685039370078741" footer="0.19685039370078741"/>
  <pageSetup paperSize="9" scale="88" fitToWidth="0" orientation="landscape" r:id="rId1"/>
  <headerFooter alignWithMargins="0">
    <oddHeader>&amp;LPM240707-014&amp;C正极涂布工序控制计划&amp;R版本号：B2</oddHeader>
    <oddFooter>&amp;C第 &amp;P 页，共 &amp;N 页</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4"/>
  <sheetViews>
    <sheetView view="pageLayout" zoomScale="85" zoomScaleNormal="78" zoomScaleSheetLayoutView="100" zoomScalePageLayoutView="85" workbookViewId="0">
      <selection activeCell="P6" sqref="P6"/>
    </sheetView>
  </sheetViews>
  <sheetFormatPr defaultRowHeight="14"/>
  <cols>
    <col min="1" max="1" width="6.90625" customWidth="1"/>
    <col min="2" max="2" width="6.08984375" customWidth="1"/>
    <col min="3" max="3" width="11.36328125" customWidth="1"/>
    <col min="6" max="6" width="7.36328125" customWidth="1"/>
    <col min="8" max="8" width="9.6328125" customWidth="1"/>
    <col min="10" max="10" width="9.6328125" customWidth="1"/>
    <col min="11" max="11" width="12.90625" customWidth="1"/>
    <col min="12" max="12" width="11.6328125" customWidth="1"/>
    <col min="13" max="13" width="10.90625" customWidth="1"/>
    <col min="14" max="14" width="9.36328125" customWidth="1"/>
    <col min="15" max="15" width="11.90625" customWidth="1"/>
    <col min="16" max="16" width="10.90625" customWidth="1"/>
    <col min="17" max="17" width="19.90625" customWidth="1"/>
  </cols>
  <sheetData>
    <row r="1" spans="1:18" ht="15.5">
      <c r="A1" s="394" t="s">
        <v>367</v>
      </c>
      <c r="B1" s="395"/>
      <c r="C1" s="395"/>
      <c r="D1" s="395"/>
      <c r="E1" s="395"/>
      <c r="F1" s="395"/>
      <c r="G1" s="395"/>
      <c r="H1" s="395"/>
      <c r="I1" s="395"/>
      <c r="J1" s="395"/>
      <c r="K1" s="395"/>
      <c r="L1" s="395"/>
      <c r="M1" s="395"/>
      <c r="N1" s="395"/>
      <c r="O1" s="395"/>
      <c r="P1" s="395"/>
      <c r="Q1" s="396"/>
    </row>
    <row r="2" spans="1:18">
      <c r="A2" s="184"/>
      <c r="B2" s="185"/>
      <c r="C2" s="185"/>
      <c r="D2" s="185"/>
      <c r="E2" s="185"/>
      <c r="F2" s="186"/>
      <c r="G2" s="185"/>
      <c r="H2" s="185"/>
      <c r="I2" s="187"/>
      <c r="J2" s="185"/>
      <c r="K2" s="185"/>
      <c r="L2" s="185"/>
      <c r="M2" s="185"/>
      <c r="N2" s="185"/>
      <c r="O2" s="185"/>
      <c r="P2" s="186"/>
      <c r="Q2" s="188"/>
    </row>
    <row r="3" spans="1:18">
      <c r="A3" s="397" t="s">
        <v>4</v>
      </c>
      <c r="B3" s="397" t="s">
        <v>266</v>
      </c>
      <c r="C3" s="397" t="s">
        <v>267</v>
      </c>
      <c r="D3" s="397" t="s">
        <v>268</v>
      </c>
      <c r="E3" s="397" t="s">
        <v>269</v>
      </c>
      <c r="F3" s="398" t="s">
        <v>270</v>
      </c>
      <c r="G3" s="397" t="s">
        <v>271</v>
      </c>
      <c r="H3" s="397" t="s">
        <v>272</v>
      </c>
      <c r="I3" s="397" t="s">
        <v>273</v>
      </c>
      <c r="J3" s="397" t="s">
        <v>274</v>
      </c>
      <c r="K3" s="397" t="s">
        <v>275</v>
      </c>
      <c r="L3" s="397" t="s">
        <v>276</v>
      </c>
      <c r="M3" s="404" t="s">
        <v>277</v>
      </c>
      <c r="N3" s="397" t="s">
        <v>278</v>
      </c>
      <c r="O3" s="397" t="s">
        <v>279</v>
      </c>
      <c r="P3" s="405" t="s">
        <v>280</v>
      </c>
      <c r="Q3" s="398" t="s">
        <v>281</v>
      </c>
    </row>
    <row r="4" spans="1:18">
      <c r="A4" s="397"/>
      <c r="B4" s="397"/>
      <c r="C4" s="397"/>
      <c r="D4" s="397"/>
      <c r="E4" s="397"/>
      <c r="F4" s="399"/>
      <c r="G4" s="397"/>
      <c r="H4" s="397"/>
      <c r="I4" s="397"/>
      <c r="J4" s="397"/>
      <c r="K4" s="397"/>
      <c r="L4" s="397"/>
      <c r="M4" s="404"/>
      <c r="N4" s="397"/>
      <c r="O4" s="397"/>
      <c r="P4" s="406"/>
      <c r="Q4" s="399"/>
    </row>
    <row r="5" spans="1:18" ht="73.5" customHeight="1">
      <c r="A5" s="189">
        <v>1</v>
      </c>
      <c r="B5" s="190" t="s">
        <v>290</v>
      </c>
      <c r="C5" s="190" t="s">
        <v>296</v>
      </c>
      <c r="D5" s="191" t="s">
        <v>294</v>
      </c>
      <c r="E5" s="192" t="s">
        <v>282</v>
      </c>
      <c r="F5" s="192" t="s">
        <v>283</v>
      </c>
      <c r="G5" s="192" t="s">
        <v>298</v>
      </c>
      <c r="H5" s="227" t="s">
        <v>400</v>
      </c>
      <c r="I5" s="227" t="s">
        <v>403</v>
      </c>
      <c r="J5" s="190" t="s">
        <v>292</v>
      </c>
      <c r="K5" s="192" t="s">
        <v>24</v>
      </c>
      <c r="L5" s="192" t="s">
        <v>24</v>
      </c>
      <c r="M5" s="192" t="s">
        <v>24</v>
      </c>
      <c r="N5" s="192" t="s">
        <v>24</v>
      </c>
      <c r="O5" s="192" t="s">
        <v>24</v>
      </c>
      <c r="P5" s="192" t="s">
        <v>24</v>
      </c>
      <c r="Q5" s="195" t="s">
        <v>293</v>
      </c>
      <c r="R5" s="215"/>
    </row>
    <row r="6" spans="1:18" ht="72.5">
      <c r="A6" s="193">
        <v>2</v>
      </c>
      <c r="B6" s="192" t="s">
        <v>295</v>
      </c>
      <c r="C6" s="194" t="s">
        <v>291</v>
      </c>
      <c r="D6" s="191" t="s">
        <v>297</v>
      </c>
      <c r="E6" s="192" t="s">
        <v>282</v>
      </c>
      <c r="F6" s="192" t="s">
        <v>283</v>
      </c>
      <c r="G6" s="192" t="s">
        <v>299</v>
      </c>
      <c r="H6" s="227" t="s">
        <v>400</v>
      </c>
      <c r="I6" s="227" t="s">
        <v>402</v>
      </c>
      <c r="J6" s="190" t="s">
        <v>292</v>
      </c>
      <c r="K6" s="192" t="s">
        <v>24</v>
      </c>
      <c r="L6" s="192" t="s">
        <v>24</v>
      </c>
      <c r="M6" s="194" t="s">
        <v>24</v>
      </c>
      <c r="N6" s="194" t="s">
        <v>24</v>
      </c>
      <c r="O6" s="194" t="s">
        <v>24</v>
      </c>
      <c r="P6" s="192" t="s">
        <v>24</v>
      </c>
      <c r="Q6" s="195" t="s">
        <v>293</v>
      </c>
    </row>
    <row r="7" spans="1:18">
      <c r="A7" s="196"/>
      <c r="B7" s="196"/>
      <c r="C7" s="197"/>
      <c r="D7" s="196"/>
      <c r="E7" s="196"/>
      <c r="F7" s="196"/>
      <c r="G7" s="196"/>
      <c r="H7" s="196"/>
      <c r="I7" s="198"/>
      <c r="J7" s="196"/>
      <c r="K7" s="196"/>
      <c r="L7" s="197"/>
      <c r="M7" s="197"/>
      <c r="N7" s="196"/>
      <c r="O7" s="197"/>
      <c r="P7" s="197"/>
      <c r="Q7" s="198"/>
    </row>
    <row r="8" spans="1:18">
      <c r="A8" s="196"/>
      <c r="B8" s="196"/>
      <c r="C8" s="197"/>
      <c r="D8" s="196"/>
      <c r="E8" s="196"/>
      <c r="F8" s="196"/>
      <c r="G8" s="196"/>
      <c r="H8" s="196"/>
      <c r="I8" s="198"/>
      <c r="J8" s="196"/>
      <c r="K8" s="196"/>
      <c r="L8" s="197"/>
      <c r="M8" s="197"/>
      <c r="N8" s="196"/>
      <c r="O8" s="197"/>
      <c r="P8" s="197"/>
      <c r="Q8" s="198"/>
    </row>
    <row r="9" spans="1:18">
      <c r="A9" s="196"/>
      <c r="B9" s="196"/>
      <c r="C9" s="197"/>
      <c r="D9" s="196"/>
      <c r="E9" s="196"/>
      <c r="F9" s="196"/>
      <c r="G9" s="196"/>
      <c r="H9" s="196"/>
      <c r="I9" s="198"/>
      <c r="J9" s="196"/>
      <c r="K9" s="196"/>
      <c r="L9" s="197"/>
      <c r="M9" s="197"/>
      <c r="N9" s="196"/>
      <c r="O9" s="197"/>
      <c r="P9" s="197"/>
      <c r="Q9" s="198"/>
    </row>
    <row r="10" spans="1:18">
      <c r="A10" s="196"/>
      <c r="B10" s="196"/>
      <c r="C10" s="197"/>
      <c r="D10" s="196"/>
      <c r="E10" s="196"/>
      <c r="F10" s="196"/>
      <c r="G10" s="196"/>
      <c r="H10" s="196"/>
      <c r="I10" s="198"/>
      <c r="J10" s="196"/>
      <c r="K10" s="196"/>
      <c r="L10" s="197"/>
      <c r="M10" s="197"/>
      <c r="N10" s="196"/>
      <c r="O10" s="197"/>
      <c r="P10" s="197"/>
      <c r="Q10" s="198"/>
    </row>
    <row r="11" spans="1:18">
      <c r="A11" s="196"/>
      <c r="B11" s="196"/>
      <c r="C11" s="197"/>
      <c r="D11" s="196"/>
      <c r="E11" s="196"/>
      <c r="F11" s="196"/>
      <c r="G11" s="196"/>
      <c r="H11" s="196"/>
      <c r="I11" s="198"/>
      <c r="J11" s="196"/>
      <c r="K11" s="196"/>
      <c r="L11" s="197"/>
      <c r="M11" s="197"/>
      <c r="N11" s="196"/>
      <c r="O11" s="197"/>
      <c r="P11" s="197"/>
      <c r="Q11" s="198"/>
    </row>
    <row r="12" spans="1:18">
      <c r="A12" s="196"/>
      <c r="B12" s="196"/>
      <c r="C12" s="197"/>
      <c r="D12" s="196"/>
      <c r="E12" s="196"/>
      <c r="F12" s="196"/>
      <c r="G12" s="196"/>
      <c r="H12" s="196"/>
      <c r="I12" s="198"/>
      <c r="J12" s="196"/>
      <c r="K12" s="196"/>
      <c r="L12" s="197"/>
      <c r="M12" s="197"/>
      <c r="N12" s="196"/>
      <c r="O12" s="197"/>
      <c r="P12" s="197"/>
      <c r="Q12" s="198"/>
    </row>
    <row r="13" spans="1:18" ht="22" customHeight="1">
      <c r="A13" s="400" t="s">
        <v>284</v>
      </c>
      <c r="B13" s="400"/>
      <c r="C13" s="400"/>
      <c r="D13" s="400"/>
      <c r="E13" s="400"/>
      <c r="F13" s="400"/>
      <c r="G13" s="400"/>
      <c r="H13" s="400"/>
      <c r="I13" s="400"/>
      <c r="J13" s="400"/>
      <c r="K13" s="401" t="s">
        <v>285</v>
      </c>
      <c r="L13" s="402"/>
      <c r="M13" s="403"/>
      <c r="N13" s="401" t="s">
        <v>286</v>
      </c>
      <c r="O13" s="402"/>
      <c r="P13" s="402"/>
      <c r="Q13" s="403"/>
    </row>
    <row r="14" spans="1:18" ht="68.5" customHeight="1">
      <c r="A14" s="400" t="s">
        <v>287</v>
      </c>
      <c r="B14" s="400"/>
      <c r="C14" s="400"/>
      <c r="D14" s="400"/>
      <c r="E14" s="400"/>
      <c r="F14" s="400"/>
      <c r="G14" s="400"/>
      <c r="H14" s="400"/>
      <c r="I14" s="400"/>
      <c r="J14" s="400"/>
      <c r="K14" s="401" t="s">
        <v>288</v>
      </c>
      <c r="L14" s="402"/>
      <c r="M14" s="403"/>
      <c r="N14" s="401" t="s">
        <v>289</v>
      </c>
      <c r="O14" s="402"/>
      <c r="P14" s="402"/>
      <c r="Q14" s="403"/>
    </row>
  </sheetData>
  <mergeCells count="24">
    <mergeCell ref="A14:J14"/>
    <mergeCell ref="K14:M14"/>
    <mergeCell ref="N14:Q14"/>
    <mergeCell ref="J3:J4"/>
    <mergeCell ref="K3:K4"/>
    <mergeCell ref="L3:L4"/>
    <mergeCell ref="M3:M4"/>
    <mergeCell ref="N3:N4"/>
    <mergeCell ref="O3:O4"/>
    <mergeCell ref="P3:P4"/>
    <mergeCell ref="Q3:Q4"/>
    <mergeCell ref="A13:J13"/>
    <mergeCell ref="K13:M13"/>
    <mergeCell ref="N13:Q13"/>
    <mergeCell ref="A1:Q1"/>
    <mergeCell ref="A3:A4"/>
    <mergeCell ref="B3:B4"/>
    <mergeCell ref="C3:C4"/>
    <mergeCell ref="D3:D4"/>
    <mergeCell ref="E3:E4"/>
    <mergeCell ref="F3:F4"/>
    <mergeCell ref="G3:G4"/>
    <mergeCell ref="H3:H4"/>
    <mergeCell ref="I3:I4"/>
  </mergeCells>
  <phoneticPr fontId="45" type="noConversion"/>
  <printOptions horizontalCentered="1" verticalCentered="1"/>
  <pageMargins left="7.874015748031496E-2" right="7.874015748031496E-2" top="0.3543307086614173" bottom="0.39370078740157483" header="0.19685039370078741" footer="0.19685039370078741"/>
  <pageSetup paperSize="9" scale="84" fitToHeight="0" orientation="landscape" r:id="rId1"/>
  <headerFooter alignWithMargins="0">
    <oddHeader>&amp;LPM240707-014&amp;C正极涂布工序控制计划&amp;R版本号：B2</oddHeader>
    <oddFooter>&amp;C第 &amp;P 页，共 &amp;N 页</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I46"/>
  <sheetViews>
    <sheetView topLeftCell="A13" zoomScale="70" zoomScaleNormal="70" workbookViewId="0">
      <selection activeCell="K38" sqref="K38"/>
    </sheetView>
  </sheetViews>
  <sheetFormatPr defaultColWidth="9" defaultRowHeight="14"/>
  <cols>
    <col min="1" max="1" width="2" style="17" customWidth="1"/>
    <col min="2" max="2" width="5.08984375" style="17" customWidth="1"/>
    <col min="3" max="3" width="14.453125" style="17" customWidth="1"/>
    <col min="4" max="10" width="12.6328125" style="17" customWidth="1"/>
    <col min="11" max="11" width="21" style="17" customWidth="1"/>
    <col min="12" max="12" width="2.453125" style="17" customWidth="1"/>
    <col min="13" max="13" width="9" style="17"/>
    <col min="14" max="14" width="11.08984375" style="17" customWidth="1"/>
    <col min="15" max="15" width="9" style="17"/>
    <col min="16" max="16" width="9" style="17" customWidth="1"/>
    <col min="17" max="17" width="10.453125" style="17" customWidth="1"/>
    <col min="18" max="18" width="8.453125" style="17" customWidth="1"/>
    <col min="19" max="16384" width="9" style="17"/>
  </cols>
  <sheetData>
    <row r="1" spans="2:35" ht="15" customHeight="1">
      <c r="B1" s="419" t="s">
        <v>135</v>
      </c>
      <c r="C1" s="420"/>
      <c r="D1" s="420"/>
      <c r="E1" s="420"/>
      <c r="F1" s="420"/>
      <c r="G1" s="420"/>
      <c r="H1" s="420"/>
      <c r="I1" s="420"/>
      <c r="J1" s="420"/>
      <c r="K1" s="420"/>
      <c r="L1" s="38"/>
    </row>
    <row r="2" spans="2:35" ht="15" customHeight="1">
      <c r="B2" s="421"/>
      <c r="C2" s="422"/>
      <c r="D2" s="422"/>
      <c r="E2" s="422"/>
      <c r="F2" s="422"/>
      <c r="G2" s="422"/>
      <c r="H2" s="422"/>
      <c r="I2" s="422"/>
      <c r="J2" s="422"/>
      <c r="K2" s="422"/>
      <c r="L2" s="39"/>
      <c r="M2" s="40"/>
      <c r="N2" s="40"/>
      <c r="O2" s="40"/>
      <c r="P2" s="40"/>
      <c r="Q2" s="40"/>
      <c r="R2" s="40"/>
      <c r="S2" s="40"/>
    </row>
    <row r="3" spans="2:35" ht="15" customHeight="1">
      <c r="B3" s="421"/>
      <c r="C3" s="422"/>
      <c r="D3" s="422"/>
      <c r="E3" s="422"/>
      <c r="F3" s="422"/>
      <c r="G3" s="422"/>
      <c r="H3" s="422"/>
      <c r="I3" s="422"/>
      <c r="J3" s="422"/>
      <c r="K3" s="422"/>
      <c r="L3" s="39"/>
      <c r="M3" s="409"/>
      <c r="N3" s="410"/>
      <c r="O3" s="410"/>
      <c r="P3" s="410"/>
      <c r="Q3" s="410"/>
      <c r="R3" s="410"/>
      <c r="S3" s="410"/>
      <c r="T3" s="410"/>
      <c r="U3" s="410"/>
      <c r="V3" s="410"/>
      <c r="W3" s="410"/>
      <c r="X3" s="410"/>
      <c r="Y3" s="70"/>
      <c r="Z3" s="70"/>
      <c r="AA3" s="70"/>
      <c r="AB3" s="70"/>
      <c r="AC3" s="70"/>
      <c r="AD3" s="70"/>
      <c r="AE3" s="70"/>
      <c r="AF3" s="70"/>
      <c r="AG3" s="70"/>
      <c r="AH3" s="70"/>
      <c r="AI3" s="70"/>
    </row>
    <row r="4" spans="2:35" ht="15" customHeight="1">
      <c r="B4" s="423"/>
      <c r="C4" s="424"/>
      <c r="D4" s="424"/>
      <c r="E4" s="424"/>
      <c r="F4" s="424"/>
      <c r="G4" s="424"/>
      <c r="H4" s="424"/>
      <c r="I4" s="424"/>
      <c r="J4" s="424"/>
      <c r="K4" s="424"/>
      <c r="L4" s="41"/>
      <c r="M4" s="411"/>
      <c r="N4" s="411"/>
      <c r="O4" s="411"/>
      <c r="P4" s="411"/>
      <c r="Q4" s="411"/>
      <c r="R4" s="411"/>
      <c r="S4" s="411"/>
      <c r="T4" s="411"/>
      <c r="U4" s="411"/>
      <c r="V4" s="411"/>
      <c r="W4" s="411"/>
      <c r="X4" s="411"/>
      <c r="Y4" s="70"/>
      <c r="Z4" s="70"/>
      <c r="AA4" s="70"/>
      <c r="AB4" s="70"/>
      <c r="AC4" s="70"/>
      <c r="AD4" s="70"/>
      <c r="AE4" s="70"/>
      <c r="AF4" s="70"/>
      <c r="AG4" s="70"/>
      <c r="AH4" s="70"/>
      <c r="AI4" s="70"/>
    </row>
    <row r="5" spans="2:35" ht="24" customHeight="1">
      <c r="B5" s="30"/>
      <c r="C5" s="31"/>
      <c r="D5" s="32"/>
      <c r="E5" s="32"/>
      <c r="F5" s="32"/>
      <c r="G5" s="32"/>
      <c r="H5" s="32"/>
      <c r="I5" s="32"/>
      <c r="J5" s="32"/>
      <c r="K5" s="42"/>
      <c r="L5" s="38"/>
      <c r="N5" s="43"/>
      <c r="O5" s="44"/>
      <c r="P5" s="44"/>
      <c r="Q5" s="44"/>
      <c r="R5"/>
      <c r="S5"/>
      <c r="T5"/>
    </row>
    <row r="6" spans="2:35" ht="24" customHeight="1">
      <c r="B6" s="33"/>
      <c r="C6" s="412" t="s">
        <v>243</v>
      </c>
      <c r="D6" s="413"/>
      <c r="E6" s="413"/>
      <c r="F6" s="413"/>
      <c r="G6" s="413"/>
      <c r="H6" s="413"/>
      <c r="I6" s="413"/>
      <c r="J6" s="414"/>
      <c r="L6" s="39"/>
      <c r="N6" s="43"/>
      <c r="O6" s="44"/>
      <c r="P6" s="44"/>
      <c r="Q6" s="44"/>
      <c r="R6"/>
      <c r="S6"/>
      <c r="T6"/>
    </row>
    <row r="7" spans="2:35" ht="24" customHeight="1">
      <c r="B7" s="33"/>
      <c r="C7" s="415"/>
      <c r="D7" s="416"/>
      <c r="E7" s="150" t="s">
        <v>137</v>
      </c>
      <c r="F7" s="150" t="s">
        <v>138</v>
      </c>
      <c r="G7" s="150" t="s">
        <v>139</v>
      </c>
      <c r="H7" s="150" t="s">
        <v>140</v>
      </c>
      <c r="I7" s="150" t="s">
        <v>141</v>
      </c>
      <c r="J7" s="151" t="s">
        <v>142</v>
      </c>
      <c r="L7" s="39"/>
      <c r="N7" s="43"/>
      <c r="O7" s="44"/>
      <c r="P7" s="44"/>
      <c r="Q7" s="44"/>
      <c r="R7"/>
      <c r="S7"/>
      <c r="T7"/>
    </row>
    <row r="8" spans="2:35" ht="24" customHeight="1">
      <c r="B8" s="33"/>
      <c r="C8" s="417" t="s">
        <v>228</v>
      </c>
      <c r="D8" s="148" t="s">
        <v>143</v>
      </c>
      <c r="E8" s="144">
        <v>75</v>
      </c>
      <c r="F8" s="144">
        <v>85</v>
      </c>
      <c r="G8" s="144">
        <v>85</v>
      </c>
      <c r="H8" s="144">
        <v>85</v>
      </c>
      <c r="I8" s="144">
        <v>85</v>
      </c>
      <c r="J8" s="145">
        <v>75</v>
      </c>
      <c r="K8" s="45"/>
      <c r="L8" s="39"/>
      <c r="N8" s="43"/>
      <c r="O8" s="44"/>
      <c r="P8" s="44"/>
      <c r="Q8" s="44"/>
      <c r="R8"/>
      <c r="S8"/>
      <c r="T8"/>
    </row>
    <row r="9" spans="2:35" ht="24" customHeight="1">
      <c r="B9" s="33"/>
      <c r="C9" s="417"/>
      <c r="D9" s="148" t="s">
        <v>144</v>
      </c>
      <c r="E9" s="144">
        <v>130</v>
      </c>
      <c r="F9" s="144">
        <v>140</v>
      </c>
      <c r="G9" s="144">
        <v>140</v>
      </c>
      <c r="H9" s="144">
        <v>140</v>
      </c>
      <c r="I9" s="144">
        <v>140</v>
      </c>
      <c r="J9" s="145">
        <v>130</v>
      </c>
      <c r="K9" s="46"/>
      <c r="L9" s="39"/>
      <c r="N9" s="43"/>
      <c r="O9" s="44"/>
      <c r="P9" s="44"/>
      <c r="Q9" s="44"/>
      <c r="R9"/>
      <c r="S9"/>
      <c r="T9"/>
    </row>
    <row r="10" spans="2:35" ht="24" customHeight="1">
      <c r="B10" s="33"/>
      <c r="C10" s="417" t="s">
        <v>229</v>
      </c>
      <c r="D10" s="148" t="s">
        <v>143</v>
      </c>
      <c r="E10" s="144">
        <v>5</v>
      </c>
      <c r="F10" s="144">
        <v>7</v>
      </c>
      <c r="G10" s="144">
        <v>7</v>
      </c>
      <c r="H10" s="144">
        <v>7</v>
      </c>
      <c r="I10" s="144">
        <v>7</v>
      </c>
      <c r="J10" s="145">
        <v>6</v>
      </c>
      <c r="K10" s="34"/>
      <c r="L10" s="39"/>
      <c r="N10" s="43"/>
      <c r="O10" s="44"/>
      <c r="P10" s="44"/>
      <c r="Q10" s="44"/>
      <c r="R10"/>
      <c r="S10"/>
      <c r="T10"/>
    </row>
    <row r="11" spans="2:35" ht="24" customHeight="1" thickBot="1">
      <c r="B11" s="33"/>
      <c r="C11" s="418"/>
      <c r="D11" s="149" t="s">
        <v>144</v>
      </c>
      <c r="E11" s="146">
        <v>25</v>
      </c>
      <c r="F11" s="146">
        <v>30</v>
      </c>
      <c r="G11" s="146">
        <v>30</v>
      </c>
      <c r="H11" s="146">
        <v>30</v>
      </c>
      <c r="I11" s="146">
        <v>30</v>
      </c>
      <c r="J11" s="147">
        <v>28</v>
      </c>
      <c r="K11" s="34"/>
      <c r="L11" s="39"/>
      <c r="N11" s="43"/>
      <c r="O11" s="44"/>
      <c r="P11" s="44"/>
      <c r="Q11" s="44"/>
      <c r="R11"/>
      <c r="S11"/>
      <c r="T11"/>
    </row>
    <row r="12" spans="2:35" ht="24" customHeight="1">
      <c r="B12" s="33"/>
      <c r="C12" s="34"/>
      <c r="D12" s="34"/>
      <c r="E12" s="34"/>
      <c r="F12" s="34"/>
      <c r="G12" s="34"/>
      <c r="H12" s="34"/>
      <c r="I12" s="34"/>
      <c r="J12" s="34"/>
      <c r="K12" s="34"/>
      <c r="L12" s="39"/>
      <c r="N12" s="43"/>
      <c r="O12" s="44"/>
      <c r="P12" s="44"/>
      <c r="Q12" s="44"/>
      <c r="R12"/>
      <c r="S12"/>
      <c r="T12"/>
    </row>
    <row r="13" spans="2:35" ht="24" customHeight="1">
      <c r="B13" s="33"/>
      <c r="C13" s="425" t="s">
        <v>230</v>
      </c>
      <c r="D13" s="425"/>
      <c r="E13" s="425"/>
      <c r="F13" s="425"/>
      <c r="G13" s="425"/>
      <c r="H13" s="425"/>
      <c r="I13" s="425"/>
      <c r="J13" s="425"/>
      <c r="K13" s="425"/>
      <c r="L13" s="39"/>
      <c r="N13" s="47" t="s">
        <v>145</v>
      </c>
      <c r="O13" s="34"/>
      <c r="P13" s="34"/>
      <c r="Q13" s="66"/>
      <c r="R13" s="34"/>
      <c r="S13" s="34"/>
      <c r="T13" s="34"/>
      <c r="U13" s="34"/>
      <c r="V13" s="34"/>
    </row>
    <row r="14" spans="2:35" ht="39" customHeight="1" thickBot="1">
      <c r="B14" s="33"/>
      <c r="C14" s="165" t="s">
        <v>231</v>
      </c>
      <c r="D14" s="433">
        <v>208.5</v>
      </c>
      <c r="E14" s="434"/>
      <c r="F14" s="165" t="s">
        <v>232</v>
      </c>
      <c r="G14" s="165" t="s">
        <v>233</v>
      </c>
      <c r="H14" s="165" t="s">
        <v>234</v>
      </c>
      <c r="I14" s="166">
        <v>33.1</v>
      </c>
      <c r="J14" s="165" t="s">
        <v>235</v>
      </c>
      <c r="K14" s="165">
        <v>25</v>
      </c>
      <c r="L14" s="39"/>
      <c r="N14" s="48" t="s">
        <v>146</v>
      </c>
      <c r="O14" s="49">
        <v>201.35</v>
      </c>
      <c r="P14" s="48"/>
      <c r="Q14" s="48" t="s">
        <v>147</v>
      </c>
      <c r="R14" s="48">
        <v>14</v>
      </c>
      <c r="S14" s="48" t="s">
        <v>148</v>
      </c>
      <c r="T14" s="49">
        <v>33.1</v>
      </c>
      <c r="U14" s="48" t="s">
        <v>149</v>
      </c>
      <c r="V14" s="48">
        <v>25</v>
      </c>
    </row>
    <row r="15" spans="2:35" ht="19.5" customHeight="1">
      <c r="B15" s="33"/>
      <c r="C15" s="426" t="s">
        <v>236</v>
      </c>
      <c r="D15" s="426" t="s">
        <v>237</v>
      </c>
      <c r="E15" s="426"/>
      <c r="F15" s="426"/>
      <c r="G15" s="426"/>
      <c r="H15" s="426" t="s">
        <v>238</v>
      </c>
      <c r="I15" s="426"/>
      <c r="J15" s="426"/>
      <c r="K15" s="426"/>
      <c r="L15" s="39"/>
      <c r="N15" s="427" t="s">
        <v>150</v>
      </c>
      <c r="O15" s="429" t="s">
        <v>151</v>
      </c>
      <c r="P15" s="430"/>
      <c r="Q15" s="430"/>
      <c r="R15" s="431"/>
      <c r="S15" s="429" t="s">
        <v>152</v>
      </c>
      <c r="T15" s="430"/>
      <c r="U15" s="430"/>
      <c r="V15" s="432"/>
    </row>
    <row r="16" spans="2:35" ht="24.75" customHeight="1" thickBot="1">
      <c r="B16" s="33"/>
      <c r="C16" s="426"/>
      <c r="D16" s="167" t="s">
        <v>239</v>
      </c>
      <c r="E16" s="167" t="s">
        <v>240</v>
      </c>
      <c r="F16" s="167" t="s">
        <v>241</v>
      </c>
      <c r="G16" s="167" t="s">
        <v>242</v>
      </c>
      <c r="H16" s="167" t="s">
        <v>239</v>
      </c>
      <c r="I16" s="167" t="s">
        <v>240</v>
      </c>
      <c r="J16" s="167" t="s">
        <v>241</v>
      </c>
      <c r="K16" s="167" t="s">
        <v>242</v>
      </c>
      <c r="L16" s="39"/>
      <c r="N16" s="428"/>
      <c r="O16" s="50" t="s">
        <v>153</v>
      </c>
      <c r="P16" s="51" t="s">
        <v>154</v>
      </c>
      <c r="Q16" s="51" t="s">
        <v>155</v>
      </c>
      <c r="R16" s="67" t="s">
        <v>156</v>
      </c>
      <c r="S16" s="50" t="s">
        <v>153</v>
      </c>
      <c r="T16" s="51" t="s">
        <v>154</v>
      </c>
      <c r="U16" s="51" t="s">
        <v>155</v>
      </c>
      <c r="V16" s="68" t="s">
        <v>156</v>
      </c>
    </row>
    <row r="17" spans="2:22" ht="24.75" customHeight="1">
      <c r="B17" s="33"/>
      <c r="C17" s="168">
        <f t="shared" ref="C17:C20" si="0">+C18-0.1/1000</f>
        <v>1.5747924505284713E-2</v>
      </c>
      <c r="D17" s="169">
        <f>ROUNDUP($D$14*(1-0.012)*($K$14/2)*($K$14/2)*PI()/1000000+C17,4)</f>
        <v>0.1169</v>
      </c>
      <c r="E17" s="169">
        <f>ROUNDDOWN($D$14*(1+0.012)*($K$14/2)*($K$14/2)*PI()/1000000+C17,4)</f>
        <v>0.1193</v>
      </c>
      <c r="F17" s="169">
        <f>ROUNDUP($D$14*(1-0.015)*($K$14/2)*($K$14/2)*PI()/1000000+C17,4)</f>
        <v>0.11660000000000001</v>
      </c>
      <c r="G17" s="169">
        <f>ROUNDDOWN($D$14*(1+0.015)*($K$14/2)*($K$14/2)*PI()/1000000+C17,4)</f>
        <v>0.1196</v>
      </c>
      <c r="H17" s="169">
        <f>ROUNDUP($D$14*(1-0.012)*($K$14/2)*($K$14/2)*PI()/1000000*2+C17,4)</f>
        <v>0.218</v>
      </c>
      <c r="I17" s="169">
        <f>ROUNDDOWN($D$14*(1+0.012)*($K$14/2)*($K$14/2)*PI()/1000000*2+C17,4)</f>
        <v>0.2228</v>
      </c>
      <c r="J17" s="169">
        <f>ROUNDUP($D$14*(1-0.015)*($K$14/2)*($K$14/2)*PI()/1000000*2+C17,4)</f>
        <v>0.21739999999999998</v>
      </c>
      <c r="K17" s="169">
        <f>ROUNDDOWN($D$14*(1+0.015)*($K$14/2)*($K$14/2)*PI()/1000000*2+C17,4)</f>
        <v>0.2235</v>
      </c>
      <c r="L17" s="39"/>
      <c r="N17" s="171"/>
      <c r="O17" s="172"/>
      <c r="P17" s="173"/>
      <c r="Q17" s="173"/>
      <c r="R17" s="174"/>
      <c r="S17" s="172"/>
      <c r="T17" s="173"/>
      <c r="U17" s="173"/>
      <c r="V17" s="174"/>
    </row>
    <row r="18" spans="2:22" ht="20.149999999999999" customHeight="1">
      <c r="B18" s="33"/>
      <c r="C18" s="168">
        <f t="shared" si="0"/>
        <v>1.5847924505284713E-2</v>
      </c>
      <c r="D18" s="169">
        <f t="shared" ref="D18:D27" si="1">ROUNDUP($D$14*(1-0.012)*($K$14/2)*($K$14/2)*PI()/1000000+C18,4)</f>
        <v>0.11700000000000001</v>
      </c>
      <c r="E18" s="169">
        <f t="shared" ref="E18:E27" si="2">ROUNDDOWN($D$14*(1+0.012)*($K$14/2)*($K$14/2)*PI()/1000000+C18,4)</f>
        <v>0.11940000000000001</v>
      </c>
      <c r="F18" s="169">
        <f t="shared" ref="F18:F27" si="3">ROUNDUP($D$14*(1-0.015)*($K$14/2)*($K$14/2)*PI()/1000000+C18,4)</f>
        <v>0.1167</v>
      </c>
      <c r="G18" s="169">
        <f t="shared" ref="G18:G27" si="4">ROUNDDOWN($D$14*(1+0.015)*($K$14/2)*($K$14/2)*PI()/1000000+C18,4)</f>
        <v>0.1197</v>
      </c>
      <c r="H18" s="169">
        <f t="shared" ref="H18:H27" si="5">ROUNDUP($D$14*(1-0.012)*($K$14/2)*($K$14/2)*PI()/1000000*2+C18,4)</f>
        <v>0.21809999999999999</v>
      </c>
      <c r="I18" s="169">
        <f t="shared" ref="I18:I27" si="6">ROUNDDOWN($D$14*(1+0.012)*($K$14/2)*($K$14/2)*PI()/1000000*2+C18,4)</f>
        <v>0.22289999999999999</v>
      </c>
      <c r="J18" s="169">
        <f t="shared" ref="J18:J27" si="7">ROUNDUP($D$14*(1-0.015)*($K$14/2)*($K$14/2)*PI()/1000000*2+C18,4)</f>
        <v>0.2175</v>
      </c>
      <c r="K18" s="169">
        <f t="shared" ref="K18:K27" si="8">ROUNDDOWN($D$14*(1+0.015)*($K$14/2)*($K$14/2)*PI()/1000000*2+C18,4)</f>
        <v>0.22359999999999999</v>
      </c>
      <c r="L18" s="39"/>
      <c r="N18" s="52">
        <f>+N19-0.001</f>
        <v>1.2247924505284707E-2</v>
      </c>
      <c r="O18" s="142">
        <f>ROUNDUP(D18,1)</f>
        <v>0.2</v>
      </c>
      <c r="P18" s="142">
        <f>ROUNDDOWN(E18,1)</f>
        <v>0.1</v>
      </c>
      <c r="Q18" s="142">
        <f>ROUNDUP(F18,1)</f>
        <v>0.2</v>
      </c>
      <c r="R18" s="142">
        <f>ROUNDDOWN(G18,1)</f>
        <v>0.1</v>
      </c>
      <c r="S18" s="142">
        <f>ROUNDUP(H18,1)</f>
        <v>0.30000000000000004</v>
      </c>
      <c r="T18" s="142">
        <f>ROUNDDOWN(I18,1)</f>
        <v>0.2</v>
      </c>
      <c r="U18" s="142">
        <f>ROUNDUP(J18,1)</f>
        <v>0.30000000000000004</v>
      </c>
      <c r="V18" s="142">
        <f>ROUNDDOWN(K18,1)</f>
        <v>0.2</v>
      </c>
    </row>
    <row r="19" spans="2:22" ht="20.149999999999999" customHeight="1">
      <c r="B19" s="33"/>
      <c r="C19" s="168">
        <f t="shared" si="0"/>
        <v>1.5947924505284712E-2</v>
      </c>
      <c r="D19" s="169">
        <f t="shared" si="1"/>
        <v>0.11710000000000001</v>
      </c>
      <c r="E19" s="169">
        <f t="shared" si="2"/>
        <v>0.1195</v>
      </c>
      <c r="F19" s="169">
        <f t="shared" si="3"/>
        <v>0.1168</v>
      </c>
      <c r="G19" s="169">
        <f t="shared" si="4"/>
        <v>0.1198</v>
      </c>
      <c r="H19" s="169">
        <f t="shared" si="5"/>
        <v>0.21819999999999998</v>
      </c>
      <c r="I19" s="169">
        <f t="shared" si="6"/>
        <v>0.223</v>
      </c>
      <c r="J19" s="169">
        <f t="shared" si="7"/>
        <v>0.21759999999999999</v>
      </c>
      <c r="K19" s="169">
        <f t="shared" si="8"/>
        <v>0.22370000000000001</v>
      </c>
      <c r="L19" s="39"/>
      <c r="N19" s="53">
        <f>+N20-0.001</f>
        <v>1.3247924505284708E-2</v>
      </c>
      <c r="O19" s="143">
        <f>ROUNDUP(D19,1)</f>
        <v>0.2</v>
      </c>
      <c r="P19" s="143">
        <f t="shared" ref="P19:P27" si="9">ROUNDDOWN(E19,1)</f>
        <v>0.1</v>
      </c>
      <c r="Q19" s="143">
        <f t="shared" ref="Q19:Q27" si="10">ROUNDUP(F19,1)</f>
        <v>0.2</v>
      </c>
      <c r="R19" s="143">
        <f t="shared" ref="R19:R27" si="11">ROUNDDOWN(G19,1)</f>
        <v>0.1</v>
      </c>
      <c r="S19" s="143">
        <f t="shared" ref="S19:S27" si="12">ROUNDUP(H19,1)</f>
        <v>0.30000000000000004</v>
      </c>
      <c r="T19" s="143">
        <f t="shared" ref="T19:T27" si="13">ROUNDDOWN(I19,1)</f>
        <v>0.2</v>
      </c>
      <c r="U19" s="143">
        <f t="shared" ref="U19:U27" si="14">ROUNDUP(J19,1)</f>
        <v>0.30000000000000004</v>
      </c>
      <c r="V19" s="143">
        <f t="shared" ref="V19:V27" si="15">ROUNDDOWN(K19,1)</f>
        <v>0.2</v>
      </c>
    </row>
    <row r="20" spans="2:22" ht="20.149999999999999" customHeight="1">
      <c r="B20" s="33"/>
      <c r="C20" s="168">
        <f t="shared" si="0"/>
        <v>1.6047924505284712E-2</v>
      </c>
      <c r="D20" s="169">
        <f t="shared" si="1"/>
        <v>0.1172</v>
      </c>
      <c r="E20" s="169">
        <f t="shared" si="2"/>
        <v>0.1196</v>
      </c>
      <c r="F20" s="169">
        <f t="shared" si="3"/>
        <v>0.1169</v>
      </c>
      <c r="G20" s="169">
        <f t="shared" si="4"/>
        <v>0.11990000000000001</v>
      </c>
      <c r="H20" s="169">
        <f>ROUNDUP($D$14*(1-0.012)*($K$14/2)*($K$14/2)*PI()/1000000*2+C20,4)</f>
        <v>0.21829999999999999</v>
      </c>
      <c r="I20" s="169">
        <f t="shared" si="6"/>
        <v>0.22309999999999999</v>
      </c>
      <c r="J20" s="169">
        <f t="shared" si="7"/>
        <v>0.21769999999999998</v>
      </c>
      <c r="K20" s="169">
        <f t="shared" si="8"/>
        <v>0.2238</v>
      </c>
      <c r="L20" s="39"/>
      <c r="N20" s="54">
        <f>+N21-0.001</f>
        <v>1.4247924505284709E-2</v>
      </c>
      <c r="O20" s="142">
        <f t="shared" ref="O20:O27" si="16">ROUNDUP(D20,1)</f>
        <v>0.2</v>
      </c>
      <c r="P20" s="142">
        <f t="shared" si="9"/>
        <v>0.1</v>
      </c>
      <c r="Q20" s="142">
        <f t="shared" si="10"/>
        <v>0.2</v>
      </c>
      <c r="R20" s="142">
        <f t="shared" si="11"/>
        <v>0.1</v>
      </c>
      <c r="S20" s="142">
        <f t="shared" si="12"/>
        <v>0.30000000000000004</v>
      </c>
      <c r="T20" s="142">
        <f t="shared" si="13"/>
        <v>0.2</v>
      </c>
      <c r="U20" s="142">
        <f t="shared" si="14"/>
        <v>0.30000000000000004</v>
      </c>
      <c r="V20" s="142">
        <f t="shared" si="15"/>
        <v>0.2</v>
      </c>
    </row>
    <row r="21" spans="2:22" ht="20.149999999999999" customHeight="1">
      <c r="B21" s="33"/>
      <c r="C21" s="168">
        <f>+C22-0.1/1000</f>
        <v>1.6147924505284711E-2</v>
      </c>
      <c r="D21" s="169">
        <f t="shared" si="1"/>
        <v>0.1173</v>
      </c>
      <c r="E21" s="169">
        <f t="shared" si="2"/>
        <v>0.1197</v>
      </c>
      <c r="F21" s="169">
        <f t="shared" si="3"/>
        <v>0.11700000000000001</v>
      </c>
      <c r="G21" s="169">
        <f t="shared" si="4"/>
        <v>0.12</v>
      </c>
      <c r="H21" s="169">
        <f t="shared" si="5"/>
        <v>0.21839999999999998</v>
      </c>
      <c r="I21" s="169">
        <f t="shared" si="6"/>
        <v>0.22320000000000001</v>
      </c>
      <c r="J21" s="169">
        <f t="shared" si="7"/>
        <v>0.21779999999999999</v>
      </c>
      <c r="K21" s="169">
        <f t="shared" si="8"/>
        <v>0.22389999999999999</v>
      </c>
      <c r="L21" s="39"/>
      <c r="N21" s="53">
        <f>+N22-0.001</f>
        <v>1.5247924505284709E-2</v>
      </c>
      <c r="O21" s="143">
        <f t="shared" si="16"/>
        <v>0.2</v>
      </c>
      <c r="P21" s="143">
        <f t="shared" si="9"/>
        <v>0.1</v>
      </c>
      <c r="Q21" s="143">
        <f>ROUNDUP(F21,1)</f>
        <v>0.2</v>
      </c>
      <c r="R21" s="143">
        <f t="shared" si="11"/>
        <v>0.1</v>
      </c>
      <c r="S21" s="143">
        <f t="shared" si="12"/>
        <v>0.30000000000000004</v>
      </c>
      <c r="T21" s="143">
        <f t="shared" si="13"/>
        <v>0.2</v>
      </c>
      <c r="U21" s="143">
        <f t="shared" si="14"/>
        <v>0.30000000000000004</v>
      </c>
      <c r="V21" s="143">
        <f t="shared" si="15"/>
        <v>0.2</v>
      </c>
    </row>
    <row r="22" spans="2:22" ht="20.149999999999999" customHeight="1">
      <c r="B22" s="35"/>
      <c r="C22" s="170">
        <f>+$I$14*($K$14/2)*($K$14/2)*PI()/1000000</f>
        <v>1.624792450528471E-2</v>
      </c>
      <c r="D22" s="169">
        <f t="shared" si="1"/>
        <v>0.1174</v>
      </c>
      <c r="E22" s="169">
        <f t="shared" si="2"/>
        <v>0.1198</v>
      </c>
      <c r="F22" s="169">
        <f t="shared" si="3"/>
        <v>0.11710000000000001</v>
      </c>
      <c r="G22" s="169">
        <f t="shared" si="4"/>
        <v>0.1201</v>
      </c>
      <c r="H22" s="169">
        <f t="shared" si="5"/>
        <v>0.2185</v>
      </c>
      <c r="I22" s="169">
        <f t="shared" si="6"/>
        <v>0.2233</v>
      </c>
      <c r="J22" s="169">
        <f t="shared" si="7"/>
        <v>0.21789999999999998</v>
      </c>
      <c r="K22" s="169">
        <f t="shared" si="8"/>
        <v>0.224</v>
      </c>
      <c r="L22" s="39"/>
      <c r="N22" s="54">
        <f>+$I$14*($K$14/2)*($K$14/2)*PI()/1000000</f>
        <v>1.624792450528471E-2</v>
      </c>
      <c r="O22" s="142">
        <f t="shared" si="16"/>
        <v>0.2</v>
      </c>
      <c r="P22" s="142">
        <f t="shared" si="9"/>
        <v>0.1</v>
      </c>
      <c r="Q22" s="142">
        <f t="shared" si="10"/>
        <v>0.2</v>
      </c>
      <c r="R22" s="142">
        <f t="shared" si="11"/>
        <v>0.1</v>
      </c>
      <c r="S22" s="142">
        <f t="shared" si="12"/>
        <v>0.30000000000000004</v>
      </c>
      <c r="T22" s="142">
        <f t="shared" si="13"/>
        <v>0.2</v>
      </c>
      <c r="U22" s="142">
        <f t="shared" si="14"/>
        <v>0.30000000000000004</v>
      </c>
      <c r="V22" s="142">
        <f t="shared" si="15"/>
        <v>0.2</v>
      </c>
    </row>
    <row r="23" spans="2:22" ht="20.149999999999999" customHeight="1">
      <c r="B23" s="35"/>
      <c r="C23" s="168">
        <f>+C22+0.1/1000</f>
        <v>1.634792450528471E-2</v>
      </c>
      <c r="D23" s="169">
        <f t="shared" si="1"/>
        <v>0.11750000000000001</v>
      </c>
      <c r="E23" s="169">
        <f t="shared" si="2"/>
        <v>0.11990000000000001</v>
      </c>
      <c r="F23" s="169">
        <f t="shared" si="3"/>
        <v>0.1172</v>
      </c>
      <c r="G23" s="169">
        <f t="shared" si="4"/>
        <v>0.1202</v>
      </c>
      <c r="H23" s="169">
        <f t="shared" si="5"/>
        <v>0.21859999999999999</v>
      </c>
      <c r="I23" s="169">
        <f t="shared" si="6"/>
        <v>0.22339999999999999</v>
      </c>
      <c r="J23" s="169">
        <f t="shared" si="7"/>
        <v>0.218</v>
      </c>
      <c r="K23" s="169">
        <f t="shared" si="8"/>
        <v>0.22409999999999999</v>
      </c>
      <c r="L23" s="39"/>
      <c r="N23" s="53">
        <f>+N22+0.1</f>
        <v>0.11624792450528472</v>
      </c>
      <c r="O23" s="143">
        <f t="shared" si="16"/>
        <v>0.2</v>
      </c>
      <c r="P23" s="143">
        <f t="shared" si="9"/>
        <v>0.1</v>
      </c>
      <c r="Q23" s="143">
        <f t="shared" si="10"/>
        <v>0.2</v>
      </c>
      <c r="R23" s="143">
        <f t="shared" si="11"/>
        <v>0.1</v>
      </c>
      <c r="S23" s="143">
        <f t="shared" si="12"/>
        <v>0.30000000000000004</v>
      </c>
      <c r="T23" s="143">
        <f t="shared" si="13"/>
        <v>0.2</v>
      </c>
      <c r="U23" s="143">
        <f t="shared" si="14"/>
        <v>0.30000000000000004</v>
      </c>
      <c r="V23" s="143">
        <f t="shared" si="15"/>
        <v>0.2</v>
      </c>
    </row>
    <row r="24" spans="2:22" ht="20.149999999999999" customHeight="1">
      <c r="B24" s="35"/>
      <c r="C24" s="168">
        <f t="shared" ref="C24:C27" si="17">+C23+0.1/1000</f>
        <v>1.6447924505284709E-2</v>
      </c>
      <c r="D24" s="169">
        <f t="shared" si="1"/>
        <v>0.1176</v>
      </c>
      <c r="E24" s="169">
        <f t="shared" si="2"/>
        <v>0.12</v>
      </c>
      <c r="F24" s="169">
        <f t="shared" si="3"/>
        <v>0.1173</v>
      </c>
      <c r="G24" s="169">
        <f t="shared" si="4"/>
        <v>0.1203</v>
      </c>
      <c r="H24" s="169">
        <f t="shared" si="5"/>
        <v>0.21869999999999998</v>
      </c>
      <c r="I24" s="169">
        <f t="shared" si="6"/>
        <v>0.2235</v>
      </c>
      <c r="J24" s="169">
        <f t="shared" si="7"/>
        <v>0.21809999999999999</v>
      </c>
      <c r="K24" s="169">
        <f t="shared" si="8"/>
        <v>0.22420000000000001</v>
      </c>
      <c r="L24" s="39"/>
      <c r="N24" s="54">
        <f>+N23+0.1</f>
        <v>0.21624792450528474</v>
      </c>
      <c r="O24" s="142">
        <f>ROUNDUP(D24,1)</f>
        <v>0.2</v>
      </c>
      <c r="P24" s="142">
        <f t="shared" si="9"/>
        <v>0.1</v>
      </c>
      <c r="Q24" s="142">
        <f>ROUNDUP(F24,1)</f>
        <v>0.2</v>
      </c>
      <c r="R24" s="142">
        <f t="shared" si="11"/>
        <v>0.1</v>
      </c>
      <c r="S24" s="142">
        <f t="shared" si="12"/>
        <v>0.30000000000000004</v>
      </c>
      <c r="T24" s="142">
        <f t="shared" si="13"/>
        <v>0.2</v>
      </c>
      <c r="U24" s="142">
        <f t="shared" si="14"/>
        <v>0.30000000000000004</v>
      </c>
      <c r="V24" s="142">
        <f t="shared" si="15"/>
        <v>0.2</v>
      </c>
    </row>
    <row r="25" spans="2:22" ht="20.149999999999999" customHeight="1">
      <c r="B25" s="35"/>
      <c r="C25" s="168">
        <f t="shared" si="17"/>
        <v>1.6547924505284708E-2</v>
      </c>
      <c r="D25" s="169">
        <f t="shared" si="1"/>
        <v>0.1177</v>
      </c>
      <c r="E25" s="169">
        <f t="shared" si="2"/>
        <v>0.1201</v>
      </c>
      <c r="F25" s="169">
        <f t="shared" si="3"/>
        <v>0.1174</v>
      </c>
      <c r="G25" s="169">
        <f t="shared" si="4"/>
        <v>0.12039999999999999</v>
      </c>
      <c r="H25" s="169">
        <f t="shared" si="5"/>
        <v>0.21879999999999999</v>
      </c>
      <c r="I25" s="169">
        <f t="shared" si="6"/>
        <v>0.22359999999999999</v>
      </c>
      <c r="J25" s="169">
        <f t="shared" si="7"/>
        <v>0.21819999999999998</v>
      </c>
      <c r="K25" s="169">
        <f t="shared" si="8"/>
        <v>0.2243</v>
      </c>
      <c r="L25" s="140"/>
      <c r="N25" s="53">
        <f>+N24+0.1</f>
        <v>0.31624792450528472</v>
      </c>
      <c r="O25" s="143">
        <f t="shared" si="16"/>
        <v>0.2</v>
      </c>
      <c r="P25" s="143">
        <f t="shared" si="9"/>
        <v>0.1</v>
      </c>
      <c r="Q25" s="143">
        <f t="shared" si="10"/>
        <v>0.2</v>
      </c>
      <c r="R25" s="143">
        <f t="shared" si="11"/>
        <v>0.1</v>
      </c>
      <c r="S25" s="143">
        <f t="shared" si="12"/>
        <v>0.30000000000000004</v>
      </c>
      <c r="T25" s="143">
        <f t="shared" si="13"/>
        <v>0.2</v>
      </c>
      <c r="U25" s="143">
        <f t="shared" si="14"/>
        <v>0.30000000000000004</v>
      </c>
      <c r="V25" s="143">
        <f t="shared" si="15"/>
        <v>0.2</v>
      </c>
    </row>
    <row r="26" spans="2:22" ht="20.149999999999999" customHeight="1">
      <c r="B26" s="35"/>
      <c r="C26" s="168">
        <f t="shared" si="17"/>
        <v>1.6647924505284708E-2</v>
      </c>
      <c r="D26" s="169">
        <f t="shared" si="1"/>
        <v>0.1178</v>
      </c>
      <c r="E26" s="169">
        <f t="shared" si="2"/>
        <v>0.1202</v>
      </c>
      <c r="F26" s="169">
        <f t="shared" si="3"/>
        <v>0.11750000000000001</v>
      </c>
      <c r="G26" s="169">
        <f t="shared" si="4"/>
        <v>0.1205</v>
      </c>
      <c r="H26" s="169">
        <f t="shared" si="5"/>
        <v>0.21889999999999998</v>
      </c>
      <c r="I26" s="169">
        <f t="shared" si="6"/>
        <v>0.22370000000000001</v>
      </c>
      <c r="J26" s="169">
        <f t="shared" si="7"/>
        <v>0.21829999999999999</v>
      </c>
      <c r="K26" s="169">
        <f t="shared" si="8"/>
        <v>0.22439999999999999</v>
      </c>
      <c r="L26" s="39"/>
      <c r="N26" s="54">
        <f t="shared" ref="N26:N27" si="18">+N25+0.1</f>
        <v>0.41624792450528469</v>
      </c>
      <c r="O26" s="142">
        <f t="shared" si="16"/>
        <v>0.2</v>
      </c>
      <c r="P26" s="142">
        <f t="shared" si="9"/>
        <v>0.1</v>
      </c>
      <c r="Q26" s="142">
        <f t="shared" si="10"/>
        <v>0.2</v>
      </c>
      <c r="R26" s="142">
        <f t="shared" si="11"/>
        <v>0.1</v>
      </c>
      <c r="S26" s="142">
        <f t="shared" si="12"/>
        <v>0.30000000000000004</v>
      </c>
      <c r="T26" s="142">
        <f t="shared" si="13"/>
        <v>0.2</v>
      </c>
      <c r="U26" s="142">
        <f t="shared" si="14"/>
        <v>0.30000000000000004</v>
      </c>
      <c r="V26" s="142">
        <f t="shared" si="15"/>
        <v>0.2</v>
      </c>
    </row>
    <row r="27" spans="2:22" ht="20.149999999999999" customHeight="1" thickBot="1">
      <c r="B27" s="35"/>
      <c r="C27" s="168">
        <f t="shared" si="17"/>
        <v>1.6747924505284707E-2</v>
      </c>
      <c r="D27" s="169">
        <f t="shared" si="1"/>
        <v>0.1179</v>
      </c>
      <c r="E27" s="169">
        <f t="shared" si="2"/>
        <v>0.1203</v>
      </c>
      <c r="F27" s="169">
        <f t="shared" si="3"/>
        <v>0.1176</v>
      </c>
      <c r="G27" s="169">
        <f t="shared" si="4"/>
        <v>0.1206</v>
      </c>
      <c r="H27" s="169">
        <f t="shared" si="5"/>
        <v>0.219</v>
      </c>
      <c r="I27" s="169">
        <f t="shared" si="6"/>
        <v>0.2238</v>
      </c>
      <c r="J27" s="169">
        <f t="shared" si="7"/>
        <v>0.21839999999999998</v>
      </c>
      <c r="K27" s="169">
        <f t="shared" si="8"/>
        <v>0.22450000000000001</v>
      </c>
      <c r="L27" s="39"/>
      <c r="N27" s="141">
        <f t="shared" si="18"/>
        <v>0.51624792450528467</v>
      </c>
      <c r="O27" s="143">
        <f t="shared" si="16"/>
        <v>0.2</v>
      </c>
      <c r="P27" s="143">
        <f t="shared" si="9"/>
        <v>0.1</v>
      </c>
      <c r="Q27" s="143">
        <f t="shared" si="10"/>
        <v>0.2</v>
      </c>
      <c r="R27" s="143">
        <f t="shared" si="11"/>
        <v>0.1</v>
      </c>
      <c r="S27" s="143">
        <f t="shared" si="12"/>
        <v>0.30000000000000004</v>
      </c>
      <c r="T27" s="143">
        <f t="shared" si="13"/>
        <v>0.2</v>
      </c>
      <c r="U27" s="143">
        <f t="shared" si="14"/>
        <v>0.30000000000000004</v>
      </c>
      <c r="V27" s="143">
        <f t="shared" si="15"/>
        <v>0.2</v>
      </c>
    </row>
    <row r="28" spans="2:22" ht="14.25" customHeight="1" thickBot="1">
      <c r="B28" s="33"/>
      <c r="L28" s="39"/>
      <c r="N28" s="55"/>
      <c r="R28" s="55"/>
      <c r="S28" s="69"/>
      <c r="T28" s="69"/>
    </row>
    <row r="29" spans="2:22" ht="15.75" customHeight="1">
      <c r="B29" s="33"/>
      <c r="C29" s="407" t="s">
        <v>157</v>
      </c>
      <c r="D29" s="408"/>
      <c r="E29" s="408"/>
      <c r="F29" s="408"/>
      <c r="G29" s="408"/>
      <c r="H29" s="408"/>
      <c r="I29" s="408"/>
      <c r="J29" s="408"/>
      <c r="K29" s="408"/>
      <c r="L29" s="56"/>
      <c r="M29" s="56"/>
      <c r="N29" s="57"/>
      <c r="R29" s="44"/>
      <c r="S29"/>
      <c r="T29"/>
    </row>
    <row r="30" spans="2:22">
      <c r="B30" s="33"/>
      <c r="C30" s="33"/>
      <c r="D30" s="12"/>
      <c r="E30" s="12"/>
      <c r="F30" s="12"/>
      <c r="G30" s="12"/>
      <c r="H30" s="12"/>
      <c r="I30" s="12"/>
      <c r="J30" s="58" t="s">
        <v>158</v>
      </c>
      <c r="K30" s="58"/>
      <c r="N30" s="59"/>
    </row>
    <row r="31" spans="2:22">
      <c r="B31" s="33"/>
      <c r="C31" s="33"/>
      <c r="D31" s="12"/>
      <c r="E31" s="12"/>
      <c r="F31" s="12"/>
      <c r="G31" s="12"/>
      <c r="H31" s="12"/>
      <c r="I31" s="12"/>
      <c r="J31" s="60" t="s">
        <v>159</v>
      </c>
      <c r="K31" s="58"/>
      <c r="N31" s="59"/>
    </row>
    <row r="32" spans="2:22" ht="16.5" customHeight="1">
      <c r="B32" s="33"/>
      <c r="C32" s="33"/>
      <c r="D32" s="12"/>
      <c r="E32" s="12"/>
      <c r="F32" s="12"/>
      <c r="G32" s="12"/>
      <c r="H32" s="12"/>
      <c r="I32" s="12"/>
      <c r="J32" s="179" t="s">
        <v>247</v>
      </c>
      <c r="K32" s="58"/>
      <c r="N32" s="59"/>
    </row>
    <row r="33" spans="2:14" ht="16.5" customHeight="1">
      <c r="B33" s="33"/>
      <c r="C33" s="33"/>
      <c r="D33" s="12"/>
      <c r="E33" s="12"/>
      <c r="F33" s="12"/>
      <c r="G33" s="12"/>
      <c r="H33" s="12"/>
      <c r="I33" s="12"/>
      <c r="J33" s="164" t="s">
        <v>248</v>
      </c>
      <c r="K33" s="153"/>
      <c r="N33" s="59"/>
    </row>
    <row r="34" spans="2:14" ht="16.5" customHeight="1">
      <c r="B34" s="33"/>
      <c r="C34" s="33"/>
      <c r="D34" s="12"/>
      <c r="E34" s="12"/>
      <c r="F34" s="12"/>
      <c r="G34" s="12"/>
      <c r="H34" s="12"/>
      <c r="I34" s="12"/>
      <c r="J34" s="62" t="s">
        <v>249</v>
      </c>
      <c r="K34" s="61"/>
      <c r="N34" s="59"/>
    </row>
    <row r="35" spans="2:14">
      <c r="B35" s="33"/>
      <c r="C35" s="33"/>
      <c r="D35" s="12"/>
      <c r="E35" s="12"/>
      <c r="F35" s="12"/>
      <c r="G35" s="12"/>
      <c r="H35" s="12"/>
      <c r="I35" s="12"/>
      <c r="J35" s="12"/>
      <c r="K35" s="12"/>
      <c r="M35" s="63"/>
      <c r="N35" s="39"/>
    </row>
    <row r="36" spans="2:14" ht="14.15" customHeight="1">
      <c r="B36" s="33"/>
      <c r="C36" s="33"/>
      <c r="D36" s="12"/>
      <c r="E36" s="12"/>
      <c r="F36" s="12"/>
      <c r="G36" s="12"/>
      <c r="H36" s="12"/>
      <c r="I36" s="12"/>
      <c r="J36" s="12"/>
      <c r="K36" s="12"/>
      <c r="M36" s="63"/>
      <c r="N36" s="39"/>
    </row>
    <row r="37" spans="2:14" ht="13.5" customHeight="1">
      <c r="B37" s="33"/>
      <c r="C37" s="33"/>
      <c r="D37" s="12"/>
      <c r="E37" s="12"/>
      <c r="F37" s="12"/>
      <c r="G37" s="12"/>
      <c r="H37" s="12"/>
      <c r="I37" s="12"/>
      <c r="J37" s="12"/>
      <c r="K37" s="12"/>
      <c r="L37" s="58"/>
      <c r="M37" s="63"/>
      <c r="N37" s="39"/>
    </row>
    <row r="38" spans="2:14">
      <c r="B38" s="33"/>
      <c r="C38" s="33"/>
      <c r="D38" s="12"/>
      <c r="E38" s="12"/>
      <c r="F38" s="12"/>
      <c r="G38" s="12"/>
      <c r="H38" s="12"/>
      <c r="I38" s="12"/>
      <c r="J38" s="12"/>
      <c r="K38" s="12"/>
      <c r="L38" s="58"/>
      <c r="M38" s="63"/>
      <c r="N38" s="39"/>
    </row>
    <row r="39" spans="2:14">
      <c r="B39" s="33"/>
      <c r="C39" s="33"/>
      <c r="D39" s="12"/>
      <c r="E39" s="12"/>
      <c r="F39" s="12"/>
      <c r="G39" s="12"/>
      <c r="H39" s="12"/>
      <c r="I39" s="12"/>
      <c r="J39" s="12"/>
      <c r="K39" s="152"/>
      <c r="L39" s="58"/>
      <c r="M39" s="63"/>
      <c r="N39" s="39"/>
    </row>
    <row r="40" spans="2:14">
      <c r="B40" s="33"/>
      <c r="C40" s="33"/>
      <c r="D40" s="12"/>
      <c r="E40" s="12"/>
      <c r="F40" s="12"/>
      <c r="G40" s="12"/>
      <c r="H40" s="12"/>
      <c r="I40" s="12"/>
      <c r="J40" s="12"/>
      <c r="K40" s="12"/>
      <c r="L40" s="58"/>
      <c r="M40" s="63"/>
      <c r="N40" s="39"/>
    </row>
    <row r="41" spans="2:14">
      <c r="B41" s="33"/>
      <c r="C41" s="36"/>
      <c r="D41" s="37"/>
      <c r="E41" s="37"/>
      <c r="F41" s="37"/>
      <c r="G41" s="37"/>
      <c r="H41" s="37"/>
      <c r="I41" s="37"/>
      <c r="J41" s="37"/>
      <c r="K41" s="37"/>
      <c r="L41" s="64"/>
      <c r="M41" s="65"/>
      <c r="N41" s="39"/>
    </row>
    <row r="42" spans="2:14">
      <c r="B42" s="36"/>
      <c r="C42" s="37"/>
      <c r="D42" s="37"/>
      <c r="E42" s="37"/>
      <c r="F42" s="37"/>
      <c r="G42" s="37"/>
      <c r="H42" s="37"/>
      <c r="I42" s="37"/>
      <c r="J42" s="37"/>
      <c r="K42" s="37"/>
      <c r="L42" s="37"/>
      <c r="M42" s="37"/>
      <c r="N42" s="41"/>
    </row>
    <row r="46" spans="2:14">
      <c r="H46" s="177"/>
    </row>
  </sheetData>
  <protectedRanges>
    <protectedRange sqref="D2 G3:G4 D3:E4 F2:F4 G2:H2 I2:J4 K1:K2" name="区域1_1_1"/>
  </protectedRanges>
  <mergeCells count="16">
    <mergeCell ref="C29:K29"/>
    <mergeCell ref="M3:X3"/>
    <mergeCell ref="M4:X4"/>
    <mergeCell ref="C6:J6"/>
    <mergeCell ref="C7:D7"/>
    <mergeCell ref="C8:C9"/>
    <mergeCell ref="C10:C11"/>
    <mergeCell ref="B1:K4"/>
    <mergeCell ref="C13:K13"/>
    <mergeCell ref="C15:C16"/>
    <mergeCell ref="D15:G15"/>
    <mergeCell ref="H15:K15"/>
    <mergeCell ref="N15:N16"/>
    <mergeCell ref="O15:R15"/>
    <mergeCell ref="S15:V15"/>
    <mergeCell ref="D14:E14"/>
  </mergeCells>
  <phoneticPr fontId="45" type="noConversion"/>
  <pageMargins left="0.7" right="0.7" top="0.75" bottom="0.75" header="0.3" footer="0.3"/>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19"/>
  <sheetViews>
    <sheetView showGridLines="0" workbookViewId="0">
      <selection activeCell="G15" sqref="G15"/>
    </sheetView>
  </sheetViews>
  <sheetFormatPr defaultColWidth="9" defaultRowHeight="14"/>
  <cols>
    <col min="2" max="2" width="10.08984375" customWidth="1"/>
    <col min="3" max="3" width="15.08984375" customWidth="1"/>
    <col min="10" max="10" width="0.90625" style="1" customWidth="1"/>
    <col min="11" max="11" width="10.08984375" customWidth="1"/>
    <col min="12" max="12" width="15.08984375" customWidth="1"/>
  </cols>
  <sheetData>
    <row r="2" spans="2:18">
      <c r="B2" s="2" t="s">
        <v>136</v>
      </c>
    </row>
    <row r="3" spans="2:18">
      <c r="B3" s="440" t="s">
        <v>72</v>
      </c>
      <c r="C3" s="442" t="s">
        <v>160</v>
      </c>
      <c r="D3" s="437" t="s">
        <v>161</v>
      </c>
      <c r="E3" s="445"/>
      <c r="F3" s="445"/>
      <c r="G3" s="445"/>
      <c r="H3" s="445"/>
      <c r="I3" s="445"/>
      <c r="J3" s="19"/>
      <c r="K3" s="440" t="s">
        <v>72</v>
      </c>
      <c r="L3" s="442" t="s">
        <v>160</v>
      </c>
      <c r="M3" s="435" t="s">
        <v>162</v>
      </c>
      <c r="N3" s="436"/>
      <c r="O3" s="436"/>
      <c r="P3" s="436"/>
      <c r="Q3" s="436"/>
      <c r="R3" s="436"/>
    </row>
    <row r="4" spans="2:18">
      <c r="B4" s="440"/>
      <c r="C4" s="443"/>
      <c r="D4" s="5" t="s">
        <v>163</v>
      </c>
      <c r="E4" s="5" t="s">
        <v>164</v>
      </c>
      <c r="F4" s="5" t="s">
        <v>165</v>
      </c>
      <c r="G4" s="5" t="s">
        <v>166</v>
      </c>
      <c r="H4" s="5" t="s">
        <v>167</v>
      </c>
      <c r="I4" s="5" t="s">
        <v>168</v>
      </c>
      <c r="J4" s="20"/>
      <c r="K4" s="440"/>
      <c r="L4" s="443"/>
      <c r="M4" s="21" t="s">
        <v>163</v>
      </c>
      <c r="N4" s="21" t="s">
        <v>164</v>
      </c>
      <c r="O4" s="21" t="s">
        <v>165</v>
      </c>
      <c r="P4" s="21" t="s">
        <v>166</v>
      </c>
      <c r="Q4" s="21" t="s">
        <v>167</v>
      </c>
      <c r="R4" s="21" t="s">
        <v>168</v>
      </c>
    </row>
    <row r="5" spans="2:18" ht="27" hidden="1">
      <c r="B5" s="6"/>
      <c r="C5" s="7" t="s">
        <v>169</v>
      </c>
      <c r="D5" s="8">
        <v>97</v>
      </c>
      <c r="E5" s="8">
        <v>100</v>
      </c>
      <c r="F5" s="8">
        <v>100</v>
      </c>
      <c r="G5" s="8">
        <v>113</v>
      </c>
      <c r="H5" s="8">
        <v>115</v>
      </c>
      <c r="I5" s="8">
        <v>100</v>
      </c>
      <c r="J5" s="22"/>
      <c r="K5" s="6"/>
      <c r="L5" s="7" t="s">
        <v>169</v>
      </c>
      <c r="M5" s="23">
        <v>98</v>
      </c>
      <c r="N5" s="23">
        <v>110</v>
      </c>
      <c r="O5" s="23">
        <v>110</v>
      </c>
      <c r="P5" s="23">
        <v>115</v>
      </c>
      <c r="Q5" s="23">
        <v>110</v>
      </c>
      <c r="R5" s="23">
        <v>100</v>
      </c>
    </row>
    <row r="6" spans="2:18">
      <c r="B6" s="441" t="s">
        <v>170</v>
      </c>
      <c r="C6" s="9" t="s">
        <v>171</v>
      </c>
      <c r="D6" s="8">
        <f>D5+10</f>
        <v>107</v>
      </c>
      <c r="E6" s="8">
        <f t="shared" ref="E6:I6" si="0">E5+10</f>
        <v>110</v>
      </c>
      <c r="F6" s="8">
        <f t="shared" si="0"/>
        <v>110</v>
      </c>
      <c r="G6" s="8">
        <f t="shared" si="0"/>
        <v>123</v>
      </c>
      <c r="H6" s="8">
        <f t="shared" si="0"/>
        <v>125</v>
      </c>
      <c r="I6" s="8">
        <f t="shared" si="0"/>
        <v>110</v>
      </c>
      <c r="J6" s="22"/>
      <c r="K6" s="441" t="s">
        <v>172</v>
      </c>
      <c r="L6" s="9" t="s">
        <v>171</v>
      </c>
      <c r="M6" s="23">
        <f t="shared" ref="M6:R6" si="1">M5+10</f>
        <v>108</v>
      </c>
      <c r="N6" s="23">
        <f t="shared" si="1"/>
        <v>120</v>
      </c>
      <c r="O6" s="23">
        <f t="shared" si="1"/>
        <v>120</v>
      </c>
      <c r="P6" s="23">
        <f t="shared" si="1"/>
        <v>125</v>
      </c>
      <c r="Q6" s="23">
        <f t="shared" si="1"/>
        <v>120</v>
      </c>
      <c r="R6" s="23">
        <f t="shared" si="1"/>
        <v>110</v>
      </c>
    </row>
    <row r="7" spans="2:18">
      <c r="B7" s="440"/>
      <c r="C7" s="9" t="s">
        <v>173</v>
      </c>
      <c r="D7" s="8">
        <f>D5-10</f>
        <v>87</v>
      </c>
      <c r="E7" s="8">
        <f t="shared" ref="E7:I7" si="2">E5-10</f>
        <v>90</v>
      </c>
      <c r="F7" s="8">
        <f t="shared" si="2"/>
        <v>90</v>
      </c>
      <c r="G7" s="8">
        <f t="shared" si="2"/>
        <v>103</v>
      </c>
      <c r="H7" s="8">
        <f t="shared" si="2"/>
        <v>105</v>
      </c>
      <c r="I7" s="8">
        <f t="shared" si="2"/>
        <v>90</v>
      </c>
      <c r="J7" s="22"/>
      <c r="K7" s="440"/>
      <c r="L7" s="9" t="s">
        <v>173</v>
      </c>
      <c r="M7" s="23">
        <f t="shared" ref="M7:R7" si="3">M5-10</f>
        <v>88</v>
      </c>
      <c r="N7" s="23">
        <f t="shared" si="3"/>
        <v>100</v>
      </c>
      <c r="O7" s="23">
        <f t="shared" si="3"/>
        <v>100</v>
      </c>
      <c r="P7" s="23">
        <f t="shared" si="3"/>
        <v>105</v>
      </c>
      <c r="Q7" s="23">
        <f t="shared" si="3"/>
        <v>100</v>
      </c>
      <c r="R7" s="23">
        <f t="shared" si="3"/>
        <v>90</v>
      </c>
    </row>
    <row r="8" spans="2:18" ht="27" hidden="1">
      <c r="B8" s="6"/>
      <c r="C8" s="10" t="s">
        <v>174</v>
      </c>
      <c r="D8" s="11">
        <v>100</v>
      </c>
      <c r="E8" s="11">
        <v>105</v>
      </c>
      <c r="F8" s="11">
        <v>113</v>
      </c>
      <c r="G8" s="11">
        <v>113</v>
      </c>
      <c r="H8" s="11">
        <v>113</v>
      </c>
      <c r="I8" s="11">
        <v>100</v>
      </c>
      <c r="J8" s="24"/>
      <c r="K8" s="6"/>
      <c r="L8" s="10" t="s">
        <v>174</v>
      </c>
      <c r="M8" s="25">
        <v>100</v>
      </c>
      <c r="N8" s="25">
        <v>110</v>
      </c>
      <c r="O8" s="25">
        <v>110</v>
      </c>
      <c r="P8" s="25">
        <v>110</v>
      </c>
      <c r="Q8" s="25">
        <v>110</v>
      </c>
      <c r="R8" s="25">
        <v>95</v>
      </c>
    </row>
    <row r="9" spans="2:18">
      <c r="B9" s="441" t="s">
        <v>175</v>
      </c>
      <c r="C9" s="9" t="s">
        <v>171</v>
      </c>
      <c r="D9" s="8">
        <f>D8+10</f>
        <v>110</v>
      </c>
      <c r="E9" s="8">
        <f t="shared" ref="E9:I9" si="4">E8+10</f>
        <v>115</v>
      </c>
      <c r="F9" s="8">
        <f t="shared" si="4"/>
        <v>123</v>
      </c>
      <c r="G9" s="8">
        <f t="shared" si="4"/>
        <v>123</v>
      </c>
      <c r="H9" s="8">
        <f t="shared" si="4"/>
        <v>123</v>
      </c>
      <c r="I9" s="8">
        <f t="shared" si="4"/>
        <v>110</v>
      </c>
      <c r="J9" s="22"/>
      <c r="K9" s="441" t="s">
        <v>176</v>
      </c>
      <c r="L9" s="9" t="s">
        <v>171</v>
      </c>
      <c r="M9" s="23">
        <f t="shared" ref="M9:R9" si="5">M8+10</f>
        <v>110</v>
      </c>
      <c r="N9" s="23">
        <f t="shared" si="5"/>
        <v>120</v>
      </c>
      <c r="O9" s="23">
        <f t="shared" si="5"/>
        <v>120</v>
      </c>
      <c r="P9" s="23">
        <f t="shared" si="5"/>
        <v>120</v>
      </c>
      <c r="Q9" s="23">
        <f t="shared" si="5"/>
        <v>120</v>
      </c>
      <c r="R9" s="23">
        <f t="shared" si="5"/>
        <v>105</v>
      </c>
    </row>
    <row r="10" spans="2:18">
      <c r="B10" s="440"/>
      <c r="C10" s="9" t="s">
        <v>173</v>
      </c>
      <c r="D10" s="8">
        <f>D8-10</f>
        <v>90</v>
      </c>
      <c r="E10" s="8">
        <f t="shared" ref="E10:I10" si="6">E8-10</f>
        <v>95</v>
      </c>
      <c r="F10" s="8">
        <f t="shared" si="6"/>
        <v>103</v>
      </c>
      <c r="G10" s="8">
        <f t="shared" si="6"/>
        <v>103</v>
      </c>
      <c r="H10" s="8">
        <f t="shared" si="6"/>
        <v>103</v>
      </c>
      <c r="I10" s="8">
        <f t="shared" si="6"/>
        <v>90</v>
      </c>
      <c r="J10" s="22"/>
      <c r="K10" s="440"/>
      <c r="L10" s="9" t="s">
        <v>173</v>
      </c>
      <c r="M10" s="23">
        <f t="shared" ref="M10:R10" si="7">M8-10</f>
        <v>90</v>
      </c>
      <c r="N10" s="23">
        <f t="shared" si="7"/>
        <v>100</v>
      </c>
      <c r="O10" s="23">
        <f t="shared" si="7"/>
        <v>100</v>
      </c>
      <c r="P10" s="23">
        <f t="shared" si="7"/>
        <v>100</v>
      </c>
      <c r="Q10" s="23">
        <f t="shared" si="7"/>
        <v>100</v>
      </c>
      <c r="R10" s="23">
        <f t="shared" si="7"/>
        <v>85</v>
      </c>
    </row>
    <row r="11" spans="2:18">
      <c r="B11" s="12"/>
      <c r="C11" s="13"/>
      <c r="D11" s="14"/>
      <c r="E11" s="14"/>
      <c r="F11" s="14"/>
      <c r="G11" s="14"/>
      <c r="H11" s="14"/>
      <c r="I11" s="14"/>
      <c r="J11" s="26"/>
      <c r="K11" s="12"/>
      <c r="L11" s="13"/>
      <c r="M11" s="13"/>
      <c r="N11" s="13"/>
      <c r="O11" s="13"/>
      <c r="P11" s="13"/>
      <c r="Q11" s="13"/>
      <c r="R11" s="13"/>
    </row>
    <row r="12" spans="2:18">
      <c r="B12" s="440" t="s">
        <v>72</v>
      </c>
      <c r="C12" s="444" t="s">
        <v>177</v>
      </c>
      <c r="D12" s="437" t="s">
        <v>161</v>
      </c>
      <c r="E12" s="437"/>
      <c r="F12" s="437"/>
      <c r="G12" s="437"/>
      <c r="H12" s="437"/>
      <c r="I12" s="437"/>
      <c r="J12" s="27"/>
      <c r="K12" s="440" t="s">
        <v>72</v>
      </c>
      <c r="L12" s="444" t="s">
        <v>177</v>
      </c>
      <c r="M12" s="438" t="s">
        <v>162</v>
      </c>
      <c r="N12" s="439"/>
      <c r="O12" s="439"/>
      <c r="P12" s="439"/>
      <c r="Q12" s="439"/>
      <c r="R12" s="435"/>
    </row>
    <row r="13" spans="2:18">
      <c r="B13" s="440"/>
      <c r="C13" s="436"/>
      <c r="D13" s="5" t="s">
        <v>163</v>
      </c>
      <c r="E13" s="5" t="s">
        <v>164</v>
      </c>
      <c r="F13" s="5" t="s">
        <v>165</v>
      </c>
      <c r="G13" s="5" t="s">
        <v>166</v>
      </c>
      <c r="H13" s="5" t="s">
        <v>167</v>
      </c>
      <c r="I13" s="5" t="s">
        <v>168</v>
      </c>
      <c r="J13" s="20"/>
      <c r="K13" s="440"/>
      <c r="L13" s="436"/>
      <c r="M13" s="21" t="s">
        <v>163</v>
      </c>
      <c r="N13" s="21" t="s">
        <v>164</v>
      </c>
      <c r="O13" s="21" t="s">
        <v>165</v>
      </c>
      <c r="P13" s="21" t="s">
        <v>166</v>
      </c>
      <c r="Q13" s="21" t="s">
        <v>167</v>
      </c>
      <c r="R13" s="21" t="s">
        <v>168</v>
      </c>
    </row>
    <row r="14" spans="2:18" ht="27" hidden="1">
      <c r="B14" s="12"/>
      <c r="C14" s="7" t="s">
        <v>178</v>
      </c>
      <c r="D14" s="8">
        <v>10</v>
      </c>
      <c r="E14" s="8">
        <v>11</v>
      </c>
      <c r="F14" s="8">
        <v>13</v>
      </c>
      <c r="G14" s="8">
        <v>23</v>
      </c>
      <c r="H14" s="8">
        <v>23</v>
      </c>
      <c r="I14" s="8">
        <v>24</v>
      </c>
      <c r="J14" s="22"/>
      <c r="K14" s="6"/>
      <c r="L14" s="7" t="s">
        <v>178</v>
      </c>
      <c r="M14" s="23">
        <v>10</v>
      </c>
      <c r="N14" s="23">
        <v>11</v>
      </c>
      <c r="O14" s="23">
        <v>13</v>
      </c>
      <c r="P14" s="23">
        <v>25</v>
      </c>
      <c r="Q14" s="23">
        <v>25</v>
      </c>
      <c r="R14" s="23">
        <v>25</v>
      </c>
    </row>
    <row r="15" spans="2:18">
      <c r="B15" s="440" t="s">
        <v>179</v>
      </c>
      <c r="C15" s="15" t="s">
        <v>180</v>
      </c>
      <c r="D15" s="16">
        <f>D14+3</f>
        <v>13</v>
      </c>
      <c r="E15" s="16">
        <f t="shared" ref="E15:I15" si="8">E14+3</f>
        <v>14</v>
      </c>
      <c r="F15" s="16">
        <f t="shared" si="8"/>
        <v>16</v>
      </c>
      <c r="G15" s="16">
        <f t="shared" si="8"/>
        <v>26</v>
      </c>
      <c r="H15" s="16">
        <f t="shared" si="8"/>
        <v>26</v>
      </c>
      <c r="I15" s="16">
        <f t="shared" si="8"/>
        <v>27</v>
      </c>
      <c r="J15" s="28"/>
      <c r="K15" s="441" t="s">
        <v>172</v>
      </c>
      <c r="L15" s="15" t="s">
        <v>180</v>
      </c>
      <c r="M15" s="29">
        <f t="shared" ref="M15:R15" si="9">M14+3</f>
        <v>13</v>
      </c>
      <c r="N15" s="29">
        <f t="shared" si="9"/>
        <v>14</v>
      </c>
      <c r="O15" s="29">
        <f t="shared" si="9"/>
        <v>16</v>
      </c>
      <c r="P15" s="29">
        <f t="shared" si="9"/>
        <v>28</v>
      </c>
      <c r="Q15" s="29">
        <f t="shared" si="9"/>
        <v>28</v>
      </c>
      <c r="R15" s="29">
        <f t="shared" si="9"/>
        <v>28</v>
      </c>
    </row>
    <row r="16" spans="2:18">
      <c r="B16" s="440"/>
      <c r="C16" s="9" t="s">
        <v>181</v>
      </c>
      <c r="D16" s="16">
        <f>D14-3</f>
        <v>7</v>
      </c>
      <c r="E16" s="16">
        <f t="shared" ref="E16:I16" si="10">E14-3</f>
        <v>8</v>
      </c>
      <c r="F16" s="16">
        <f t="shared" si="10"/>
        <v>10</v>
      </c>
      <c r="G16" s="16">
        <f t="shared" si="10"/>
        <v>20</v>
      </c>
      <c r="H16" s="16">
        <f t="shared" si="10"/>
        <v>20</v>
      </c>
      <c r="I16" s="16">
        <f t="shared" si="10"/>
        <v>21</v>
      </c>
      <c r="J16" s="28"/>
      <c r="K16" s="440"/>
      <c r="L16" s="9" t="s">
        <v>181</v>
      </c>
      <c r="M16" s="29">
        <f t="shared" ref="M16:R16" si="11">M14-3</f>
        <v>7</v>
      </c>
      <c r="N16" s="29">
        <f t="shared" si="11"/>
        <v>8</v>
      </c>
      <c r="O16" s="29">
        <f t="shared" si="11"/>
        <v>10</v>
      </c>
      <c r="P16" s="29">
        <f t="shared" si="11"/>
        <v>22</v>
      </c>
      <c r="Q16" s="29">
        <f t="shared" si="11"/>
        <v>22</v>
      </c>
      <c r="R16" s="29">
        <f t="shared" si="11"/>
        <v>22</v>
      </c>
    </row>
    <row r="17" spans="2:18" ht="27" hidden="1">
      <c r="B17" s="17"/>
      <c r="C17" s="18" t="s">
        <v>182</v>
      </c>
      <c r="D17" s="16">
        <v>10</v>
      </c>
      <c r="E17" s="16">
        <v>11</v>
      </c>
      <c r="F17" s="16">
        <v>13</v>
      </c>
      <c r="G17" s="16">
        <v>23</v>
      </c>
      <c r="H17" s="16">
        <v>24</v>
      </c>
      <c r="I17" s="16">
        <v>25</v>
      </c>
      <c r="J17" s="28"/>
      <c r="K17" s="6"/>
      <c r="L17" s="18" t="s">
        <v>182</v>
      </c>
      <c r="M17" s="29">
        <v>10</v>
      </c>
      <c r="N17" s="29">
        <v>11</v>
      </c>
      <c r="O17" s="29">
        <v>13</v>
      </c>
      <c r="P17" s="29">
        <v>25</v>
      </c>
      <c r="Q17" s="29">
        <v>25</v>
      </c>
      <c r="R17" s="29">
        <v>25</v>
      </c>
    </row>
    <row r="18" spans="2:18">
      <c r="B18" s="440" t="s">
        <v>183</v>
      </c>
      <c r="C18" s="3" t="s">
        <v>180</v>
      </c>
      <c r="D18" s="16">
        <f>D17+3</f>
        <v>13</v>
      </c>
      <c r="E18" s="16">
        <f t="shared" ref="E18:I18" si="12">E17+3</f>
        <v>14</v>
      </c>
      <c r="F18" s="16">
        <f t="shared" si="12"/>
        <v>16</v>
      </c>
      <c r="G18" s="16">
        <f t="shared" si="12"/>
        <v>26</v>
      </c>
      <c r="H18" s="16">
        <f t="shared" si="12"/>
        <v>27</v>
      </c>
      <c r="I18" s="16">
        <f t="shared" si="12"/>
        <v>28</v>
      </c>
      <c r="J18" s="28"/>
      <c r="K18" s="441" t="s">
        <v>176</v>
      </c>
      <c r="L18" s="3" t="s">
        <v>180</v>
      </c>
      <c r="M18" s="29">
        <f t="shared" ref="M18:R18" si="13">M17+3</f>
        <v>13</v>
      </c>
      <c r="N18" s="29">
        <f t="shared" si="13"/>
        <v>14</v>
      </c>
      <c r="O18" s="29">
        <f t="shared" si="13"/>
        <v>16</v>
      </c>
      <c r="P18" s="29">
        <f t="shared" si="13"/>
        <v>28</v>
      </c>
      <c r="Q18" s="29">
        <f t="shared" si="13"/>
        <v>28</v>
      </c>
      <c r="R18" s="29">
        <f t="shared" si="13"/>
        <v>28</v>
      </c>
    </row>
    <row r="19" spans="2:18">
      <c r="B19" s="440"/>
      <c r="C19" s="4" t="s">
        <v>184</v>
      </c>
      <c r="D19" s="16">
        <f>D17-3</f>
        <v>7</v>
      </c>
      <c r="E19" s="16">
        <f t="shared" ref="E19:I19" si="14">E17-3</f>
        <v>8</v>
      </c>
      <c r="F19" s="16">
        <f t="shared" si="14"/>
        <v>10</v>
      </c>
      <c r="G19" s="16">
        <f t="shared" si="14"/>
        <v>20</v>
      </c>
      <c r="H19" s="16">
        <f t="shared" si="14"/>
        <v>21</v>
      </c>
      <c r="I19" s="16">
        <f t="shared" si="14"/>
        <v>22</v>
      </c>
      <c r="J19" s="28"/>
      <c r="K19" s="440"/>
      <c r="L19" s="4" t="s">
        <v>184</v>
      </c>
      <c r="M19" s="29">
        <f t="shared" ref="M19:R19" si="15">M17-3</f>
        <v>7</v>
      </c>
      <c r="N19" s="29">
        <f t="shared" si="15"/>
        <v>8</v>
      </c>
      <c r="O19" s="29">
        <f t="shared" si="15"/>
        <v>10</v>
      </c>
      <c r="P19" s="29">
        <f t="shared" si="15"/>
        <v>22</v>
      </c>
      <c r="Q19" s="29">
        <f t="shared" si="15"/>
        <v>22</v>
      </c>
      <c r="R19" s="29">
        <f t="shared" si="15"/>
        <v>22</v>
      </c>
    </row>
  </sheetData>
  <mergeCells count="20">
    <mergeCell ref="B15:B16"/>
    <mergeCell ref="B18:B19"/>
    <mergeCell ref="C3:C4"/>
    <mergeCell ref="C12:C13"/>
    <mergeCell ref="K3:K4"/>
    <mergeCell ref="K6:K7"/>
    <mergeCell ref="K9:K10"/>
    <mergeCell ref="K12:K13"/>
    <mergeCell ref="K15:K16"/>
    <mergeCell ref="K18:K19"/>
    <mergeCell ref="D3:I3"/>
    <mergeCell ref="M3:R3"/>
    <mergeCell ref="D12:I12"/>
    <mergeCell ref="M12:R12"/>
    <mergeCell ref="B3:B4"/>
    <mergeCell ref="B6:B7"/>
    <mergeCell ref="B9:B10"/>
    <mergeCell ref="B12:B13"/>
    <mergeCell ref="L3:L4"/>
    <mergeCell ref="L12:L13"/>
  </mergeCells>
  <phoneticPr fontId="45" type="noConversion"/>
  <pageMargins left="0.7" right="0.7" top="0.75" bottom="0.75" header="0.3" footer="0.3"/>
  <pageSetup paperSize="0" orientation="portrait" horizontalDpi="0" verticalDpi="0" copies="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3</vt:i4>
      </vt:variant>
    </vt:vector>
  </HeadingPairs>
  <TitlesOfParts>
    <vt:vector size="9" baseType="lpstr">
      <vt:lpstr> 修订履历</vt:lpstr>
      <vt:lpstr>正极涂布工序控制计划</vt:lpstr>
      <vt:lpstr>附图、附表</vt:lpstr>
      <vt:lpstr>防错清单</vt:lpstr>
      <vt:lpstr>面密度附图</vt:lpstr>
      <vt:lpstr>烘箱</vt:lpstr>
      <vt:lpstr>防错清单!Print_Area</vt:lpstr>
      <vt:lpstr>附图、附表!Print_Area</vt:lpstr>
      <vt:lpstr>正极涂布工序控制计划!Print_Titles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ZhaiBo翟博</dc:creator>
  <cp:lastModifiedBy>ChenTian陈恬</cp:lastModifiedBy>
  <cp:lastPrinted>2024-08-23T07:25:25Z</cp:lastPrinted>
  <dcterms:created xsi:type="dcterms:W3CDTF">2006-09-16T00:00:00Z</dcterms:created>
  <dcterms:modified xsi:type="dcterms:W3CDTF">2025-06-18T09:59:59Z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