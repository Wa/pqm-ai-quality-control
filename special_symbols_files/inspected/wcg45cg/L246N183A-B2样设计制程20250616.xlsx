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10032" tabRatio="798" activeTab="2"/>
  </bookViews>
  <sheets>
    <sheet name="封面" sheetId="1" r:id="rId1"/>
    <sheet name="填写说明" sheetId="8" r:id="rId2"/>
    <sheet name="修订履历表" sheetId="2" r:id="rId3"/>
    <sheet name="合浆涂布辊压一分" sheetId="4" r:id="rId4"/>
    <sheet name="正极模切" sheetId="12" state="hidden" r:id="rId5"/>
    <sheet name="模切二分卷绕（方形）" sheetId="5" state="hidden" r:id="rId6"/>
    <sheet name="切片叠片装配（方形）" sheetId="7" r:id="rId7"/>
    <sheet name="模切二分卷绕 (圆柱)" sheetId="9" state="hidden" r:id="rId8"/>
    <sheet name="干燥注液化成定容" sheetId="6" r:id="rId9"/>
    <sheet name="厚度尺寸链计算" sheetId="14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FAP383562" localSheetId="9">#REF!</definedName>
    <definedName name="__FAP383562">#REF!</definedName>
    <definedName name="__FCP383562" localSheetId="9">#REF!</definedName>
    <definedName name="__FCP383562">#REF!</definedName>
    <definedName name="__SK1">#N/A</definedName>
    <definedName name="__wrn1" localSheetId="9" hidden="1">{#N/A,#N/A,FALSE,"Bare Battery F.G."}</definedName>
    <definedName name="__wrn1" hidden="1">{#N/A,#N/A,FALSE,"Bare Battery F.G."}</definedName>
    <definedName name="__wrn2" localSheetId="9" hidden="1">{#N/A,#N/A,FALSE,"Bare Battery F.G."}</definedName>
    <definedName name="__wrn2" hidden="1">{#N/A,#N/A,FALSE,"Bare Battery F.G."}</definedName>
    <definedName name="_1ES1_" localSheetId="9" hidden="1">{#N/A,#N/A,FALSE,"Bare Battery F.G."}</definedName>
    <definedName name="_1ES1_" hidden="1">{#N/A,#N/A,FALSE,"Bare Battery F.G."}</definedName>
    <definedName name="_2ES1_" localSheetId="9" hidden="1">{#N/A,#N/A,FALSE,"Bare Battery F.G."}</definedName>
    <definedName name="_2ES1_" hidden="1">{#N/A,#N/A,FALSE,"Bare Battery F.G."}</definedName>
    <definedName name="_2L1_" localSheetId="9">[1]Database!$A$3</definedName>
    <definedName name="_2L1_">[2]Database!$A$3</definedName>
    <definedName name="_ES1" localSheetId="9" hidden="1">{#N/A,#N/A,FALSE,"Bare Battery F.G."}</definedName>
    <definedName name="_ES1" hidden="1">{#N/A,#N/A,FALSE,"Bare Battery F.G."}</definedName>
    <definedName name="_FAP383562" localSheetId="9">#REF!</definedName>
    <definedName name="_FAP383562">#REF!</definedName>
    <definedName name="_FCP383562" localSheetId="9">#REF!</definedName>
    <definedName name="_FCP383562">#REF!</definedName>
    <definedName name="_xlnm._FilterDatabase" localSheetId="9" hidden="1">#REF!</definedName>
    <definedName name="_xlnm._FilterDatabase" hidden="1">#REF!</definedName>
    <definedName name="_Lot1" localSheetId="9">[3]Database!$A$3</definedName>
    <definedName name="_Lot1">[2]Database!$A$3</definedName>
    <definedName name="_SK1">#N/A</definedName>
    <definedName name="_wrn1" localSheetId="9" hidden="1">{#N/A,#N/A,FALSE,"Bare Battery F.G."}</definedName>
    <definedName name="_wrn1" hidden="1">{#N/A,#N/A,FALSE,"Bare Battery F.G."}</definedName>
    <definedName name="_wrn2" localSheetId="9" hidden="1">{#N/A,#N/A,FALSE,"Bare Battery F.G."}</definedName>
    <definedName name="_wrn2" hidden="1">{#N/A,#N/A,FALSE,"Bare Battery F.G."}</definedName>
    <definedName name="a" localSheetId="9">'[4]TMK280-02'!#REF!</definedName>
    <definedName name="a">'[4]TMK280-02'!#REF!</definedName>
    <definedName name="aa">#N/A</definedName>
    <definedName name="aaa" localSheetId="9" hidden="1">{#N/A,#N/A,FALSE,"Bare Battery F.G."}</definedName>
    <definedName name="aaa" hidden="1">{#N/A,#N/A,FALSE,"Bare Battery F.G."}</definedName>
    <definedName name="AAAA" localSheetId="9" hidden="1">{#N/A,#N/A,FALSE,"Bare Battery F.G."}</definedName>
    <definedName name="AAAA" hidden="1">{#N/A,#N/A,FALSE,"Bare Battery F.G."}</definedName>
    <definedName name="ActualMonthIE" localSheetId="9">#REF!</definedName>
    <definedName name="ActualMonthIE">#REF!</definedName>
    <definedName name="ActualMonthME" localSheetId="9">#REF!</definedName>
    <definedName name="ActualMonthME">#REF!</definedName>
    <definedName name="ActualMonthPE">[5]pe!$O$1:$O$65536</definedName>
    <definedName name="ActualtimeIE" localSheetId="9">#REF!</definedName>
    <definedName name="ActualtimeIE">#REF!</definedName>
    <definedName name="ActualTimeME" localSheetId="9">#REF!</definedName>
    <definedName name="ActualTimeME">#REF!</definedName>
    <definedName name="ActualTimePE">[5]pe!$L$1:$L$65536</definedName>
    <definedName name="Al_Tab断" localSheetId="9">#REF!</definedName>
    <definedName name="Al_Tab断">#REF!</definedName>
    <definedName name="all">[6]Sheet2!$C$2:$F$529</definedName>
    <definedName name="already" localSheetId="9">OFFSET(厚度尺寸链计算!start,,4,)</definedName>
    <definedName name="already">OFFSET([0]!start,,4,)</definedName>
    <definedName name="ax" localSheetId="9">#REF!</definedName>
    <definedName name="ax">#REF!</definedName>
    <definedName name="capacity383562" localSheetId="9">#REF!</definedName>
    <definedName name="capacity383562">#REF!</definedName>
    <definedName name="ce" localSheetId="9">OFFSET(厚度尺寸链计算!start,,6,)</definedName>
    <definedName name="ce">OFFSET([0]!start,,6,)</definedName>
    <definedName name="ContentsIE" localSheetId="9">#REF!</definedName>
    <definedName name="ContentsIE">#REF!</definedName>
    <definedName name="ContentsME" localSheetId="9">#REF!</definedName>
    <definedName name="ContentsME">#REF!</definedName>
    <definedName name="ContentsPE">[5]pe!$G$1:$G$65536</definedName>
    <definedName name="cost383562" localSheetId="9">#REF!</definedName>
    <definedName name="cost383562">#REF!</definedName>
    <definedName name="_xlnm.Criteria" localSheetId="9">#REF!</definedName>
    <definedName name="_xlnm.Criteria">#REF!</definedName>
    <definedName name="D" localSheetId="9" hidden="1">{#N/A,#N/A,FALSE,"Bare Battery F.G."}</definedName>
    <definedName name="D" hidden="1">{#N/A,#N/A,FALSE,"Bare Battery F.G."}</definedName>
    <definedName name="_xlnm.Database" localSheetId="9">[7]CellNameTable!$A$1:$D$513</definedName>
    <definedName name="_xlnm.Database">[8]CellNameTable!$A$1:$D$513</definedName>
    <definedName name="dataH" localSheetId="9">#REF!</definedName>
    <definedName name="dataH">#REF!</definedName>
    <definedName name="Designyt" localSheetId="9">OFFSET(厚度尺寸链计算!start,,7,)</definedName>
    <definedName name="Designyt">OFFSET([0]!start,,7,)</definedName>
    <definedName name="DF" localSheetId="9">[9]model!OPERATION</definedName>
    <definedName name="DF">[10]model!OPERATION</definedName>
    <definedName name="DFL" localSheetId="9" hidden="1">{#N/A,#N/A,FALSE,"Bare Battery F.G."}</definedName>
    <definedName name="DFL" hidden="1">{#N/A,#N/A,FALSE,"Bare Battery F.G."}</definedName>
    <definedName name="FNC" localSheetId="9" hidden="1">{#N/A,#N/A,FALSE,"Bare Battery F.G."}</definedName>
    <definedName name="FNC" hidden="1">{#N/A,#N/A,FALSE,"Bare Battery F.G."}</definedName>
    <definedName name="GB" localSheetId="9">[1]Database!$A$58</definedName>
    <definedName name="GB">[2]Database!$A$58</definedName>
    <definedName name="GroupA" localSheetId="9">[3]Database!$A$58</definedName>
    <definedName name="GroupA">[2]Database!$A$58</definedName>
    <definedName name="GroupB" localSheetId="9">[11]Database!$A$58</definedName>
    <definedName name="GroupB">[2]Database!$A$58</definedName>
    <definedName name="Histogram_Plot_Create">[12]!Histogram_Plot_Create</definedName>
    <definedName name="Insp_Date">[13]ISRDATA!$U$7</definedName>
    <definedName name="ISR_No.">[13]ISRDATA!$M$1</definedName>
    <definedName name="item" localSheetId="9">OFFSET(厚度尺寸链计算!start,,-1,)</definedName>
    <definedName name="item">OFFSET([0]!start,,-1,)</definedName>
    <definedName name="jy" localSheetId="9">OFFSET(厚度尺寸链计算!start,,7,)</definedName>
    <definedName name="jy">OFFSET([0]!start,,7,)</definedName>
    <definedName name="last" localSheetId="9">OFFSET(厚度尺寸链计算!start,,5,)</definedName>
    <definedName name="last">OFFSET([0]!start,,5,)</definedName>
    <definedName name="me" localSheetId="9" hidden="1">{#N/A,#N/A,FALSE,"Bare Battery F.G."}</definedName>
    <definedName name="me" hidden="1">{#N/A,#N/A,FALSE,"Bare Battery F.G."}</definedName>
    <definedName name="MonthLineIE" localSheetId="9">#REF!</definedName>
    <definedName name="MonthLineIE">#REF!</definedName>
    <definedName name="MonthLineME" localSheetId="9">#REF!</definedName>
    <definedName name="MonthLineME">#REF!</definedName>
    <definedName name="MonthLinePE">[5]pe!$N$1:$N$65536</definedName>
    <definedName name="mp" localSheetId="9">{#N/A,#N/A,FALSE,"Bare Battery F.G."}</definedName>
    <definedName name="mp">{#N/A,#N/A,FALSE,"Bare Battery F.G."}</definedName>
    <definedName name="OPERATION">[10]model!OPERATION</definedName>
    <definedName name="opt">[6]Sheet2!$C$2:$C$529</definedName>
    <definedName name="OriginalData">OFFSET([14]Data!$A$2,0,0,COUNT([14]Data!$A$1:$A$65536),1)</definedName>
    <definedName name="OwnerIE" localSheetId="9">#REF!</definedName>
    <definedName name="OwnerIE">#REF!</definedName>
    <definedName name="OwnerME" localSheetId="9">#REF!</definedName>
    <definedName name="OwnerME">#REF!</definedName>
    <definedName name="OwnerPE">[5]pe!$J$1:$J$65536</definedName>
    <definedName name="_xlnm.Print_Area" localSheetId="0">封面!$B$2:$I$27</definedName>
    <definedName name="_xlnm.Print_Area" localSheetId="8">干燥注液化成定容!$B$2:$I$39</definedName>
    <definedName name="_xlnm.Print_Area" localSheetId="3">合浆涂布辊压一分!$B$2:$I$70</definedName>
    <definedName name="_xlnm.Print_Area" localSheetId="7">'模切二分卷绕 (圆柱)'!$B$2:$I$78</definedName>
    <definedName name="_xlnm.Print_Area" localSheetId="5">'模切二分卷绕（方形）'!$B$2:$I$165</definedName>
    <definedName name="_xlnm.Print_Area" localSheetId="6">'切片叠片装配（方形）'!$B$2:$I$41</definedName>
    <definedName name="_xlnm.Print_Area" localSheetId="2">修订履历表!$B$2:$H$28</definedName>
    <definedName name="prod" localSheetId="9">{#N/A,#N/A,FALSE,"Bare Battery F.G."}</definedName>
    <definedName name="prod">{#N/A,#N/A,FALSE,"Bare Battery F.G."}</definedName>
    <definedName name="PROJECTCODE" localSheetId="9">#REF!</definedName>
    <definedName name="PROJECTCODE">#REF!</definedName>
    <definedName name="ProjectType" localSheetId="9">#REF!</definedName>
    <definedName name="ProjectType">#REF!</definedName>
    <definedName name="QA_Tech">[13]ISRDATA!$P$7</definedName>
    <definedName name="R999999999" localSheetId="9">#REF!</definedName>
    <definedName name="R999999999">#REF!</definedName>
    <definedName name="sdd" localSheetId="9" hidden="1">{#N/A,#N/A,FALSE,"Bare Battery F.G."}</definedName>
    <definedName name="sdd" hidden="1">{#N/A,#N/A,FALSE,"Bare Battery F.G."}</definedName>
    <definedName name="SDF" localSheetId="9" hidden="1">{#N/A,#N/A,FALSE,"Bare Battery F.G."}</definedName>
    <definedName name="SDF" hidden="1">{#N/A,#N/A,FALSE,"Bare Battery F.G."}</definedName>
    <definedName name="SK">#N/A</definedName>
    <definedName name="sse" localSheetId="9" hidden="1">{#N/A,#N/A,FALSE,"Bare Battery F.G."}</definedName>
    <definedName name="sse" hidden="1">{#N/A,#N/A,FALSE,"Bare Battery F.G."}</definedName>
    <definedName name="SSLO" localSheetId="9" hidden="1">{#N/A,#N/A,FALSE,"Bare Battery F.G."}</definedName>
    <definedName name="SSLO" hidden="1">{#N/A,#N/A,FALSE,"Bare Battery F.G."}</definedName>
    <definedName name="start" localSheetId="9">OFFSET('[15]EV Project Schedule Rev.01'!$F$9,1,,COUNTA('[15]EV Project Schedule Rev.01'!$F$1:$F$65536)-1,)</definedName>
    <definedName name="start">OFFSET('[16]EV Project Schedule Rev.01'!$F$9,1,,COUNTA('[16]EV Project Schedule Rev.01'!$F$1:$F$65536)-1,)</definedName>
    <definedName name="StatusIE" localSheetId="9">#REF!</definedName>
    <definedName name="StatusIE">#REF!</definedName>
    <definedName name="StatusME" localSheetId="9">#REF!</definedName>
    <definedName name="StatusME">#REF!</definedName>
    <definedName name="StatusPE">[5]pe!$M$1:$M$65536</definedName>
    <definedName name="Supplier_Code" localSheetId="9">#REF!</definedName>
    <definedName name="Supplier_Code">#REF!</definedName>
    <definedName name="temp1" localSheetId="9">#REF!</definedName>
    <definedName name="temp1">#REF!</definedName>
    <definedName name="tempRange" localSheetId="9">#REF!</definedName>
    <definedName name="tempRange">#REF!</definedName>
    <definedName name="TimeLineIE" localSheetId="9">#REF!</definedName>
    <definedName name="TimeLineIE">#REF!</definedName>
    <definedName name="TimeLineME" localSheetId="9">#REF!</definedName>
    <definedName name="TimeLineME">#REF!</definedName>
    <definedName name="TimeLinePE">[5]pe!$K$1:$K$65536</definedName>
    <definedName name="Trial" localSheetId="9">#REF!</definedName>
    <definedName name="Trial">#REF!</definedName>
    <definedName name="WEEK">[10]model!OPERATION</definedName>
    <definedName name="wrm" localSheetId="9" hidden="1">{#N/A,#N/A,FALSE,"Bare Battery F.G."}</definedName>
    <definedName name="wrm" hidden="1">{#N/A,#N/A,FALSE,"Bare Battery F.G."}</definedName>
    <definedName name="wrn.report." localSheetId="9" hidden="1">{#N/A,#N/A,FALSE,"Bare Battery F.G."}</definedName>
    <definedName name="wrn.report." hidden="1">{#N/A,#N/A,FALSE,"Bare Battery F.G."}</definedName>
    <definedName name="wrn1.report." localSheetId="9" hidden="1">{#N/A,#N/A,FALSE,"Bare Battery F.G."}</definedName>
    <definedName name="wrn1.report." hidden="1">{#N/A,#N/A,FALSE,"Bare Battery F.G."}</definedName>
    <definedName name="wrn2.report" localSheetId="9" hidden="1">{#N/A,#N/A,FALSE,"Bare Battery F.G."}</definedName>
    <definedName name="wrn2.report" hidden="1">{#N/A,#N/A,FALSE,"Bare Battery F.G."}</definedName>
    <definedName name="xdf" localSheetId="9" hidden="1">{#N/A,#N/A,FALSE,"Bare Battery F.G."}</definedName>
    <definedName name="xdf" hidden="1">{#N/A,#N/A,FALSE,"Bare Battery F.G."}</definedName>
    <definedName name="xiaht" localSheetId="9">OFFSET(厚度尺寸链计算!start,,4,)</definedName>
    <definedName name="xiaht">OFFSET(start,,4,)</definedName>
    <definedName name="xxx" localSheetId="9" hidden="1">{#N/A,#N/A,FALSE,"Bare Battery F.G."}</definedName>
    <definedName name="xxx" hidden="1">{#N/A,#N/A,FALSE,"Bare Battery F.G."}</definedName>
    <definedName name="ZR">[10]model!OPERATION</definedName>
    <definedName name="按时的" localSheetId="9">{#N/A,#N/A,FALSE,"Bare Battery F.G."}</definedName>
    <definedName name="按时的">{#N/A,#N/A,FALSE,"Bare Battery F.G."}</definedName>
    <definedName name="按时的完全" localSheetId="9" hidden="1">{#N/A,#N/A,FALSE,"Bare Battery F.G."}</definedName>
    <definedName name="按时的完全" hidden="1">{#N/A,#N/A,FALSE,"Bare Battery F.G."}</definedName>
    <definedName name="工艺参数" localSheetId="9" hidden="1">{#N/A,#N/A,FALSE,"Bare Battery F.G."}</definedName>
    <definedName name="工艺参数" hidden="1">{#N/A,#N/A,FALSE,"Bare Battery F.G."}</definedName>
    <definedName name="核算项目" localSheetId="9">#REF!</definedName>
    <definedName name="核算项目">#REF!</definedName>
    <definedName name="汇率" localSheetId="9">#REF!</definedName>
    <definedName name="汇率">#REF!</definedName>
    <definedName name="结存" localSheetId="9">#REF!</definedName>
    <definedName name="结存">#REF!</definedName>
    <definedName name="绝缘电阻测试3" localSheetId="9">#REF!</definedName>
    <definedName name="绝缘电阻测试3">#REF!</definedName>
    <definedName name="科目" localSheetId="9">#REF!</definedName>
    <definedName name="科目">#REF!</definedName>
    <definedName name="牛海超">#N/A</definedName>
    <definedName name="入壳坏品" localSheetId="9">#REF!</definedName>
    <definedName name="入壳坏品">#REF!</definedName>
    <definedName name="生产列1" localSheetId="9">#REF!</definedName>
    <definedName name="生产列1">#REF!</definedName>
    <definedName name="生产列11" localSheetId="9">#REF!</definedName>
    <definedName name="生产列11">#REF!</definedName>
    <definedName name="生产列15" localSheetId="9">#REF!</definedName>
    <definedName name="生产列15">#REF!</definedName>
    <definedName name="生产列16" localSheetId="9">#REF!</definedName>
    <definedName name="生产列16">#REF!</definedName>
    <definedName name="生产列17" localSheetId="9">#REF!</definedName>
    <definedName name="生产列17">#REF!</definedName>
    <definedName name="生产列19" localSheetId="9">#REF!</definedName>
    <definedName name="生产列19">#REF!</definedName>
    <definedName name="生产列2" localSheetId="9">#REF!</definedName>
    <definedName name="生产列2">#REF!</definedName>
    <definedName name="生产列20" localSheetId="9">#REF!</definedName>
    <definedName name="生产列20">#REF!</definedName>
    <definedName name="生产列3" localSheetId="9">#REF!</definedName>
    <definedName name="生产列3">#REF!</definedName>
    <definedName name="生产列4" localSheetId="9">#REF!</definedName>
    <definedName name="生产列4">#REF!</definedName>
    <definedName name="生产列5" localSheetId="9">#REF!</definedName>
    <definedName name="生产列5">#REF!</definedName>
    <definedName name="生产列6" localSheetId="9">#REF!</definedName>
    <definedName name="生产列6">#REF!</definedName>
    <definedName name="生产列7" localSheetId="9">#REF!</definedName>
    <definedName name="生产列7">#REF!</definedName>
    <definedName name="生产列8" localSheetId="9">#REF!</definedName>
    <definedName name="生产列8">#REF!</definedName>
    <definedName name="生产列9" localSheetId="9">#REF!</definedName>
    <definedName name="生产列9">#REF!</definedName>
    <definedName name="生产期" localSheetId="9">#REF!</definedName>
    <definedName name="生产期">#REF!</definedName>
    <definedName name="生产期1" localSheetId="9">#REF!</definedName>
    <definedName name="生产期1">#REF!</definedName>
    <definedName name="生产期10" localSheetId="9">#REF!</definedName>
    <definedName name="生产期10">#REF!</definedName>
    <definedName name="生产期11" localSheetId="9">#REF!</definedName>
    <definedName name="生产期11">#REF!</definedName>
    <definedName name="生产期15" localSheetId="9">#REF!</definedName>
    <definedName name="生产期15">#REF!</definedName>
    <definedName name="生产期16" localSheetId="9">#REF!</definedName>
    <definedName name="生产期16">#REF!</definedName>
    <definedName name="生产期17" localSheetId="9">#REF!</definedName>
    <definedName name="生产期17">#REF!</definedName>
    <definedName name="生产期19" localSheetId="9">#REF!</definedName>
    <definedName name="生产期19">#REF!</definedName>
    <definedName name="生产期2" localSheetId="9">#REF!</definedName>
    <definedName name="生产期2">#REF!</definedName>
    <definedName name="生产期20" localSheetId="9">#REF!</definedName>
    <definedName name="生产期20">#REF!</definedName>
    <definedName name="生产期3" localSheetId="9">#REF!</definedName>
    <definedName name="生产期3">#REF!</definedName>
    <definedName name="生产期4" localSheetId="9">#REF!</definedName>
    <definedName name="生产期4">#REF!</definedName>
    <definedName name="生产期5" localSheetId="9">#REF!</definedName>
    <definedName name="生产期5">#REF!</definedName>
    <definedName name="生产期6" localSheetId="9">#REF!</definedName>
    <definedName name="生产期6">#REF!</definedName>
    <definedName name="生产期7" localSheetId="9">#REF!</definedName>
    <definedName name="生产期7">#REF!</definedName>
    <definedName name="生产期8" localSheetId="9">#REF!</definedName>
    <definedName name="生产期8">#REF!</definedName>
    <definedName name="生产期9" localSheetId="9">#REF!</definedName>
    <definedName name="生产期9">#REF!</definedName>
    <definedName name="许多" localSheetId="9" hidden="1">{#N/A,#N/A,FALSE,"Bare Battery F.G."}</definedName>
    <definedName name="许多" hidden="1">{#N/A,#N/A,FALSE,"Bare Battery F.G."}</definedName>
    <definedName name="阳极冷压坏品" localSheetId="9">#REF!</definedName>
    <definedName name="阳极冷压坏品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0" i="4" l="1"/>
  <c r="D47" i="4"/>
  <c r="C5" i="14" l="1"/>
  <c r="D5" i="14"/>
  <c r="E5" i="14"/>
  <c r="G5" i="14"/>
  <c r="I5" i="14"/>
  <c r="K5" i="14"/>
  <c r="M5" i="14"/>
  <c r="C7" i="14"/>
  <c r="D7" i="14"/>
  <c r="E7" i="14"/>
  <c r="G7" i="14"/>
  <c r="I7" i="14"/>
  <c r="K7" i="14"/>
  <c r="M7" i="14"/>
  <c r="C19" i="14"/>
  <c r="E19" i="14"/>
  <c r="F19" i="14"/>
  <c r="G19" i="14"/>
  <c r="H19" i="14"/>
  <c r="J19" i="14"/>
  <c r="K19" i="14"/>
  <c r="M19" i="14"/>
  <c r="N19" i="14"/>
  <c r="O19" i="14"/>
  <c r="C20" i="14"/>
  <c r="E20" i="14" s="1"/>
  <c r="L20" i="14"/>
  <c r="F7" i="14" l="1"/>
  <c r="J7" i="14" s="1"/>
  <c r="J8" i="14" s="1"/>
  <c r="F5" i="14"/>
  <c r="N7" i="14"/>
  <c r="L5" i="14"/>
  <c r="L6" i="14" s="1"/>
  <c r="N5" i="14"/>
  <c r="N6" i="14" s="1"/>
  <c r="J5" i="14"/>
  <c r="J6" i="14" s="1"/>
  <c r="H5" i="14"/>
  <c r="H6" i="14" s="1"/>
  <c r="H7" i="14" l="1"/>
  <c r="H8" i="14" s="1"/>
  <c r="L7" i="14"/>
  <c r="L8" i="14" s="1"/>
  <c r="N11" i="14"/>
  <c r="F23" i="14" s="1"/>
  <c r="L12" i="14"/>
  <c r="J12" i="14"/>
  <c r="L11" i="14"/>
  <c r="E23" i="14" s="1"/>
  <c r="H12" i="14"/>
  <c r="N15" i="14"/>
  <c r="F24" i="14" s="1"/>
  <c r="N8" i="14"/>
  <c r="H11" i="14"/>
  <c r="C23" i="14" s="1"/>
  <c r="J11" i="14"/>
  <c r="L15" i="14" l="1"/>
  <c r="E24" i="14" s="1"/>
  <c r="D23" i="14"/>
  <c r="J15" i="14"/>
  <c r="D24" i="14" s="1"/>
  <c r="J16" i="14" s="1"/>
  <c r="G4" i="2" l="1"/>
  <c r="D39" i="4" l="1"/>
  <c r="D46" i="4" l="1"/>
  <c r="D42" i="4"/>
  <c r="D56" i="4"/>
  <c r="D53" i="4"/>
  <c r="H5" i="9" l="1"/>
  <c r="H4" i="9"/>
  <c r="H3" i="9"/>
  <c r="C3" i="9"/>
  <c r="C3" i="6" l="1"/>
  <c r="C3" i="7"/>
  <c r="C3" i="5"/>
  <c r="C3" i="4"/>
  <c r="H5" i="6"/>
  <c r="H4" i="6"/>
  <c r="H3" i="6"/>
  <c r="H5" i="7"/>
  <c r="H4" i="7"/>
  <c r="H3" i="7"/>
  <c r="H5" i="5"/>
  <c r="H4" i="5"/>
  <c r="H3" i="5"/>
  <c r="H5" i="4"/>
  <c r="H4" i="4"/>
  <c r="H3" i="4"/>
  <c r="G5" i="2"/>
  <c r="G3" i="2"/>
</calcChain>
</file>

<file path=xl/sharedStrings.xml><?xml version="1.0" encoding="utf-8"?>
<sst xmlns="http://schemas.openxmlformats.org/spreadsheetml/2006/main" count="947" uniqueCount="590">
  <si>
    <t>文件编号：</t>
    <phoneticPr fontId="3" type="noConversion"/>
  </si>
  <si>
    <t>实施日期：</t>
    <phoneticPr fontId="3" type="noConversion"/>
  </si>
  <si>
    <t>实施日期</t>
    <phoneticPr fontId="2" type="noConversion"/>
  </si>
  <si>
    <t>编制</t>
    <phoneticPr fontId="2" type="noConversion"/>
  </si>
  <si>
    <t>校对</t>
    <phoneticPr fontId="2" type="noConversion"/>
  </si>
  <si>
    <t>审核</t>
    <phoneticPr fontId="2" type="noConversion"/>
  </si>
  <si>
    <t>批准</t>
    <phoneticPr fontId="2" type="noConversion"/>
  </si>
  <si>
    <t>会签</t>
    <phoneticPr fontId="2" type="noConversion"/>
  </si>
  <si>
    <t>版本：</t>
    <phoneticPr fontId="3" type="noConversion"/>
  </si>
  <si>
    <t>发行日期</t>
  </si>
  <si>
    <t>版次</t>
  </si>
  <si>
    <t>修订原因及章节说明</t>
    <phoneticPr fontId="3" type="noConversion"/>
  </si>
  <si>
    <t>总页</t>
  </si>
  <si>
    <t>修订页次</t>
    <phoneticPr fontId="2" type="noConversion"/>
  </si>
  <si>
    <t>修 订 履 历 表</t>
  </si>
  <si>
    <t>文件编号</t>
    <phoneticPr fontId="2" type="noConversion"/>
  </si>
  <si>
    <t>发行版次</t>
    <phoneticPr fontId="2" type="noConversion"/>
  </si>
  <si>
    <r>
      <t>1</t>
    </r>
    <r>
      <rPr>
        <b/>
        <sz val="12"/>
        <rFont val="宋体"/>
        <family val="3"/>
        <charset val="134"/>
      </rPr>
      <t>、基本参数</t>
    </r>
    <phoneticPr fontId="3" type="noConversion"/>
  </si>
  <si>
    <t>合浆配方</t>
    <phoneticPr fontId="3" type="noConversion"/>
  </si>
  <si>
    <t>/</t>
    <phoneticPr fontId="3" type="noConversion"/>
  </si>
  <si>
    <t>集流体厚度</t>
    <phoneticPr fontId="3" type="noConversion"/>
  </si>
  <si>
    <t>μm</t>
    <phoneticPr fontId="3" type="noConversion"/>
  </si>
  <si>
    <t>mm</t>
    <phoneticPr fontId="3" type="noConversion"/>
  </si>
  <si>
    <t>集流体面密度</t>
    <phoneticPr fontId="3" type="noConversion"/>
  </si>
  <si>
    <t>N/m</t>
    <phoneticPr fontId="3" type="noConversion"/>
  </si>
  <si>
    <t>卷绕头部负极超出正极尺寸</t>
    <phoneticPr fontId="2" type="noConversion"/>
  </si>
  <si>
    <t>卷绕尾部负极超出正极尺寸</t>
    <phoneticPr fontId="2" type="noConversion"/>
  </si>
  <si>
    <t>卷针周长</t>
    <phoneticPr fontId="2" type="noConversion"/>
  </si>
  <si>
    <t>隔膜宽度</t>
    <phoneticPr fontId="2" type="noConversion"/>
  </si>
  <si>
    <t>mm</t>
    <phoneticPr fontId="2" type="noConversion"/>
  </si>
  <si>
    <t>半电芯厚度</t>
    <phoneticPr fontId="2" type="noConversion"/>
  </si>
  <si>
    <t>半电芯重量</t>
    <phoneticPr fontId="2" type="noConversion"/>
  </si>
  <si>
    <t>Ah</t>
    <phoneticPr fontId="2" type="noConversion"/>
  </si>
  <si>
    <t>mΩ</t>
    <phoneticPr fontId="2" type="noConversion"/>
  </si>
  <si>
    <t>g</t>
    <phoneticPr fontId="2" type="noConversion"/>
  </si>
  <si>
    <t>mm</t>
    <phoneticPr fontId="2" type="noConversion"/>
  </si>
  <si>
    <t>电芯厚度</t>
    <phoneticPr fontId="2" type="noConversion"/>
  </si>
  <si>
    <t>★涂覆区毛刺长度</t>
    <phoneticPr fontId="2" type="noConversion"/>
  </si>
  <si>
    <t>★隔膜底部超出负极尺寸</t>
    <phoneticPr fontId="2" type="noConversion"/>
  </si>
  <si>
    <t>★隔膜顶部超出负极尺寸</t>
    <phoneticPr fontId="2" type="noConversion"/>
  </si>
  <si>
    <t>★负极底部超出正极尺寸</t>
    <phoneticPr fontId="2" type="noConversion"/>
  </si>
  <si>
    <t>★负极顶部超出正极尺寸</t>
    <phoneticPr fontId="2" type="noConversion"/>
  </si>
  <si>
    <t>☆辊压后厚度</t>
    <phoneticPr fontId="3" type="noConversion"/>
  </si>
  <si>
    <t>第 3 页</t>
    <phoneticPr fontId="2" type="noConversion"/>
  </si>
  <si>
    <t>共 3 页</t>
    <phoneticPr fontId="2" type="noConversion"/>
  </si>
  <si>
    <t>/</t>
    <phoneticPr fontId="2" type="noConversion"/>
  </si>
  <si>
    <t>极片长度</t>
    <phoneticPr fontId="2" type="noConversion"/>
  </si>
  <si>
    <t>mm</t>
    <phoneticPr fontId="2" type="noConversion"/>
  </si>
  <si>
    <t>第 2 页</t>
    <phoneticPr fontId="2" type="noConversion"/>
  </si>
  <si>
    <t>g</t>
    <phoneticPr fontId="2" type="noConversion"/>
  </si>
  <si>
    <t>ppm</t>
    <phoneticPr fontId="2" type="noConversion"/>
  </si>
  <si>
    <t>涂炭合浆配方</t>
    <phoneticPr fontId="2" type="noConversion"/>
  </si>
  <si>
    <t>卷绕层数</t>
    <phoneticPr fontId="2" type="noConversion"/>
  </si>
  <si>
    <t>mV</t>
    <phoneticPr fontId="2" type="noConversion"/>
  </si>
  <si>
    <t>内容</t>
    <phoneticPr fontId="2" type="noConversion"/>
  </si>
  <si>
    <t>工序</t>
    <phoneticPr fontId="2" type="noConversion"/>
  </si>
  <si>
    <t>涂布</t>
    <phoneticPr fontId="2" type="noConversion"/>
  </si>
  <si>
    <t>☆单面面密度</t>
    <phoneticPr fontId="3" type="noConversion"/>
  </si>
  <si>
    <t>☆双面面密度</t>
    <phoneticPr fontId="3" type="noConversion"/>
  </si>
  <si>
    <t>涂炭单面密度</t>
    <phoneticPr fontId="2" type="noConversion"/>
  </si>
  <si>
    <t>涂炭双面密度</t>
    <phoneticPr fontId="2" type="noConversion"/>
  </si>
  <si>
    <t>涂胶区单面厚度</t>
    <phoneticPr fontId="2" type="noConversion"/>
  </si>
  <si>
    <t>涂胶区双面厚度</t>
    <phoneticPr fontId="2" type="noConversion"/>
  </si>
  <si>
    <t>涂胶区与涂覆区重叠尺寸</t>
    <phoneticPr fontId="2" type="noConversion"/>
  </si>
  <si>
    <t>辊切</t>
    <phoneticPr fontId="2" type="noConversion"/>
  </si>
  <si>
    <t>3、正极涂布示意图：</t>
    <phoneticPr fontId="3" type="noConversion"/>
  </si>
  <si>
    <t>4、负极涂布示意图：</t>
    <phoneticPr fontId="3" type="noConversion"/>
  </si>
  <si>
    <t>模切二分</t>
    <phoneticPr fontId="2" type="noConversion"/>
  </si>
  <si>
    <t>单位</t>
  </si>
  <si>
    <t>正   极</t>
  </si>
  <si>
    <t>负   极</t>
  </si>
  <si>
    <t>极耳胶合浆配方</t>
    <phoneticPr fontId="2" type="noConversion"/>
  </si>
  <si>
    <t>压实密度</t>
    <phoneticPr fontId="3" type="noConversion"/>
  </si>
  <si>
    <t>极片宽度</t>
    <phoneticPr fontId="2" type="noConversion"/>
  </si>
  <si>
    <r>
      <t>g/m</t>
    </r>
    <r>
      <rPr>
        <b/>
        <vertAlign val="superscript"/>
        <sz val="10"/>
        <rFont val="等线"/>
        <family val="3"/>
        <charset val="134"/>
        <scheme val="minor"/>
      </rPr>
      <t>2</t>
    </r>
    <phoneticPr fontId="3" type="noConversion"/>
  </si>
  <si>
    <r>
      <t>g/cm</t>
    </r>
    <r>
      <rPr>
        <b/>
        <vertAlign val="superscript"/>
        <sz val="10"/>
        <rFont val="等线"/>
        <family val="3"/>
        <charset val="134"/>
        <scheme val="minor"/>
      </rPr>
      <t>3</t>
    </r>
    <phoneticPr fontId="3" type="noConversion"/>
  </si>
  <si>
    <r>
      <t>μ</t>
    </r>
    <r>
      <rPr>
        <b/>
        <sz val="9"/>
        <rFont val="等线"/>
        <family val="3"/>
        <charset val="134"/>
        <scheme val="minor"/>
      </rPr>
      <t>m</t>
    </r>
    <phoneticPr fontId="2" type="noConversion"/>
  </si>
  <si>
    <r>
      <rPr>
        <b/>
        <sz val="12"/>
        <rFont val="等线"/>
        <family val="3"/>
        <charset val="134"/>
      </rPr>
      <t>单位</t>
    </r>
  </si>
  <si>
    <r>
      <rPr>
        <b/>
        <sz val="12"/>
        <rFont val="等线"/>
        <family val="3"/>
        <charset val="134"/>
      </rPr>
      <t>内容</t>
    </r>
    <phoneticPr fontId="2" type="noConversion"/>
  </si>
  <si>
    <r>
      <rPr>
        <b/>
        <sz val="12"/>
        <rFont val="等线"/>
        <family val="3"/>
        <charset val="134"/>
      </rPr>
      <t>备注</t>
    </r>
    <phoneticPr fontId="2" type="noConversion"/>
  </si>
  <si>
    <r>
      <rPr>
        <b/>
        <sz val="12"/>
        <rFont val="等线"/>
        <family val="3"/>
        <charset val="134"/>
      </rPr>
      <t>工序</t>
    </r>
    <phoneticPr fontId="2" type="noConversion"/>
  </si>
  <si>
    <r>
      <rPr>
        <b/>
        <sz val="12"/>
        <rFont val="等线"/>
        <family val="3"/>
        <charset val="134"/>
      </rPr>
      <t>内容</t>
    </r>
    <phoneticPr fontId="2" type="noConversion"/>
  </si>
  <si>
    <t>电池OCV</t>
    <phoneticPr fontId="2" type="noConversion"/>
  </si>
  <si>
    <t>V</t>
    <phoneticPr fontId="2" type="noConversion"/>
  </si>
  <si>
    <t>切片</t>
    <phoneticPr fontId="2" type="noConversion"/>
  </si>
  <si>
    <t>极片重量</t>
    <phoneticPr fontId="2" type="noConversion"/>
  </si>
  <si>
    <t>g</t>
    <phoneticPr fontId="2" type="noConversion"/>
  </si>
  <si>
    <t>★隔膜左侧超出负极尺寸</t>
    <phoneticPr fontId="2" type="noConversion"/>
  </si>
  <si>
    <t>★隔膜右侧超出负极尺寸</t>
    <phoneticPr fontId="2" type="noConversion"/>
  </si>
  <si>
    <t>ppm</t>
  </si>
  <si>
    <t>代号</t>
    <phoneticPr fontId="3" type="noConversion"/>
  </si>
  <si>
    <t>具体比例</t>
    <phoneticPr fontId="3" type="noConversion"/>
  </si>
  <si>
    <t>增塑剂种类</t>
    <phoneticPr fontId="2" type="noConversion"/>
  </si>
  <si>
    <t>添加量</t>
    <phoneticPr fontId="2" type="noConversion"/>
  </si>
  <si>
    <t>干燥后增塑剂残留量</t>
    <phoneticPr fontId="2" type="noConversion"/>
  </si>
  <si>
    <t>增塑剂</t>
    <phoneticPr fontId="2" type="noConversion"/>
  </si>
  <si>
    <t>mm</t>
    <phoneticPr fontId="2" type="noConversion"/>
  </si>
  <si>
    <t>/</t>
    <phoneticPr fontId="2" type="noConversion"/>
  </si>
  <si>
    <t>mm</t>
    <phoneticPr fontId="2" type="noConversion"/>
  </si>
  <si>
    <t>涂膜宽度需工艺确认</t>
    <phoneticPr fontId="2" type="noConversion"/>
  </si>
  <si>
    <t>涂布后增塑剂残留量</t>
    <phoneticPr fontId="2" type="noConversion"/>
  </si>
  <si>
    <t>模切尺寸</t>
    <phoneticPr fontId="2" type="noConversion"/>
  </si>
  <si>
    <t>极耳间距</t>
    <phoneticPr fontId="2" type="noConversion"/>
  </si>
  <si>
    <t>极耳类型</t>
    <phoneticPr fontId="2" type="noConversion"/>
  </si>
  <si>
    <t>负极尺寸（中心距）</t>
  </si>
  <si>
    <t>正极尺寸（中心距）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</si>
  <si>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</si>
  <si>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</si>
  <si>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</si>
  <si>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</si>
  <si>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</si>
  <si>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</si>
  <si>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</si>
  <si>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</si>
  <si>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</si>
  <si>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</si>
  <si>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</si>
  <si>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</si>
  <si>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</si>
  <si>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</si>
  <si>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</si>
  <si>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</si>
  <si>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</si>
  <si>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</si>
  <si>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</si>
  <si>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</si>
  <si>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</si>
  <si>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</si>
  <si>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陶瓷面方向</t>
    <phoneticPr fontId="2" type="noConversion"/>
  </si>
  <si>
    <t>对正极</t>
    <phoneticPr fontId="2" type="noConversion"/>
  </si>
  <si>
    <t>★隔膜顶部超出极耳胶边缘尺寸</t>
    <phoneticPr fontId="2" type="noConversion"/>
  </si>
  <si>
    <t>MΩ</t>
    <phoneticPr fontId="2" type="noConversion"/>
  </si>
  <si>
    <t>卷绕/热压/装配</t>
    <phoneticPr fontId="2" type="noConversion"/>
  </si>
  <si>
    <t>卷绕前极片厚度</t>
    <phoneticPr fontId="2" type="noConversion"/>
  </si>
  <si>
    <t>半电芯数量</t>
    <phoneticPr fontId="2" type="noConversion"/>
  </si>
  <si>
    <t>个</t>
    <phoneticPr fontId="2" type="noConversion"/>
  </si>
  <si>
    <t>半电芯数量</t>
    <phoneticPr fontId="2" type="noConversion"/>
  </si>
  <si>
    <t>个</t>
    <phoneticPr fontId="2" type="noConversion"/>
  </si>
  <si>
    <t>叠片层数（半电芯）</t>
    <phoneticPr fontId="2" type="noConversion"/>
  </si>
  <si>
    <t>叠片前极片厚度</t>
    <phoneticPr fontId="2" type="noConversion"/>
  </si>
  <si>
    <t>叠片/装配</t>
    <phoneticPr fontId="2" type="noConversion"/>
  </si>
  <si>
    <t>&lt;0.5mm</t>
    <phoneticPr fontId="2" type="noConversion"/>
  </si>
  <si>
    <t>半电芯宽度(热压后)</t>
    <phoneticPr fontId="2" type="noConversion"/>
  </si>
  <si>
    <t>半电芯厚度(热压后)</t>
    <phoneticPr fontId="2" type="noConversion"/>
  </si>
  <si>
    <t>★极片对齐度</t>
    <phoneticPr fontId="2" type="noConversion"/>
  </si>
  <si>
    <r>
      <t>μ</t>
    </r>
    <r>
      <rPr>
        <b/>
        <sz val="9"/>
        <rFont val="等线"/>
        <family val="3"/>
        <charset val="134"/>
        <scheme val="minor"/>
      </rPr>
      <t>m</t>
    </r>
    <phoneticPr fontId="2" type="noConversion"/>
  </si>
  <si>
    <t>μm</t>
    <phoneticPr fontId="2" type="noConversion"/>
  </si>
  <si>
    <t>总注液量</t>
    <phoneticPr fontId="2" type="noConversion"/>
  </si>
  <si>
    <t>☆电池厚度</t>
    <phoneticPr fontId="2" type="noConversion"/>
  </si>
  <si>
    <t>☆电池重量</t>
    <phoneticPr fontId="2" type="noConversion"/>
  </si>
  <si>
    <t>电解液型号</t>
    <phoneticPr fontId="2" type="noConversion"/>
  </si>
  <si>
    <t>/</t>
    <phoneticPr fontId="2" type="noConversion"/>
  </si>
  <si>
    <t>隔膜种类</t>
    <phoneticPr fontId="2" type="noConversion"/>
  </si>
  <si>
    <t>/</t>
    <phoneticPr fontId="2" type="noConversion"/>
  </si>
  <si>
    <t>9+3+2+2</t>
    <phoneticPr fontId="2" type="noConversion"/>
  </si>
  <si>
    <t>☆电池高度</t>
    <phoneticPr fontId="2" type="noConversion"/>
  </si>
  <si>
    <t>☆电池宽度</t>
    <phoneticPr fontId="2" type="noConversion"/>
  </si>
  <si>
    <t>定容后极片满电厚度</t>
    <phoneticPr fontId="2" type="noConversion"/>
  </si>
  <si>
    <t>备注</t>
    <phoneticPr fontId="2" type="noConversion"/>
  </si>
  <si>
    <t>/</t>
    <phoneticPr fontId="2" type="noConversion"/>
  </si>
  <si>
    <t>/</t>
    <phoneticPr fontId="2" type="noConversion"/>
  </si>
  <si>
    <t>&lt;合浆、涂布、辊切&gt;</t>
    <phoneticPr fontId="2" type="noConversion"/>
  </si>
  <si>
    <t xml:space="preserve">      &lt;模切、二分、卷绕、装配&gt;</t>
  </si>
  <si>
    <t xml:space="preserve">   &lt;切片、叠片、装配&gt;</t>
  </si>
  <si>
    <t xml:space="preserve">  &lt;干燥、注液、化成、定容&gt;</t>
  </si>
  <si>
    <t>辊压后面电阻</t>
    <phoneticPr fontId="2" type="noConversion"/>
  </si>
  <si>
    <t>涂布后面电阻</t>
    <phoneticPr fontId="2" type="noConversion"/>
  </si>
  <si>
    <t>极耳胶涂布宽度L1</t>
    <phoneticPr fontId="2" type="noConversion"/>
  </si>
  <si>
    <t>涂膜区宽度L2</t>
    <phoneticPr fontId="2" type="noConversion"/>
  </si>
  <si>
    <t>留白区宽度L3</t>
    <phoneticPr fontId="2" type="noConversion"/>
  </si>
  <si>
    <t>涂膜区L2</t>
    <phoneticPr fontId="2" type="noConversion"/>
  </si>
  <si>
    <t>留白区L3</t>
    <phoneticPr fontId="2" type="noConversion"/>
  </si>
  <si>
    <t>≥5</t>
    <phoneticPr fontId="2" type="noConversion"/>
  </si>
  <si>
    <t>≥5</t>
    <phoneticPr fontId="2" type="noConversion"/>
  </si>
  <si>
    <t>≥1</t>
    <phoneticPr fontId="2" type="noConversion"/>
  </si>
  <si>
    <t>≥1</t>
    <phoneticPr fontId="2" type="noConversion"/>
  </si>
  <si>
    <t>合芯厚度(热压后)</t>
    <phoneticPr fontId="2" type="noConversion"/>
  </si>
  <si>
    <t>备注</t>
    <phoneticPr fontId="2" type="noConversion"/>
  </si>
  <si>
    <t>mm</t>
    <phoneticPr fontId="2" type="noConversion"/>
  </si>
  <si>
    <t>见附图及附表</t>
    <phoneticPr fontId="2" type="noConversion"/>
  </si>
  <si>
    <t>极耳高度</t>
    <phoneticPr fontId="2" type="noConversion"/>
  </si>
  <si>
    <t>mm</t>
    <phoneticPr fontId="2" type="noConversion"/>
  </si>
  <si>
    <t>极耳宽度（根部）</t>
    <phoneticPr fontId="2" type="noConversion"/>
  </si>
  <si>
    <t>极耳宽度</t>
    <phoneticPr fontId="2" type="noConversion"/>
  </si>
  <si>
    <t>≤30</t>
  </si>
  <si>
    <t>≤30</t>
    <phoneticPr fontId="2" type="noConversion"/>
  </si>
  <si>
    <t>≤30</t>
    <phoneticPr fontId="2" type="noConversion"/>
  </si>
  <si>
    <t>干燥注液</t>
    <phoneticPr fontId="2" type="noConversion"/>
  </si>
  <si>
    <t>☆电池ACR</t>
    <phoneticPr fontId="2" type="noConversion"/>
  </si>
  <si>
    <t>☆电池DCR</t>
    <phoneticPr fontId="2" type="noConversion"/>
  </si>
  <si>
    <t>ACR分组极差</t>
    <phoneticPr fontId="2" type="noConversion"/>
  </si>
  <si>
    <t>☆电芯水分</t>
    <phoneticPr fontId="2" type="noConversion"/>
  </si>
  <si>
    <t>☆电池容量</t>
    <phoneticPr fontId="2" type="noConversion"/>
  </si>
  <si>
    <t>化成定容</t>
    <phoneticPr fontId="2" type="noConversion"/>
  </si>
  <si>
    <t>OCV分组极差</t>
    <phoneticPr fontId="2" type="noConversion"/>
  </si>
  <si>
    <t>容量分组极差</t>
    <phoneticPr fontId="2" type="noConversion"/>
  </si>
  <si>
    <t>DCR分组极差</t>
    <phoneticPr fontId="2" type="noConversion"/>
  </si>
  <si>
    <t>★非涂覆区毛刺长度</t>
    <phoneticPr fontId="2" type="noConversion"/>
  </si>
  <si>
    <t>★非涂覆区毛刺长度</t>
    <phoneticPr fontId="2" type="noConversion"/>
  </si>
  <si>
    <t xml:space="preserve"> </t>
    <phoneticPr fontId="2" type="noConversion"/>
  </si>
  <si>
    <t xml:space="preserve">CALB普通商密▲3年
</t>
    <phoneticPr fontId="2" type="noConversion"/>
  </si>
  <si>
    <t>/</t>
    <phoneticPr fontId="2" type="noConversion"/>
  </si>
  <si>
    <t>化成后负极片厚度</t>
    <phoneticPr fontId="2" type="noConversion"/>
  </si>
  <si>
    <t>/</t>
    <phoneticPr fontId="2" type="noConversion"/>
  </si>
  <si>
    <t>极耳胶L1</t>
    <phoneticPr fontId="2" type="noConversion"/>
  </si>
  <si>
    <t>mV/h</t>
    <phoneticPr fontId="2" type="noConversion"/>
  </si>
  <si>
    <t>21.5±0.5</t>
    <phoneticPr fontId="2" type="noConversion"/>
  </si>
  <si>
    <t>22.5±0.5</t>
    <phoneticPr fontId="2" type="noConversion"/>
  </si>
  <si>
    <t>根据极片长度微调</t>
    <phoneticPr fontId="2" type="noConversion"/>
  </si>
  <si>
    <t>≥0.8</t>
    <phoneticPr fontId="2" type="noConversion"/>
  </si>
  <si>
    <t>≥0.8</t>
    <phoneticPr fontId="2" type="noConversion"/>
  </si>
  <si>
    <t>82.5±0.5</t>
    <phoneticPr fontId="2" type="noConversion"/>
  </si>
  <si>
    <t>g</t>
    <phoneticPr fontId="2" type="noConversion"/>
  </si>
  <si>
    <t>&gt;10 @ 300V, 5+2s</t>
    <phoneticPr fontId="2" type="noConversion"/>
  </si>
  <si>
    <t>&gt;10 @ 300V, 5+3s</t>
    <phoneticPr fontId="2" type="noConversion"/>
  </si>
  <si>
    <t>≤200</t>
    <phoneticPr fontId="2" type="noConversion"/>
  </si>
  <si>
    <t>87±0.5</t>
    <phoneticPr fontId="2" type="noConversion"/>
  </si>
  <si>
    <t>负极片反弹不大于6%</t>
    <phoneticPr fontId="2" type="noConversion"/>
  </si>
  <si>
    <t>82.0±0.5（含极耳胶3 mm）</t>
    <phoneticPr fontId="2" type="noConversion"/>
  </si>
  <si>
    <t>含极耳胶或带料区</t>
    <phoneticPr fontId="2" type="noConversion"/>
  </si>
  <si>
    <t>47±0.5</t>
    <phoneticPr fontId="2" type="noConversion"/>
  </si>
  <si>
    <t>附表(1.68)</t>
    <phoneticPr fontId="2" type="noConversion"/>
  </si>
  <si>
    <t>111±2</t>
    <phoneticPr fontId="2" type="noConversion"/>
  </si>
  <si>
    <t>5676.2±5</t>
    <phoneticPr fontId="2" type="noConversion"/>
  </si>
  <si>
    <t>5957.4±5</t>
    <phoneticPr fontId="2" type="noConversion"/>
  </si>
  <si>
    <t>144.9±0.3</t>
    <phoneticPr fontId="2" type="noConversion"/>
  </si>
  <si>
    <t>311.3±5.0</t>
    <phoneticPr fontId="2" type="noConversion"/>
  </si>
  <si>
    <t>Ω</t>
    <phoneticPr fontId="2" type="noConversion"/>
  </si>
  <si>
    <t>Ω</t>
    <phoneticPr fontId="2" type="noConversion"/>
  </si>
  <si>
    <t>全极耳</t>
    <phoneticPr fontId="2" type="noConversion"/>
  </si>
  <si>
    <t>mm</t>
    <phoneticPr fontId="2" type="noConversion"/>
  </si>
  <si>
    <t>★隔膜底部超出负极涂层尺寸</t>
    <phoneticPr fontId="2" type="noConversion"/>
  </si>
  <si>
    <t>★隔膜顶部超出极耳胶边缘尺寸</t>
    <phoneticPr fontId="2" type="noConversion"/>
  </si>
  <si>
    <t>★负极涂层底部超出正极涂层尺寸</t>
    <phoneticPr fontId="2" type="noConversion"/>
  </si>
  <si>
    <t>★负极涂层顶部超出正极涂层尺寸</t>
    <phoneticPr fontId="2" type="noConversion"/>
  </si>
  <si>
    <t>电芯卷绕后直径</t>
    <phoneticPr fontId="2" type="noConversion"/>
  </si>
  <si>
    <t>电芯重量</t>
    <phoneticPr fontId="2" type="noConversion"/>
  </si>
  <si>
    <t>★封口后绝缘阻值</t>
    <phoneticPr fontId="2" type="noConversion"/>
  </si>
  <si>
    <t>极耳宽度</t>
    <phoneticPr fontId="2" type="noConversion"/>
  </si>
  <si>
    <t>☆电池直径（圆柱专用）</t>
    <phoneticPr fontId="2" type="noConversion"/>
  </si>
  <si>
    <t>mm</t>
    <phoneticPr fontId="2" type="noConversion"/>
  </si>
  <si>
    <t>填写说明：</t>
    <phoneticPr fontId="2" type="noConversion"/>
  </si>
  <si>
    <t>1、</t>
    <phoneticPr fontId="2" type="noConversion"/>
  </si>
  <si>
    <t>2、</t>
    <phoneticPr fontId="2" type="noConversion"/>
  </si>
  <si>
    <t>根据组织管理程序，制程标准是设计部门向工艺部门传递的关键文件，用以指导样件和产品制造、工艺路线和设备开发、产线建设等；</t>
    <phoneticPr fontId="2" type="noConversion"/>
  </si>
  <si>
    <t>根据电池设计结构，选填“模切二分卷绕（方形）”、“切片叠片装配（方形）”、“模切二分卷绕（圆柱）”中一份，并将另两份内容清空隐藏、或删除；</t>
    <phoneticPr fontId="2" type="noConversion"/>
  </si>
  <si>
    <t>制程标准试制前输入一版，试制结束后应当根据试制总结修正一版，并在修订履历中注明；</t>
    <phoneticPr fontId="2" type="noConversion"/>
  </si>
  <si>
    <t>应当在“制程关注项”中明确注明样件或生产中的注意事项或重点关注项，工艺部门应当给予重点关注，并将其列入试制总结报告；</t>
    <phoneticPr fontId="2" type="noConversion"/>
  </si>
  <si>
    <t>☆粘附力</t>
    <phoneticPr fontId="2" type="noConversion"/>
  </si>
  <si>
    <t>卷针内径</t>
    <phoneticPr fontId="2" type="noConversion"/>
  </si>
  <si>
    <t>卷针外径</t>
    <phoneticPr fontId="2" type="noConversion"/>
  </si>
  <si>
    <t>卷针高度</t>
    <phoneticPr fontId="2" type="noConversion"/>
  </si>
  <si>
    <t>132±3</t>
    <phoneticPr fontId="2" type="noConversion"/>
  </si>
  <si>
    <t>/</t>
    <phoneticPr fontId="2" type="noConversion"/>
  </si>
  <si>
    <t>主材类型</t>
    <phoneticPr fontId="3" type="noConversion"/>
  </si>
  <si>
    <t>3）辊压厚度，单位微米，数值因应取整，压实密度应当以辊压厚度取整后数值重新计算填写；</t>
    <phoneticPr fontId="2" type="noConversion"/>
  </si>
  <si>
    <r>
      <t>制程标准模板中没有内容输入的项目应当划“/”，需补充项目可以增行插入，并标以</t>
    </r>
    <r>
      <rPr>
        <sz val="11"/>
        <rFont val="等线"/>
        <family val="3"/>
        <charset val="134"/>
        <scheme val="minor"/>
      </rPr>
      <t>浅绿色</t>
    </r>
    <r>
      <rPr>
        <sz val="11"/>
        <color theme="1"/>
        <rFont val="等线"/>
        <family val="2"/>
        <scheme val="minor"/>
      </rPr>
      <t>底纹；</t>
    </r>
    <phoneticPr fontId="2" type="noConversion"/>
  </si>
  <si>
    <t>制程标准版次从“00”开始，依次排序，不区分项目阶段。</t>
    <phoneticPr fontId="2" type="noConversion"/>
  </si>
  <si>
    <t>3、</t>
    <phoneticPr fontId="2" type="noConversion"/>
  </si>
  <si>
    <t>4、</t>
    <phoneticPr fontId="2" type="noConversion"/>
  </si>
  <si>
    <t>5、</t>
  </si>
  <si>
    <t>6、</t>
  </si>
  <si>
    <t>7、</t>
  </si>
  <si>
    <t>8、</t>
  </si>
  <si>
    <t>各项参数的测量方法、位置应当备注，工艺部门应当实现，或者采用可靠方法验证后转化；</t>
    <phoneticPr fontId="2" type="noConversion"/>
  </si>
  <si>
    <t>4.5（-0.5，+1.5）</t>
    <phoneticPr fontId="2" type="noConversion"/>
  </si>
  <si>
    <t>0~0.5mm</t>
    <phoneticPr fontId="2" type="noConversion"/>
  </si>
  <si>
    <t>/</t>
    <phoneticPr fontId="2" type="noConversion"/>
  </si>
  <si>
    <t>＞6</t>
    <phoneticPr fontId="2" type="noConversion"/>
  </si>
  <si>
    <t>29.1±0.5</t>
    <phoneticPr fontId="2" type="noConversion"/>
  </si>
  <si>
    <t>58±0.5</t>
    <phoneticPr fontId="2" type="noConversion"/>
  </si>
  <si>
    <t>58±0.5</t>
    <phoneticPr fontId="2" type="noConversion"/>
  </si>
  <si>
    <t>一层一极耳</t>
    <phoneticPr fontId="2" type="noConversion"/>
  </si>
  <si>
    <t>一层一极耳</t>
    <phoneticPr fontId="2" type="noConversion"/>
  </si>
  <si>
    <t>7+3+2+2</t>
    <phoneticPr fontId="2" type="noConversion"/>
  </si>
  <si>
    <t>100.4±0.5</t>
    <phoneticPr fontId="2" type="noConversion"/>
  </si>
  <si>
    <t>≥0.5</t>
    <phoneticPr fontId="2" type="noConversion"/>
  </si>
  <si>
    <t>≥0.5</t>
    <phoneticPr fontId="2" type="noConversion"/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</si>
  <si>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</si>
  <si>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</si>
  <si>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</si>
  <si>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</si>
  <si>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</si>
  <si>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</si>
  <si>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</si>
  <si>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</si>
  <si>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</si>
  <si>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</si>
  <si>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</si>
  <si>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</si>
  <si>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</si>
  <si>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</si>
  <si>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</si>
  <si>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</si>
  <si>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</si>
  <si>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</si>
  <si>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</si>
  <si>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</si>
  <si>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</si>
  <si>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</si>
  <si>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</si>
  <si>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</si>
  <si>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</si>
  <si>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</si>
  <si>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</si>
  <si>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</si>
  <si>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</si>
  <si>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</si>
  <si>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</si>
  <si>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</si>
  <si>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</si>
  <si>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</si>
  <si>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</si>
  <si>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</si>
  <si>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</si>
  <si>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</si>
  <si>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</si>
  <si>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</si>
  <si>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</si>
  <si>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</si>
  <si>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</si>
  <si>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</si>
  <si>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</si>
  <si>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</si>
  <si>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</si>
  <si>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</si>
  <si>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</si>
  <si>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</si>
  <si>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</si>
  <si>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</si>
  <si>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</si>
  <si>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</si>
  <si>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</si>
  <si>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</si>
  <si>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</si>
  <si>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</si>
  <si>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</si>
  <si>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</si>
  <si>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</si>
  <si>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</si>
  <si>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</si>
  <si>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</si>
  <si>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</si>
  <si>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</si>
  <si>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</si>
  <si>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</si>
  <si>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</si>
  <si>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</si>
  <si>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</si>
  <si>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</si>
  <si>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</si>
  <si>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</si>
  <si>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</si>
  <si>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</si>
  <si>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</si>
  <si>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</si>
  <si>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</si>
  <si>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</si>
  <si>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</si>
  <si>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2）采购件公差与技术协议或入检标准或图纸应保持一致；自制件公差参考以往试制标准，或与工艺工程师协商制定；非一次制造公差，应当根据公式计算确定；</t>
    <phoneticPr fontId="2" type="noConversion"/>
  </si>
  <si>
    <t>制程标准应该明确设计、工艺、制造中关系产品性能的参数，工艺部门应根据制程标准，准确转化为工艺路线中准确实施的CP、SOP等文件；</t>
    <phoneticPr fontId="2" type="noConversion"/>
  </si>
  <si>
    <t>1）合浆配方中填写主材类型，以便工艺工程师制定化成配方；并备注各组分固含量，不备注默认为100%；</t>
    <phoneticPr fontId="2" type="noConversion"/>
  </si>
  <si>
    <t>4）负极片装配反弹和干燥反弹率应当定义范围，并重新计算厚度范围；</t>
    <phoneticPr fontId="2" type="noConversion"/>
  </si>
  <si>
    <t>5）总注液量中，备注电芯空隙吸液量，及注液系数；</t>
    <phoneticPr fontId="2" type="noConversion"/>
  </si>
  <si>
    <t>95.4±0.5（含极耳胶2.5 mm）</t>
    <phoneticPr fontId="2" type="noConversion"/>
  </si>
  <si>
    <t>95.4±0.5</t>
    <phoneticPr fontId="2" type="noConversion"/>
  </si>
  <si>
    <t>与模切参数匹配</t>
    <phoneticPr fontId="2" type="noConversion"/>
  </si>
  <si>
    <t>190.7±0.5</t>
    <phoneticPr fontId="2" type="noConversion"/>
  </si>
  <si>
    <t xml:space="preserve">350石墨 </t>
    <phoneticPr fontId="2" type="noConversion"/>
  </si>
  <si>
    <t>D104</t>
  </si>
  <si>
    <t>D105</t>
  </si>
  <si>
    <t>D106</t>
  </si>
  <si>
    <t>D107</t>
  </si>
  <si>
    <t>28.6±0.5</t>
    <phoneticPr fontId="2" type="noConversion"/>
  </si>
  <si>
    <t>80±2</t>
    <phoneticPr fontId="2" type="noConversion"/>
  </si>
  <si>
    <t>883.6±21.0</t>
    <phoneticPr fontId="2" type="noConversion"/>
  </si>
  <si>
    <t>19407.14±3.00</t>
    <phoneticPr fontId="2" type="noConversion"/>
  </si>
  <si>
    <t>58±0.5</t>
    <phoneticPr fontId="2" type="noConversion"/>
  </si>
  <si>
    <t>28.6±0.5</t>
    <phoneticPr fontId="2" type="noConversion"/>
  </si>
  <si>
    <t>31.1±0.5</t>
    <phoneticPr fontId="2" type="noConversion"/>
  </si>
  <si>
    <t>92.9±0.5</t>
    <phoneticPr fontId="2" type="noConversion"/>
  </si>
  <si>
    <t>95.4±0.5</t>
    <phoneticPr fontId="2" type="noConversion"/>
  </si>
  <si>
    <t>19008.18±3.00</t>
    <phoneticPr fontId="2" type="noConversion"/>
  </si>
  <si>
    <t>105±3</t>
    <phoneticPr fontId="2" type="noConversion"/>
  </si>
  <si>
    <t>负极片反弹5%</t>
    <phoneticPr fontId="2" type="noConversion"/>
  </si>
  <si>
    <t>★热压时绝缘压降</t>
    <phoneticPr fontId="2" type="noConversion"/>
  </si>
  <si>
    <t>MΩ</t>
    <phoneticPr fontId="2" type="noConversion"/>
  </si>
  <si>
    <t xml:space="preserve">200V、200ms @ Vd1=4%,Vd2=8% </t>
    <phoneticPr fontId="2" type="noConversion"/>
  </si>
  <si>
    <t>★封口后绝缘压降</t>
    <phoneticPr fontId="2" type="noConversion"/>
  </si>
  <si>
    <t>MΩ</t>
    <phoneticPr fontId="2" type="noConversion"/>
  </si>
  <si>
    <t>21.8±0.3</t>
    <phoneticPr fontId="2" type="noConversion"/>
  </si>
  <si>
    <t>43.6±0.6 @ 300kgf</t>
    <phoneticPr fontId="2" type="noConversion"/>
  </si>
  <si>
    <t>★极耳胶区毛刺长度</t>
    <phoneticPr fontId="2" type="noConversion"/>
  </si>
  <si>
    <t>≤20</t>
    <phoneticPr fontId="2" type="noConversion"/>
  </si>
  <si>
    <t>≤70</t>
    <phoneticPr fontId="2" type="noConversion"/>
  </si>
  <si>
    <t>勃姆石BMS-05/HSV900=83/17</t>
    <phoneticPr fontId="2" type="noConversion"/>
  </si>
  <si>
    <t>NMP</t>
    <phoneticPr fontId="2" type="noConversion"/>
  </si>
  <si>
    <t>耐高温涂层面方向</t>
    <phoneticPr fontId="2" type="noConversion"/>
  </si>
  <si>
    <t>/</t>
    <phoneticPr fontId="2" type="noConversion"/>
  </si>
  <si>
    <t>g</t>
    <phoneticPr fontId="2" type="noConversion"/>
  </si>
  <si>
    <t>干燥后电池重量</t>
    <phoneticPr fontId="2" type="noConversion"/>
  </si>
  <si>
    <t>12±1</t>
    <phoneticPr fontId="2" type="noConversion"/>
  </si>
  <si>
    <t>32.4±1.0 （以实测为准）</t>
    <phoneticPr fontId="2" type="noConversion"/>
  </si>
  <si>
    <t>★负极耳侧负极超出正极尺寸</t>
    <phoneticPr fontId="2" type="noConversion"/>
  </si>
  <si>
    <t>★正极耳侧负极超出正极尺寸</t>
    <phoneticPr fontId="2" type="noConversion"/>
  </si>
  <si>
    <t>一注</t>
    <phoneticPr fontId="2" type="noConversion"/>
  </si>
  <si>
    <t>＜1.0</t>
    <phoneticPr fontId="2" type="noConversion"/>
  </si>
  <si>
    <t>留白区L4</t>
    <phoneticPr fontId="2" type="noConversion"/>
  </si>
  <si>
    <t>收集分布，注意电芯是否分层</t>
    <phoneticPr fontId="2" type="noConversion"/>
  </si>
  <si>
    <t>收集电池半电芯重量</t>
    <phoneticPr fontId="2" type="noConversion"/>
  </si>
  <si>
    <t>收集极片重量</t>
    <phoneticPr fontId="2" type="noConversion"/>
  </si>
  <si>
    <t>边电压</t>
    <phoneticPr fontId="2" type="noConversion"/>
  </si>
  <si>
    <t>2.2-3.2V</t>
    <phoneticPr fontId="2" type="noConversion"/>
  </si>
  <si>
    <t>V</t>
    <phoneticPr fontId="2" type="noConversion"/>
  </si>
  <si>
    <t>混合样</t>
    <phoneticPr fontId="2" type="noConversion"/>
  </si>
  <si>
    <t>参考值，实际以分选结果为准</t>
    <phoneticPr fontId="2" type="noConversion"/>
  </si>
  <si>
    <t>收集分布</t>
    <phoneticPr fontId="2" type="noConversion"/>
  </si>
  <si>
    <t>300kgf压力</t>
    <phoneticPr fontId="2" type="noConversion"/>
  </si>
  <si>
    <t>最宽处</t>
    <phoneticPr fontId="2" type="noConversion"/>
  </si>
  <si>
    <t>检测化成后极片厚度</t>
    <phoneticPr fontId="2" type="noConversion"/>
  </si>
  <si>
    <t>检测定容后极片厚度</t>
    <phoneticPr fontId="2" type="noConversion"/>
  </si>
  <si>
    <t>40±1.5（以实测为准）</t>
    <phoneticPr fontId="2" type="noConversion"/>
  </si>
  <si>
    <t>≤20</t>
    <phoneticPr fontId="2" type="noConversion"/>
  </si>
  <si>
    <t>/</t>
    <phoneticPr fontId="2" type="noConversion"/>
  </si>
  <si>
    <t>根据数据分布确定标准</t>
    <phoneticPr fontId="2" type="noConversion"/>
  </si>
  <si>
    <t>根据数据分布确定标准</t>
    <phoneticPr fontId="2" type="noConversion"/>
  </si>
  <si>
    <t>根据数据分布分析</t>
    <phoneticPr fontId="2" type="noConversion"/>
  </si>
  <si>
    <t>初版，产线评估</t>
    <phoneticPr fontId="2" type="noConversion"/>
  </si>
  <si>
    <t>4.4V-Ni6</t>
    <phoneticPr fontId="2" type="noConversion"/>
  </si>
  <si>
    <t>1.25±0.6</t>
    <phoneticPr fontId="2" type="noConversion"/>
  </si>
  <si>
    <t>1.15±0.6</t>
    <phoneticPr fontId="2" type="noConversion"/>
  </si>
  <si>
    <t>过程收集数据</t>
    <phoneticPr fontId="2" type="noConversion"/>
  </si>
  <si>
    <t>461.6±0.5mm</t>
    <phoneticPr fontId="2" type="noConversion"/>
  </si>
  <si>
    <t>(单条幅 1出二)箔宽:</t>
    <phoneticPr fontId="2" type="noConversion"/>
  </si>
  <si>
    <t>1.5±0.8</t>
    <phoneticPr fontId="2" type="noConversion"/>
  </si>
  <si>
    <t>245.5±0.4</t>
    <phoneticPr fontId="2" type="noConversion"/>
  </si>
  <si>
    <t>2.0±0.8</t>
    <phoneticPr fontId="2" type="noConversion"/>
  </si>
  <si>
    <t>2.1±0.8</t>
    <phoneticPr fontId="2" type="noConversion"/>
  </si>
  <si>
    <t>2.1±0.8</t>
    <phoneticPr fontId="2" type="noConversion"/>
  </si>
  <si>
    <t>不切底</t>
    <phoneticPr fontId="2" type="noConversion"/>
  </si>
  <si>
    <t>根据化成DOE</t>
    <phoneticPr fontId="2" type="noConversion"/>
  </si>
  <si>
    <t>C750B / PVDF5130 / 108-43 / SP
= 97.8 / 1.1 / 0.6 / 0.5</t>
    <phoneticPr fontId="2" type="noConversion"/>
  </si>
  <si>
    <t>7+1.2+1.2+1+1</t>
    <phoneticPr fontId="2" type="noConversion"/>
  </si>
  <si>
    <t>40.4±0.3</t>
    <phoneticPr fontId="2" type="noConversion"/>
  </si>
  <si>
    <t>★电池K值（风险）</t>
    <phoneticPr fontId="2" type="noConversion"/>
  </si>
  <si>
    <t>上层：PA21-E /  CMC2300 / LA134D / B1601 / SP 
=97.2 / 0.6 / 0.8 / 0.8 / 0.6
下层：PA21 /  CMC2300 /LA134D / B1601 / SP 
=96.4 / 0.6 / 1.0 / 1.4 / 0.6</t>
    <phoneticPr fontId="2" type="noConversion"/>
  </si>
  <si>
    <t>双面</t>
    <phoneticPr fontId="2" type="noConversion"/>
  </si>
  <si>
    <t>10~40</t>
    <phoneticPr fontId="2" type="noConversion"/>
  </si>
  <si>
    <t>20~80</t>
    <phoneticPr fontId="2" type="noConversion"/>
  </si>
  <si>
    <t>454±0.5mm</t>
    <phoneticPr fontId="2" type="noConversion"/>
  </si>
  <si>
    <t xml:space="preserve">       5、电池厚度公差计算逻辑：半电芯厚度偏差之间按照概率公差进行；壳体厚度偏差按照极限公差进行</t>
    <phoneticPr fontId="2" type="noConversion"/>
  </si>
  <si>
    <t xml:space="preserve">       4、半电芯厚度公差计算逻辑：所有正极片/负极片厚度偏差造成的半电芯厚度偏差按照极限公差进行；正极片和负极片厚度偏差之间按照概率公差进行；热压后隔膜厚度偏差波动较小，偏差计算时可以忽略</t>
    <phoneticPr fontId="2" type="noConversion"/>
  </si>
  <si>
    <t xml:space="preserve">       3、电池厚度=半电芯厚度*半电芯数量+低粘膜厚度*层数+L型包胶厚度*层数+壳体大面壁厚度*2+蓝膜厚度*层数</t>
    <phoneticPr fontId="2" type="noConversion"/>
  </si>
  <si>
    <t xml:space="preserve">       2、JR半电芯厚度=正极片厚度*正极片层数+隔膜厚度*隔膜层数+负极片厚度*负极片层数</t>
    <phoneticPr fontId="2" type="noConversion"/>
  </si>
  <si>
    <t>注：1、壳体侧边刚性较强，不易变形，极耳保护胶、焊印保护胶由于在侧边，与正负极涂覆区域几乎无重叠，且正负极边缘侧有削薄，不计入厚度尺寸链</t>
    <phoneticPr fontId="2" type="noConversion"/>
  </si>
  <si>
    <t>/</t>
    <phoneticPr fontId="2" type="noConversion"/>
  </si>
  <si>
    <t>超厚/mm</t>
    <phoneticPr fontId="2" type="noConversion"/>
  </si>
  <si>
    <t>松紧比</t>
    <phoneticPr fontId="2" type="noConversion"/>
  </si>
  <si>
    <t>EOL满电</t>
    <phoneticPr fontId="2" type="noConversion"/>
  </si>
  <si>
    <t>BOL满电</t>
    <phoneticPr fontId="2" type="noConversion"/>
  </si>
  <si>
    <t>出货（70%SOC）</t>
    <phoneticPr fontId="2" type="noConversion"/>
  </si>
  <si>
    <t>入壳</t>
    <phoneticPr fontId="2" type="noConversion"/>
  </si>
  <si>
    <t>设计参数</t>
    <phoneticPr fontId="2" type="noConversion"/>
  </si>
  <si>
    <t>层数</t>
    <phoneticPr fontId="2" type="noConversion"/>
  </si>
  <si>
    <t>厚度/mm</t>
    <phoneticPr fontId="2" type="noConversion"/>
  </si>
  <si>
    <t>铝箔厚度</t>
    <phoneticPr fontId="2" type="noConversion"/>
  </si>
  <si>
    <t>铜箔厚度</t>
    <phoneticPr fontId="2" type="noConversion"/>
  </si>
  <si>
    <t>电池厚度</t>
    <phoneticPr fontId="2" type="noConversion"/>
  </si>
  <si>
    <t>JR数量</t>
    <phoneticPr fontId="2" type="noConversion"/>
  </si>
  <si>
    <t>叠片收尾胶</t>
    <phoneticPr fontId="2" type="noConversion"/>
  </si>
  <si>
    <t>蓝膜</t>
    <phoneticPr fontId="2" type="noConversion"/>
  </si>
  <si>
    <t>大面壁厚公差</t>
    <phoneticPr fontId="2" type="noConversion"/>
  </si>
  <si>
    <t>壳体大面壁厚</t>
    <phoneticPr fontId="2" type="noConversion"/>
  </si>
  <si>
    <t>L型包胶</t>
    <phoneticPr fontId="2" type="noConversion"/>
  </si>
  <si>
    <t>低粘膜</t>
    <phoneticPr fontId="2" type="noConversion"/>
  </si>
  <si>
    <t>隔膜(化成后，包含液膜)</t>
    <phoneticPr fontId="2" type="noConversion"/>
  </si>
  <si>
    <t>隔膜（热压后）厚度公差</t>
    <phoneticPr fontId="2" type="noConversion"/>
  </si>
  <si>
    <t>隔膜（热压后）厚度</t>
    <phoneticPr fontId="2" type="noConversion"/>
  </si>
  <si>
    <t>基本设计信息</t>
    <phoneticPr fontId="2" type="noConversion"/>
  </si>
  <si>
    <t>公差/mm</t>
    <phoneticPr fontId="2" type="noConversion"/>
  </si>
  <si>
    <t>电池厚度/mm</t>
    <phoneticPr fontId="2" type="noConversion"/>
  </si>
  <si>
    <t>EOL满电态</t>
    <phoneticPr fontId="2" type="noConversion"/>
  </si>
  <si>
    <t>BOL满电态</t>
    <phoneticPr fontId="2" type="noConversion"/>
  </si>
  <si>
    <t>70%SOC</t>
    <phoneticPr fontId="2" type="noConversion"/>
  </si>
  <si>
    <t>电池</t>
    <phoneticPr fontId="2" type="noConversion"/>
  </si>
  <si>
    <t>半电芯厚度/mm</t>
    <phoneticPr fontId="2" type="noConversion"/>
  </si>
  <si>
    <t>热压</t>
    <phoneticPr fontId="2" type="noConversion"/>
  </si>
  <si>
    <t>半电芯</t>
    <phoneticPr fontId="2" type="noConversion"/>
  </si>
  <si>
    <t>公差</t>
    <phoneticPr fontId="2" type="noConversion"/>
  </si>
  <si>
    <t>负极</t>
    <phoneticPr fontId="2" type="noConversion"/>
  </si>
  <si>
    <t>正极</t>
    <phoneticPr fontId="2" type="noConversion"/>
  </si>
  <si>
    <t>EOL满电极片厚度/μm</t>
    <phoneticPr fontId="2" type="noConversion"/>
  </si>
  <si>
    <t>EOL满电反弹率</t>
    <phoneticPr fontId="2" type="noConversion"/>
  </si>
  <si>
    <t>BOL满电极片厚度/μm</t>
    <phoneticPr fontId="2" type="noConversion"/>
  </si>
  <si>
    <t>BOL满电反弹率</t>
    <phoneticPr fontId="2" type="noConversion"/>
  </si>
  <si>
    <t>70%SOC极片厚度/μm</t>
    <phoneticPr fontId="2" type="noConversion"/>
  </si>
  <si>
    <t>70%SOC反弹率</t>
    <phoneticPr fontId="2" type="noConversion"/>
  </si>
  <si>
    <t>装配段极片厚度/μm</t>
    <phoneticPr fontId="2" type="noConversion"/>
  </si>
  <si>
    <t>极片物理反弹率</t>
    <phoneticPr fontId="2" type="noConversion"/>
  </si>
  <si>
    <t>辊压厚度/μm</t>
    <phoneticPr fontId="2" type="noConversion"/>
  </si>
  <si>
    <t>极片层数</t>
    <phoneticPr fontId="2" type="noConversion"/>
  </si>
  <si>
    <t>压实密度</t>
    <phoneticPr fontId="2" type="noConversion"/>
  </si>
  <si>
    <t>面密度</t>
    <phoneticPr fontId="2" type="noConversion"/>
  </si>
  <si>
    <t>极片</t>
    <phoneticPr fontId="2" type="noConversion"/>
  </si>
  <si>
    <t>电池厚度计算表</t>
    <phoneticPr fontId="2" type="noConversion"/>
  </si>
  <si>
    <t>B1</t>
    <phoneticPr fontId="2" type="noConversion"/>
  </si>
  <si>
    <t>122.5±0.5（总高）
120.0±0.4（肩高）</t>
    <phoneticPr fontId="2" type="noConversion"/>
  </si>
  <si>
    <t>压实降低</t>
    <phoneticPr fontId="2" type="noConversion"/>
  </si>
  <si>
    <t>L246N183A-B2验证样-设计制程标准</t>
    <phoneticPr fontId="2" type="noConversion"/>
  </si>
  <si>
    <t>L246N183A-B2样-ZCBZ</t>
    <phoneticPr fontId="2" type="noConversion"/>
  </si>
  <si>
    <t>B2</t>
    <phoneticPr fontId="2" type="noConversion"/>
  </si>
  <si>
    <t>110.4±0.3</t>
    <phoneticPr fontId="2" type="noConversion"/>
  </si>
  <si>
    <t>108.1±0.3</t>
    <phoneticPr fontId="2" type="noConversion"/>
  </si>
  <si>
    <r>
      <rPr>
        <sz val="12"/>
        <color theme="1"/>
        <rFont val="等线"/>
        <family val="3"/>
        <charset val="134"/>
        <scheme val="minor"/>
      </rPr>
      <t>2.5-4.4V</t>
    </r>
    <r>
      <rPr>
        <sz val="10"/>
        <color theme="1"/>
        <rFont val="等线"/>
        <family val="3"/>
        <charset val="134"/>
        <scheme val="minor"/>
      </rPr>
      <t>，恒流放电容量，25℃
客户要求容量3%；需考虑分档</t>
    </r>
    <phoneticPr fontId="2" type="noConversion"/>
  </si>
  <si>
    <t>B2</t>
    <phoneticPr fontId="2" type="noConversion"/>
  </si>
  <si>
    <t>面密度降低</t>
    <phoneticPr fontId="2" type="noConversion"/>
  </si>
  <si>
    <t>97.5±2</t>
    <phoneticPr fontId="2" type="noConversion"/>
  </si>
  <si>
    <t>厚度变化（二次辊压）</t>
    <phoneticPr fontId="2" type="noConversion"/>
  </si>
  <si>
    <t>6.01±0.12</t>
    <phoneticPr fontId="2" type="noConversion"/>
  </si>
  <si>
    <t>98±2.0</t>
    <phoneticPr fontId="2" type="noConversion"/>
  </si>
  <si>
    <t>负极反弹3%-4%</t>
    <phoneticPr fontId="2" type="noConversion"/>
  </si>
  <si>
    <t>1005±15</t>
    <phoneticPr fontId="2" type="noConversion"/>
  </si>
  <si>
    <t>2770±20</t>
    <phoneticPr fontId="2" type="noConversion"/>
  </si>
  <si>
    <t>化成液失量</t>
    <phoneticPr fontId="2" type="noConversion"/>
  </si>
  <si>
    <t>g</t>
    <phoneticPr fontId="2" type="noConversion"/>
  </si>
  <si>
    <t>＜8g</t>
    <phoneticPr fontId="2" type="noConversion"/>
  </si>
  <si>
    <t>新增液失量标准（二次辊压&amp;电解液增加）数据统计未7月份投料做支撑</t>
    <phoneticPr fontId="2" type="noConversion"/>
  </si>
  <si>
    <t>保液量</t>
    <phoneticPr fontId="2" type="noConversion"/>
  </si>
  <si>
    <t>＞486g</t>
    <phoneticPr fontId="2" type="noConversion"/>
  </si>
  <si>
    <t>电解液型号</t>
    <phoneticPr fontId="2" type="noConversion"/>
  </si>
  <si>
    <t>g</t>
    <phoneticPr fontId="2" type="noConversion"/>
  </si>
  <si>
    <t>二注电解液</t>
    <phoneticPr fontId="2" type="noConversion"/>
  </si>
  <si>
    <t>削薄标准</t>
  </si>
  <si>
    <t>负极边缘</t>
  </si>
  <si>
    <t>正极中间</t>
  </si>
  <si>
    <t>正极边缘1mm</t>
  </si>
  <si>
    <t>(0-10) μ</t>
  </si>
  <si>
    <t>正极边缘3mm</t>
  </si>
  <si>
    <t>(0-6) μ</t>
  </si>
  <si>
    <r>
      <t>2mm</t>
    </r>
    <r>
      <rPr>
        <sz val="11"/>
        <color rgb="FF000000"/>
        <rFont val="Arial"/>
        <family val="2"/>
      </rPr>
      <t>处</t>
    </r>
  </si>
  <si>
    <r>
      <t>0mm</t>
    </r>
    <r>
      <rPr>
        <sz val="11"/>
        <color rgb="FF000000"/>
        <rFont val="Arial"/>
        <family val="2"/>
      </rPr>
      <t>处</t>
    </r>
  </si>
  <si>
    <r>
      <t>（</t>
    </r>
    <r>
      <rPr>
        <sz val="11"/>
        <color rgb="FFFF0000"/>
        <rFont val="Calibri"/>
        <family val="2"/>
      </rPr>
      <t>3</t>
    </r>
    <r>
      <rPr>
        <sz val="11"/>
        <color rgb="FF000000"/>
        <rFont val="Calibri"/>
        <family val="2"/>
      </rPr>
      <t>~8</t>
    </r>
    <r>
      <rPr>
        <sz val="11"/>
        <color rgb="FF000000"/>
        <rFont val="等线"/>
        <family val="3"/>
        <charset val="134"/>
      </rPr>
      <t>）</t>
    </r>
    <r>
      <rPr>
        <sz val="11"/>
        <color rgb="FF000000"/>
        <rFont val="Calibri"/>
        <family val="2"/>
      </rPr>
      <t>μm</t>
    </r>
  </si>
  <si>
    <r>
      <t>（</t>
    </r>
    <r>
      <rPr>
        <sz val="11"/>
        <color rgb="FF000000"/>
        <rFont val="Calibri"/>
        <family val="2"/>
      </rPr>
      <t>-2~</t>
    </r>
    <r>
      <rPr>
        <sz val="11"/>
        <color rgb="FFFF0000"/>
        <rFont val="Calibri"/>
        <family val="2"/>
      </rPr>
      <t>5</t>
    </r>
    <r>
      <rPr>
        <sz val="11"/>
        <color rgb="FF000000"/>
        <rFont val="等线"/>
        <family val="3"/>
        <charset val="134"/>
      </rPr>
      <t>）</t>
    </r>
    <r>
      <rPr>
        <sz val="11"/>
        <color rgb="FF000000"/>
        <rFont val="Calibri"/>
        <family val="2"/>
      </rPr>
      <t>μm</t>
    </r>
  </si>
  <si>
    <r>
      <t>8mm</t>
    </r>
    <r>
      <rPr>
        <sz val="11"/>
        <color rgb="FF000000"/>
        <rFont val="Arial"/>
        <family val="2"/>
      </rPr>
      <t>处</t>
    </r>
  </si>
  <si>
    <r>
      <t>6mm</t>
    </r>
    <r>
      <rPr>
        <sz val="11"/>
        <color rgb="FF000000"/>
        <rFont val="Arial"/>
        <family val="2"/>
      </rPr>
      <t>处</t>
    </r>
  </si>
  <si>
    <r>
      <t>（</t>
    </r>
    <r>
      <rPr>
        <sz val="11"/>
        <color rgb="FFFF0000"/>
        <rFont val="Calibri"/>
        <family val="2"/>
      </rPr>
      <t>1</t>
    </r>
    <r>
      <rPr>
        <sz val="11"/>
        <color rgb="FF000000"/>
        <rFont val="Calibri"/>
        <family val="2"/>
      </rPr>
      <t>~5</t>
    </r>
    <r>
      <rPr>
        <sz val="11"/>
        <color rgb="FF000000"/>
        <rFont val="等线"/>
        <family val="3"/>
        <charset val="134"/>
      </rPr>
      <t>）</t>
    </r>
    <r>
      <rPr>
        <sz val="11"/>
        <color rgb="FF000000"/>
        <rFont val="Calibri"/>
        <family val="2"/>
      </rPr>
      <t>um</t>
    </r>
  </si>
  <si>
    <t>27.7±0.7mm</t>
    <phoneticPr fontId="2" type="noConversion"/>
  </si>
  <si>
    <t>＜800</t>
    <phoneticPr fontId="2" type="noConversion"/>
  </si>
  <si>
    <t>层数增加2层</t>
    <phoneticPr fontId="2" type="noConversion"/>
  </si>
  <si>
    <t>29.5±0.7mm</t>
    <phoneticPr fontId="2" type="noConversion"/>
  </si>
  <si>
    <t>8.13±0.16</t>
    <phoneticPr fontId="2" type="noConversion"/>
  </si>
  <si>
    <t>130±4</t>
    <phoneticPr fontId="2" type="noConversion"/>
  </si>
  <si>
    <t>2262±20</t>
    <phoneticPr fontId="2" type="noConversion"/>
  </si>
  <si>
    <t>1、面密度调整
a. 正极双面面密度由325.2±4.9变更为310.4±4.7
b. 负极双面面密度由208.3±3.1变更为199.4±3.0
2、辊压厚度调整
a. 正极辊压厚度由104±2变更为100.5±2；
b. 负极辊压厚度由134±2变更为129±2
3、切片高度尺寸调整
a. 正极极片高度由103.2±0.3变更为107.2±0.3；
b. 负极极片高度由105.5±0.3变更为109.5±0.3；
4、隔膜种类由7+3+2变更为7+1.2+1.2+1+1
5、半电芯厚度由18±0.27mm变更为17.36±0.27mm
6、半电芯重量由1004.5±15变更更为1006±15
7、干燥后电池重量由2259±20变更为2261±20
8、注液比例调整
12、电池厚度由41.7±0.3变更为40.4±0.3
9、电池高度由117.6±0.5（总高）115.1±0.4（肩高）变更为125.5±0.5（总高）
120.0±0.4（肩高）
10、干燥后电池重量变更
干燥后电池重量由2261±20变更为</t>
    <phoneticPr fontId="2" type="noConversion"/>
  </si>
  <si>
    <t>合浆</t>
    <phoneticPr fontId="2" type="noConversion"/>
  </si>
  <si>
    <t>面密度降低</t>
    <phoneticPr fontId="2" type="noConversion"/>
  </si>
  <si>
    <t>4.0±1.0mm</t>
    <phoneticPr fontId="2" type="noConversion"/>
  </si>
  <si>
    <t>298.2±4.5（1.5%）</t>
    <phoneticPr fontId="2" type="noConversion"/>
  </si>
  <si>
    <t>149.1±2.3（1.5%）</t>
    <phoneticPr fontId="2" type="noConversion"/>
  </si>
  <si>
    <t>单面底层面密度：48.1±1.5
单面面密度：96.1±1.5（1.5%）</t>
    <phoneticPr fontId="2" type="noConversion"/>
  </si>
  <si>
    <t>双面底层面密度：144.1±2.2
双面面密度：192.1±2.9（1.5%）</t>
    <phoneticPr fontId="2" type="noConversion"/>
  </si>
  <si>
    <t>建议收严</t>
    <phoneticPr fontId="2" type="noConversion"/>
  </si>
  <si>
    <t>≤3.0</t>
    <phoneticPr fontId="2" type="noConversion"/>
  </si>
  <si>
    <t>辊压厚度：126±2</t>
    <phoneticPr fontId="2" type="noConversion"/>
  </si>
  <si>
    <t>230.8±0.5</t>
    <phoneticPr fontId="2" type="noConversion"/>
  </si>
  <si>
    <t>极片总长</t>
    <phoneticPr fontId="2" type="noConversion"/>
  </si>
  <si>
    <t>涂覆长度</t>
    <phoneticPr fontId="2" type="noConversion"/>
  </si>
  <si>
    <t>258.5±0.8</t>
    <phoneticPr fontId="2" type="noConversion"/>
  </si>
  <si>
    <t>256.8±0.8</t>
    <phoneticPr fontId="2" type="noConversion"/>
  </si>
  <si>
    <t>极片加高0.9 mm</t>
    <phoneticPr fontId="2" type="noConversion"/>
  </si>
  <si>
    <t>极片加高0.9 mm</t>
    <phoneticPr fontId="2" type="noConversion"/>
  </si>
  <si>
    <t>227.3±0.5</t>
    <phoneticPr fontId="2" type="noConversion"/>
  </si>
  <si>
    <t>17.4±0.3mm @ 300kgf</t>
    <phoneticPr fontId="2" type="noConversion"/>
  </si>
  <si>
    <t>★热压后绝缘压降</t>
    <phoneticPr fontId="2" type="noConversion"/>
  </si>
  <si>
    <t>★封口后绝缘压降</t>
    <phoneticPr fontId="2" type="noConversion"/>
  </si>
  <si>
    <t>V</t>
    <phoneticPr fontId="2" type="noConversion"/>
  </si>
  <si>
    <t>V</t>
    <phoneticPr fontId="2" type="noConversion"/>
  </si>
  <si>
    <t>★封口后绝缘阻值</t>
    <phoneticPr fontId="2" type="noConversion"/>
  </si>
  <si>
    <t>MΩ</t>
    <phoneticPr fontId="2" type="noConversion"/>
  </si>
  <si>
    <t>≥200MΩ @ 500V</t>
    <phoneticPr fontId="2" type="noConversion"/>
  </si>
  <si>
    <t xml:space="preserve"> Vd1=4%,Vd2=8% @200V</t>
    <phoneticPr fontId="2" type="noConversion"/>
  </si>
  <si>
    <t>Vd1=4%,Vd2=8% @200V</t>
    <phoneticPr fontId="2" type="noConversion"/>
  </si>
  <si>
    <t>NGE034</t>
    <phoneticPr fontId="2" type="noConversion"/>
  </si>
  <si>
    <t>NGE033</t>
    <phoneticPr fontId="2" type="noConversion"/>
  </si>
  <si>
    <t>一次注液:  450±4g
二次注液：49±3g</t>
    <phoneticPr fontId="2" type="noConversion"/>
  </si>
  <si>
    <t>二注方案（电解液增加8g）
一注多注3g,抵消液失量，保证电池重量均值</t>
    <phoneticPr fontId="2" type="noConversion"/>
  </si>
  <si>
    <t>188-195.0 （0.33C容量标准）</t>
    <phoneticPr fontId="2" type="noConversion"/>
  </si>
  <si>
    <t>≤0.03</t>
    <phoneticPr fontId="2" type="noConversion"/>
  </si>
  <si>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Calibri"/>
        <family val="2"/>
      </rPr>
      <t>-2~</t>
    </r>
    <r>
      <rPr>
        <sz val="11"/>
        <color rgb="FFFF0000"/>
        <rFont val="Calibri"/>
        <family val="2"/>
      </rPr>
      <t>6</t>
    </r>
    <r>
      <rPr>
        <sz val="11"/>
        <color rgb="FF000000"/>
        <rFont val="宋体"/>
        <family val="3"/>
        <charset val="134"/>
      </rPr>
      <t>）</t>
    </r>
    <r>
      <rPr>
        <sz val="11"/>
        <color rgb="FF000000"/>
        <rFont val="Calibri"/>
        <family val="2"/>
      </rPr>
      <t>μm</t>
    </r>
    <phoneticPr fontId="2" type="noConversion"/>
  </si>
  <si>
    <t>1.面密度调整
a.正极双面面密度由310.4±4.7变更为298.2±4.47
b.负极双面面密度由199.4±3.0变更为192.1±2.88
2.留白区宽度调整
a.正极由29.5±0.5变更为29.5±0.7
b.负极由27.7±0.5变更为27.7±0.7
3.辊压后厚度变化
a.正极厚度由100.5±2变更为97.5±2
b.负极厚度由129±2变更为126±2
4.极片宽度变更
a.正极片宽度由107.2±0.3变更为108.1±0.3
b.负极片宽度由109.5±0.3变更为110.4±0.3
5.极片重量变化
a.正极片重量由8.44±0.16变更为8.13±0.16
b.负极片重量由6.17±0.12变更为6.01±0.12
6.叠片层数变更
a.正极片层数由66变更为68
b.负极片层数由67变更为69
7.叠片前极片厚度变更
a.正极片由101±2.0变更为98±2.0
b.负极片由135±3.5变更为130±4
8.半电芯厚度变更
半电芯厚度由17.36±0.27mm @ 300kgf变更为17.4±0.3mm @ 300kgf
9.半电芯重量变更
半电芯重量由1006±15变更为1005±15
10.干燥后电池重量变更
干燥后电池重量由2261±20变更为2262±20
11.注液量变更
注液量由一注439，二注49变更为一注447，二注49
12.新增化成失液量标准
化成失液量&lt;8g
13.新增保液量标准
保液量&gt;486g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</si>
</sst>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"/>
    <numFmt numFmtId="177" formatCode="0.0_ "/>
    <numFmt numFmtId="178" formatCode="0.00_ "/>
    <numFmt numFmtId="179" formatCode="0.0%"/>
    <numFmt numFmtId="180" formatCode="0.000"/>
    <numFmt numFmtId="181" formatCode="0.0000_ "/>
    <numFmt numFmtId="182" formatCode="0.000_ "/>
  </numFmts>
  <fonts count="66">
    <font>
      <sz val="11"/>
      <color theme="1"/>
      <name val="等线"/>
      <family val="2"/>
      <scheme val="minor"/>
    </font>
    <font>
      <sz val="16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6"/>
      <name val="Times New Roman"/>
      <family val="1"/>
    </font>
    <font>
      <sz val="12"/>
      <color theme="1"/>
      <name val="等线"/>
      <family val="2"/>
      <scheme val="minor"/>
    </font>
    <font>
      <b/>
      <sz val="2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Times New Roman"/>
      <family val="1"/>
    </font>
    <font>
      <sz val="11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6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b/>
      <sz val="24"/>
      <color theme="1"/>
      <name val="等线"/>
      <family val="3"/>
      <charset val="134"/>
      <scheme val="minor"/>
    </font>
    <font>
      <b/>
      <sz val="10"/>
      <color rgb="FFFF0000"/>
      <name val="宋体"/>
      <family val="3"/>
      <charset val="134"/>
    </font>
    <font>
      <b/>
      <sz val="1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vertAlign val="superscript"/>
      <sz val="10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b/>
      <sz val="12"/>
      <name val="等线"/>
      <family val="3"/>
      <charset val="134"/>
    </font>
    <font>
      <sz val="10"/>
      <color theme="1"/>
      <name val="等线"/>
      <family val="2"/>
      <scheme val="minor"/>
    </font>
    <font>
      <b/>
      <sz val="1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0"/>
      <name val="宋体"/>
      <family val="3"/>
      <charset val="134"/>
    </font>
    <font>
      <b/>
      <sz val="22"/>
      <color rgb="FFFF0000"/>
      <name val="等线"/>
      <family val="3"/>
      <charset val="134"/>
      <scheme val="minor"/>
    </font>
    <font>
      <sz val="8"/>
      <name val="宋体"/>
      <family val="3"/>
      <charset val="134"/>
    </font>
    <font>
      <sz val="8"/>
      <name val="Times New Roman"/>
      <family val="1"/>
    </font>
    <font>
      <b/>
      <sz val="16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6"/>
      <color rgb="FFFF0000"/>
      <name val="宋体"/>
      <family val="3"/>
      <charset val="134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sz val="10"/>
      <color rgb="FFFF0000"/>
      <name val="Times New Roman"/>
      <family val="1"/>
    </font>
    <font>
      <sz val="11"/>
      <name val="等线"/>
      <family val="3"/>
      <charset val="134"/>
      <scheme val="minor"/>
    </font>
    <font>
      <b/>
      <sz val="10"/>
      <color theme="0" tint="-0.249977111117893"/>
      <name val="等线"/>
      <family val="3"/>
      <charset val="134"/>
      <scheme val="minor"/>
    </font>
    <font>
      <sz val="10"/>
      <color theme="0" tint="-0.249977111117893"/>
      <name val="等线"/>
      <family val="3"/>
      <charset val="134"/>
      <scheme val="minor"/>
    </font>
    <font>
      <b/>
      <sz val="12"/>
      <color theme="0" tint="-0.249977111117893"/>
      <name val="等线"/>
      <family val="3"/>
      <charset val="134"/>
      <scheme val="minor"/>
    </font>
    <font>
      <sz val="11"/>
      <color theme="0" tint="-0.249977111117893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B050"/>
      <name val="微软雅黑"/>
      <family val="2"/>
      <charset val="134"/>
    </font>
    <font>
      <b/>
      <sz val="11"/>
      <color rgb="FF0070C0"/>
      <name val="微软雅黑"/>
      <family val="2"/>
      <charset val="134"/>
    </font>
    <font>
      <sz val="11"/>
      <color rgb="FF0070C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5">
    <xf numFmtId="0" fontId="0" fillId="0" borderId="0"/>
    <xf numFmtId="0" fontId="9" fillId="0" borderId="0"/>
    <xf numFmtId="0" fontId="47" fillId="0" borderId="0"/>
    <xf numFmtId="9" fontId="11" fillId="0" borderId="0" applyFont="0" applyFill="0" applyBorder="0" applyAlignment="0" applyProtection="0">
      <alignment vertical="center"/>
    </xf>
    <xf numFmtId="0" fontId="11" fillId="0" borderId="0"/>
  </cellStyleXfs>
  <cellXfs count="398">
    <xf numFmtId="0" fontId="0" fillId="0" borderId="0" xfId="0"/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0" xfId="0" applyFont="1"/>
    <xf numFmtId="0" fontId="5" fillId="0" borderId="1" xfId="0" applyFont="1" applyBorder="1" applyAlignment="1">
      <alignment horizontal="center"/>
    </xf>
    <xf numFmtId="0" fontId="10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0" fillId="0" borderId="0" xfId="0" applyBorder="1"/>
    <xf numFmtId="0" fontId="11" fillId="0" borderId="0" xfId="0" applyFont="1" applyBorder="1"/>
    <xf numFmtId="0" fontId="12" fillId="0" borderId="0" xfId="0" applyFont="1" applyBorder="1" applyAlignment="1">
      <alignment vertical="center"/>
    </xf>
    <xf numFmtId="0" fontId="11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5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14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7" fillId="0" borderId="18" xfId="0" applyFont="1" applyBorder="1" applyAlignment="1">
      <alignment vertical="center"/>
    </xf>
    <xf numFmtId="0" fontId="20" fillId="0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9" fillId="0" borderId="0" xfId="0" applyFont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33" fillId="3" borderId="0" xfId="1" applyFont="1" applyFill="1" applyBorder="1" applyAlignment="1" applyProtection="1">
      <alignment vertical="center"/>
      <protection hidden="1"/>
    </xf>
    <xf numFmtId="0" fontId="34" fillId="3" borderId="0" xfId="1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>
      <alignment vertical="center"/>
    </xf>
    <xf numFmtId="0" fontId="1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1" xfId="0" applyBorder="1" applyAlignment="1">
      <alignment vertical="center"/>
    </xf>
    <xf numFmtId="0" fontId="1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28" fillId="0" borderId="2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8" fillId="0" borderId="2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29" fillId="0" borderId="10" xfId="0" applyFont="1" applyBorder="1" applyAlignment="1">
      <alignment vertical="center"/>
    </xf>
    <xf numFmtId="0" fontId="30" fillId="0" borderId="10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 wrapText="1"/>
    </xf>
    <xf numFmtId="0" fontId="37" fillId="0" borderId="0" xfId="0" applyFont="1" applyBorder="1" applyAlignment="1">
      <alignment vertical="center"/>
    </xf>
    <xf numFmtId="0" fontId="38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right"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7" fillId="0" borderId="0" xfId="1" applyFont="1" applyFill="1" applyBorder="1" applyAlignment="1" applyProtection="1">
      <alignment horizontal="center" vertical="center"/>
      <protection hidden="1"/>
    </xf>
    <xf numFmtId="178" fontId="17" fillId="0" borderId="0" xfId="1" applyNumberFormat="1" applyFont="1" applyFill="1" applyBorder="1" applyAlignment="1" applyProtection="1">
      <alignment horizontal="center" vertical="center"/>
      <protection hidden="1"/>
    </xf>
    <xf numFmtId="177" fontId="17" fillId="0" borderId="0" xfId="1" applyNumberFormat="1" applyFont="1" applyFill="1" applyBorder="1" applyAlignment="1" applyProtection="1">
      <alignment horizontal="center" vertical="center"/>
      <protection hidden="1"/>
    </xf>
    <xf numFmtId="178" fontId="22" fillId="0" borderId="0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4" fontId="39" fillId="0" borderId="0" xfId="0" applyNumberFormat="1" applyFont="1" applyBorder="1" applyAlignment="1">
      <alignment horizontal="left" vertical="center"/>
    </xf>
    <xf numFmtId="178" fontId="40" fillId="3" borderId="1" xfId="1" applyNumberFormat="1" applyFont="1" applyFill="1" applyBorder="1" applyAlignment="1" applyProtection="1">
      <alignment horizontal="center" vertical="center"/>
      <protection hidden="1"/>
    </xf>
    <xf numFmtId="177" fontId="40" fillId="3" borderId="1" xfId="1" applyNumberFormat="1" applyFont="1" applyFill="1" applyBorder="1" applyAlignment="1" applyProtection="1">
      <alignment horizontal="center" vertical="center"/>
      <protection hidden="1"/>
    </xf>
    <xf numFmtId="0" fontId="17" fillId="3" borderId="1" xfId="1" applyFont="1" applyFill="1" applyBorder="1" applyAlignment="1" applyProtection="1">
      <alignment horizontal="center" vertical="center"/>
      <protection hidden="1"/>
    </xf>
    <xf numFmtId="0" fontId="17" fillId="0" borderId="0" xfId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right"/>
    </xf>
    <xf numFmtId="0" fontId="21" fillId="4" borderId="8" xfId="0" applyFont="1" applyFill="1" applyBorder="1" applyAlignment="1">
      <alignment horizontal="left" vertical="center" wrapText="1"/>
    </xf>
    <xf numFmtId="0" fontId="21" fillId="4" borderId="12" xfId="0" applyFont="1" applyFill="1" applyBorder="1" applyAlignment="1">
      <alignment horizontal="center" vertical="center"/>
    </xf>
    <xf numFmtId="0" fontId="17" fillId="0" borderId="0" xfId="1" applyFont="1" applyFill="1" applyBorder="1" applyAlignment="1" applyProtection="1">
      <alignment horizontal="center" vertical="center"/>
      <protection hidden="1"/>
    </xf>
    <xf numFmtId="0" fontId="17" fillId="3" borderId="1" xfId="1" applyFont="1" applyFill="1" applyBorder="1" applyAlignment="1" applyProtection="1">
      <alignment horizontal="center" vertical="center"/>
      <protection hidden="1"/>
    </xf>
    <xf numFmtId="0" fontId="42" fillId="0" borderId="1" xfId="0" applyFont="1" applyBorder="1" applyAlignment="1">
      <alignment horizontal="center" vertical="center"/>
    </xf>
    <xf numFmtId="176" fontId="42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44" fillId="0" borderId="8" xfId="0" applyFont="1" applyBorder="1" applyAlignment="1">
      <alignment horizontal="center" vertical="center"/>
    </xf>
    <xf numFmtId="0" fontId="45" fillId="0" borderId="6" xfId="0" applyFont="1" applyBorder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vertical="center"/>
    </xf>
    <xf numFmtId="0" fontId="45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center" vertical="center"/>
    </xf>
    <xf numFmtId="49" fontId="42" fillId="0" borderId="1" xfId="0" applyNumberFormat="1" applyFont="1" applyBorder="1" applyAlignment="1">
      <alignment horizontal="center" vertical="center"/>
    </xf>
    <xf numFmtId="0" fontId="45" fillId="0" borderId="7" xfId="0" applyFont="1" applyBorder="1" applyAlignment="1">
      <alignment vertical="center"/>
    </xf>
    <xf numFmtId="0" fontId="45" fillId="0" borderId="8" xfId="0" applyFont="1" applyBorder="1" applyAlignment="1">
      <alignment vertical="center"/>
    </xf>
    <xf numFmtId="0" fontId="45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42" fillId="4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left" vertical="center"/>
    </xf>
    <xf numFmtId="0" fontId="45" fillId="0" borderId="1" xfId="0" applyFont="1" applyBorder="1" applyAlignment="1">
      <alignment vertical="center" wrapText="1"/>
    </xf>
    <xf numFmtId="0" fontId="45" fillId="0" borderId="8" xfId="0" applyFont="1" applyBorder="1" applyAlignment="1">
      <alignment horizontal="left" vertical="center"/>
    </xf>
    <xf numFmtId="0" fontId="42" fillId="0" borderId="2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top" wrapText="1"/>
    </xf>
    <xf numFmtId="0" fontId="14" fillId="0" borderId="8" xfId="0" applyFont="1" applyBorder="1" applyAlignment="1">
      <alignment horizontal="center" vertical="center"/>
    </xf>
    <xf numFmtId="0" fontId="41" fillId="0" borderId="6" xfId="0" applyFont="1" applyBorder="1" applyAlignment="1">
      <alignment vertical="center"/>
    </xf>
    <xf numFmtId="49" fontId="2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17" fillId="3" borderId="0" xfId="1" applyFont="1" applyFill="1" applyBorder="1" applyAlignment="1" applyProtection="1">
      <alignment horizontal="center" vertical="center"/>
      <protection hidden="1"/>
    </xf>
    <xf numFmtId="178" fontId="17" fillId="3" borderId="1" xfId="1" applyNumberFormat="1" applyFont="1" applyFill="1" applyBorder="1" applyAlignment="1" applyProtection="1">
      <alignment horizontal="center" vertical="center"/>
      <protection hidden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vertical="center" wrapText="1"/>
    </xf>
    <xf numFmtId="0" fontId="46" fillId="0" borderId="0" xfId="0" applyFont="1" applyFill="1"/>
    <xf numFmtId="0" fontId="41" fillId="0" borderId="0" xfId="0" applyFont="1" applyFill="1"/>
    <xf numFmtId="0" fontId="21" fillId="0" borderId="1" xfId="0" applyFont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17" fillId="0" borderId="0" xfId="1" applyFont="1" applyFill="1" applyBorder="1" applyAlignment="1" applyProtection="1">
      <alignment horizontal="center" vertical="center"/>
      <protection hidden="1"/>
    </xf>
    <xf numFmtId="0" fontId="17" fillId="3" borderId="1" xfId="1" applyFont="1" applyFill="1" applyBorder="1" applyAlignment="1" applyProtection="1">
      <alignment horizontal="center" vertical="center"/>
      <protection hidden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3" borderId="0" xfId="0" applyFill="1" applyBorder="1"/>
    <xf numFmtId="0" fontId="0" fillId="5" borderId="0" xfId="0" applyFill="1" applyBorder="1"/>
    <xf numFmtId="0" fontId="0" fillId="3" borderId="5" xfId="0" applyFill="1" applyBorder="1"/>
    <xf numFmtId="0" fontId="0" fillId="3" borderId="10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5" borderId="25" xfId="0" applyFill="1" applyBorder="1"/>
    <xf numFmtId="0" fontId="0" fillId="5" borderId="24" xfId="0" applyFill="1" applyBorder="1"/>
    <xf numFmtId="0" fontId="0" fillId="5" borderId="26" xfId="0" applyFill="1" applyBorder="1"/>
    <xf numFmtId="0" fontId="0" fillId="5" borderId="22" xfId="0" applyFill="1" applyBorder="1"/>
    <xf numFmtId="0" fontId="0" fillId="5" borderId="27" xfId="0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6" borderId="0" xfId="0" applyFill="1" applyBorder="1"/>
    <xf numFmtId="0" fontId="0" fillId="6" borderId="25" xfId="0" applyFill="1" applyBorder="1"/>
    <xf numFmtId="0" fontId="0" fillId="6" borderId="24" xfId="0" applyFill="1" applyBorder="1"/>
    <xf numFmtId="0" fontId="0" fillId="6" borderId="26" xfId="0" applyFill="1" applyBorder="1"/>
    <xf numFmtId="0" fontId="0" fillId="6" borderId="22" xfId="0" applyFill="1" applyBorder="1"/>
    <xf numFmtId="0" fontId="0" fillId="3" borderId="28" xfId="0" applyFill="1" applyBorder="1"/>
    <xf numFmtId="0" fontId="0" fillId="3" borderId="29" xfId="0" applyFill="1" applyBorder="1"/>
    <xf numFmtId="0" fontId="0" fillId="6" borderId="0" xfId="0" applyFill="1" applyBorder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7" xfId="0" applyFont="1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left" vertical="center"/>
    </xf>
    <xf numFmtId="0" fontId="48" fillId="0" borderId="0" xfId="0" applyFont="1" applyBorder="1" applyAlignment="1">
      <alignment vertical="center"/>
    </xf>
    <xf numFmtId="0" fontId="48" fillId="0" borderId="0" xfId="0" applyFont="1" applyAlignment="1">
      <alignment horizontal="left" vertical="center"/>
    </xf>
    <xf numFmtId="0" fontId="4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/>
    </xf>
    <xf numFmtId="176" fontId="36" fillId="0" borderId="1" xfId="0" applyNumberFormat="1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179" fontId="36" fillId="0" borderId="1" xfId="0" applyNumberFormat="1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left" vertical="center" wrapText="1"/>
    </xf>
    <xf numFmtId="0" fontId="36" fillId="0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49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vertical="center" wrapText="1"/>
    </xf>
    <xf numFmtId="0" fontId="43" fillId="0" borderId="1" xfId="0" applyFont="1" applyFill="1" applyBorder="1" applyAlignment="1">
      <alignment vertical="center"/>
    </xf>
    <xf numFmtId="0" fontId="48" fillId="0" borderId="1" xfId="0" applyFont="1" applyFill="1" applyBorder="1" applyAlignment="1">
      <alignment vertical="center"/>
    </xf>
    <xf numFmtId="0" fontId="36" fillId="0" borderId="1" xfId="0" applyFont="1" applyFill="1" applyBorder="1" applyAlignment="1">
      <alignment horizontal="center" vertical="center"/>
    </xf>
    <xf numFmtId="0" fontId="0" fillId="0" borderId="18" xfId="0" applyFill="1" applyBorder="1" applyAlignment="1">
      <alignment vertical="center"/>
    </xf>
    <xf numFmtId="0" fontId="23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/>
    </xf>
    <xf numFmtId="58" fontId="23" fillId="0" borderId="1" xfId="0" applyNumberFormat="1" applyFont="1" applyFill="1" applyBorder="1" applyAlignment="1">
      <alignment horizontal="center" vertical="center"/>
    </xf>
    <xf numFmtId="58" fontId="23" fillId="0" borderId="1" xfId="0" applyNumberFormat="1" applyFont="1" applyBorder="1" applyAlignment="1">
      <alignment horizontal="center" vertical="center"/>
    </xf>
    <xf numFmtId="0" fontId="47" fillId="0" borderId="0" xfId="2"/>
    <xf numFmtId="0" fontId="51" fillId="0" borderId="0" xfId="2" applyFont="1"/>
    <xf numFmtId="0" fontId="51" fillId="0" borderId="0" xfId="2" applyFont="1" applyAlignment="1">
      <alignment horizontal="left"/>
    </xf>
    <xf numFmtId="178" fontId="51" fillId="0" borderId="0" xfId="2" applyNumberFormat="1" applyFont="1"/>
    <xf numFmtId="2" fontId="51" fillId="0" borderId="0" xfId="2" applyNumberFormat="1" applyFont="1" applyBorder="1" applyAlignment="1">
      <alignment horizontal="center" wrapText="1"/>
    </xf>
    <xf numFmtId="0" fontId="51" fillId="0" borderId="0" xfId="2" applyFont="1" applyBorder="1" applyAlignment="1">
      <alignment horizontal="center" wrapText="1"/>
    </xf>
    <xf numFmtId="0" fontId="51" fillId="0" borderId="0" xfId="2" applyFont="1" applyBorder="1" applyAlignment="1">
      <alignment horizontal="center"/>
    </xf>
    <xf numFmtId="2" fontId="51" fillId="0" borderId="1" xfId="2" applyNumberFormat="1" applyFont="1" applyBorder="1" applyAlignment="1">
      <alignment horizontal="center" wrapText="1"/>
    </xf>
    <xf numFmtId="0" fontId="51" fillId="0" borderId="1" xfId="2" applyFont="1" applyBorder="1" applyAlignment="1">
      <alignment horizontal="center"/>
    </xf>
    <xf numFmtId="179" fontId="51" fillId="0" borderId="1" xfId="3" applyNumberFormat="1" applyFont="1" applyBorder="1" applyAlignment="1">
      <alignment horizontal="center" wrapText="1"/>
    </xf>
    <xf numFmtId="179" fontId="51" fillId="0" borderId="1" xfId="3" applyNumberFormat="1" applyFont="1" applyBorder="1" applyAlignment="1">
      <alignment horizontal="center"/>
    </xf>
    <xf numFmtId="0" fontId="51" fillId="2" borderId="1" xfId="2" applyFont="1" applyFill="1" applyBorder="1" applyAlignment="1">
      <alignment horizontal="center" vertical="center"/>
    </xf>
    <xf numFmtId="0" fontId="52" fillId="2" borderId="1" xfId="2" applyFont="1" applyFill="1" applyBorder="1" applyAlignment="1">
      <alignment horizontal="center" vertical="center"/>
    </xf>
    <xf numFmtId="0" fontId="51" fillId="0" borderId="1" xfId="2" applyFont="1" applyBorder="1" applyAlignment="1">
      <alignment horizontal="center" vertical="center"/>
    </xf>
    <xf numFmtId="1" fontId="51" fillId="0" borderId="1" xfId="2" applyNumberFormat="1" applyFont="1" applyBorder="1" applyAlignment="1">
      <alignment horizontal="center" vertical="center"/>
    </xf>
    <xf numFmtId="0" fontId="51" fillId="0" borderId="1" xfId="2" applyFont="1" applyBorder="1" applyAlignment="1">
      <alignment horizontal="center" vertical="center" wrapText="1"/>
    </xf>
    <xf numFmtId="0" fontId="51" fillId="0" borderId="1" xfId="2" applyFont="1" applyBorder="1"/>
    <xf numFmtId="0" fontId="53" fillId="0" borderId="1" xfId="2" applyFont="1" applyBorder="1" applyAlignment="1">
      <alignment horizontal="center" vertical="center" wrapText="1"/>
    </xf>
    <xf numFmtId="176" fontId="51" fillId="0" borderId="1" xfId="2" applyNumberFormat="1" applyFont="1" applyBorder="1" applyAlignment="1">
      <alignment horizontal="center" vertical="center"/>
    </xf>
    <xf numFmtId="2" fontId="51" fillId="0" borderId="1" xfId="2" applyNumberFormat="1" applyFont="1" applyBorder="1" applyAlignment="1">
      <alignment horizontal="center" vertical="center" wrapText="1"/>
    </xf>
    <xf numFmtId="0" fontId="51" fillId="2" borderId="1" xfId="2" applyFont="1" applyFill="1" applyBorder="1" applyAlignment="1">
      <alignment horizontal="center" vertical="center" wrapText="1"/>
    </xf>
    <xf numFmtId="0" fontId="52" fillId="2" borderId="1" xfId="2" applyFont="1" applyFill="1" applyBorder="1" applyAlignment="1">
      <alignment horizontal="center" vertical="center" wrapText="1"/>
    </xf>
    <xf numFmtId="0" fontId="51" fillId="0" borderId="0" xfId="2" applyFont="1" applyAlignment="1">
      <alignment horizontal="center" wrapText="1"/>
    </xf>
    <xf numFmtId="180" fontId="51" fillId="0" borderId="0" xfId="2" applyNumberFormat="1" applyFont="1" applyAlignment="1">
      <alignment horizontal="center" wrapText="1"/>
    </xf>
    <xf numFmtId="10" fontId="51" fillId="0" borderId="0" xfId="3" applyNumberFormat="1" applyFont="1" applyAlignment="1">
      <alignment horizontal="center" wrapText="1"/>
    </xf>
    <xf numFmtId="2" fontId="51" fillId="0" borderId="1" xfId="2" applyNumberFormat="1" applyFont="1" applyBorder="1" applyAlignment="1">
      <alignment horizontal="center"/>
    </xf>
    <xf numFmtId="181" fontId="51" fillId="0" borderId="1" xfId="2" applyNumberFormat="1" applyFont="1" applyBorder="1" applyAlignment="1">
      <alignment horizontal="center" wrapText="1"/>
    </xf>
    <xf numFmtId="0" fontId="51" fillId="0" borderId="1" xfId="2" applyFont="1" applyBorder="1" applyAlignment="1">
      <alignment horizontal="center" wrapText="1"/>
    </xf>
    <xf numFmtId="10" fontId="51" fillId="0" borderId="1" xfId="3" applyNumberFormat="1" applyFont="1" applyBorder="1" applyAlignment="1">
      <alignment horizontal="center" wrapText="1"/>
    </xf>
    <xf numFmtId="0" fontId="51" fillId="2" borderId="1" xfId="2" applyFont="1" applyFill="1" applyBorder="1" applyAlignment="1">
      <alignment horizontal="center" wrapText="1"/>
    </xf>
    <xf numFmtId="0" fontId="51" fillId="2" borderId="1" xfId="2" applyFont="1" applyFill="1" applyBorder="1"/>
    <xf numFmtId="182" fontId="51" fillId="0" borderId="1" xfId="2" applyNumberFormat="1" applyFont="1" applyBorder="1" applyAlignment="1">
      <alignment horizontal="center" wrapText="1"/>
    </xf>
    <xf numFmtId="180" fontId="51" fillId="0" borderId="1" xfId="2" applyNumberFormat="1" applyFont="1" applyBorder="1" applyAlignment="1">
      <alignment horizontal="center" wrapText="1"/>
    </xf>
    <xf numFmtId="0" fontId="51" fillId="2" borderId="1" xfId="2" applyFont="1" applyFill="1" applyBorder="1" applyAlignment="1">
      <alignment horizontal="center"/>
    </xf>
    <xf numFmtId="176" fontId="54" fillId="0" borderId="1" xfId="2" applyNumberFormat="1" applyFont="1" applyFill="1" applyBorder="1" applyAlignment="1">
      <alignment horizontal="center" wrapText="1"/>
    </xf>
    <xf numFmtId="9" fontId="55" fillId="0" borderId="1" xfId="2" applyNumberFormat="1" applyFont="1" applyFill="1" applyBorder="1" applyAlignment="1">
      <alignment horizontal="center" wrapText="1"/>
    </xf>
    <xf numFmtId="176" fontId="55" fillId="0" borderId="1" xfId="2" applyNumberFormat="1" applyFont="1" applyFill="1" applyBorder="1" applyAlignment="1">
      <alignment horizontal="center" wrapText="1"/>
    </xf>
    <xf numFmtId="0" fontId="55" fillId="0" borderId="1" xfId="2" applyFont="1" applyBorder="1" applyAlignment="1">
      <alignment horizontal="center" wrapText="1"/>
    </xf>
    <xf numFmtId="0" fontId="54" fillId="0" borderId="1" xfId="2" applyFont="1" applyBorder="1" applyAlignment="1">
      <alignment horizontal="center" wrapText="1"/>
    </xf>
    <xf numFmtId="176" fontId="52" fillId="0" borderId="1" xfId="2" applyNumberFormat="1" applyFont="1" applyFill="1" applyBorder="1" applyAlignment="1">
      <alignment horizontal="center" wrapText="1"/>
    </xf>
    <xf numFmtId="9" fontId="51" fillId="0" borderId="1" xfId="2" applyNumberFormat="1" applyFont="1" applyFill="1" applyBorder="1" applyAlignment="1">
      <alignment horizontal="center" wrapText="1"/>
    </xf>
    <xf numFmtId="176" fontId="51" fillId="0" borderId="1" xfId="2" applyNumberFormat="1" applyFont="1" applyFill="1" applyBorder="1" applyAlignment="1">
      <alignment horizontal="center" wrapText="1"/>
    </xf>
    <xf numFmtId="1" fontId="51" fillId="0" borderId="1" xfId="2" applyNumberFormat="1" applyFont="1" applyBorder="1" applyAlignment="1">
      <alignment horizontal="center" wrapText="1"/>
    </xf>
    <xf numFmtId="176" fontId="51" fillId="0" borderId="1" xfId="2" applyNumberFormat="1" applyFont="1" applyBorder="1" applyAlignment="1">
      <alignment horizontal="center" wrapText="1"/>
    </xf>
    <xf numFmtId="2" fontId="54" fillId="0" borderId="1" xfId="2" applyNumberFormat="1" applyFont="1" applyFill="1" applyBorder="1" applyAlignment="1">
      <alignment horizontal="center" wrapText="1"/>
    </xf>
    <xf numFmtId="176" fontId="55" fillId="0" borderId="1" xfId="2" applyNumberFormat="1" applyFont="1" applyBorder="1" applyAlignment="1">
      <alignment horizontal="center" wrapText="1"/>
    </xf>
    <xf numFmtId="2" fontId="52" fillId="0" borderId="1" xfId="2" applyNumberFormat="1" applyFont="1" applyFill="1" applyBorder="1" applyAlignment="1">
      <alignment horizontal="center" wrapText="1"/>
    </xf>
    <xf numFmtId="0" fontId="2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21" fillId="0" borderId="2" xfId="0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176" fontId="36" fillId="4" borderId="1" xfId="0" applyNumberFormat="1" applyFont="1" applyFill="1" applyBorder="1" applyAlignment="1">
      <alignment horizontal="center" vertical="center" wrapText="1"/>
    </xf>
    <xf numFmtId="180" fontId="36" fillId="4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176" fontId="23" fillId="4" borderId="8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48" fillId="0" borderId="2" xfId="0" applyFont="1" applyFill="1" applyBorder="1" applyAlignment="1">
      <alignment horizontal="center" vertical="center" wrapText="1"/>
    </xf>
    <xf numFmtId="0" fontId="48" fillId="0" borderId="1" xfId="0" applyFont="1" applyFill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176" fontId="21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left" vertical="center" wrapText="1"/>
    </xf>
    <xf numFmtId="0" fontId="21" fillId="4" borderId="7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58" fillId="7" borderId="34" xfId="0" applyFont="1" applyFill="1" applyBorder="1" applyAlignment="1">
      <alignment horizontal="center" vertical="center" wrapText="1" readingOrder="1"/>
    </xf>
    <xf numFmtId="0" fontId="60" fillId="8" borderId="34" xfId="0" applyFont="1" applyFill="1" applyBorder="1" applyAlignment="1">
      <alignment horizontal="center" vertical="center" wrapText="1" readingOrder="1"/>
    </xf>
    <xf numFmtId="0" fontId="61" fillId="9" borderId="34" xfId="0" applyFont="1" applyFill="1" applyBorder="1" applyAlignment="1">
      <alignment horizontal="center" vertical="center" wrapText="1" readingOrder="1"/>
    </xf>
    <xf numFmtId="0" fontId="63" fillId="8" borderId="34" xfId="0" applyFont="1" applyFill="1" applyBorder="1" applyAlignment="1">
      <alignment horizontal="center" vertical="center" wrapText="1" readingOrder="1"/>
    </xf>
    <xf numFmtId="0" fontId="59" fillId="8" borderId="34" xfId="0" applyFont="1" applyFill="1" applyBorder="1" applyAlignment="1">
      <alignment horizontal="center" vertical="center" wrapText="1"/>
    </xf>
    <xf numFmtId="0" fontId="59" fillId="10" borderId="34" xfId="0" applyFont="1" applyFill="1" applyBorder="1" applyAlignment="1">
      <alignment horizontal="center" vertical="center" wrapText="1"/>
    </xf>
    <xf numFmtId="0" fontId="59" fillId="11" borderId="34" xfId="0" applyFont="1" applyFill="1" applyBorder="1" applyAlignment="1">
      <alignment horizontal="center" vertical="center" wrapText="1"/>
    </xf>
    <xf numFmtId="0" fontId="61" fillId="11" borderId="34" xfId="0" applyFont="1" applyFill="1" applyBorder="1" applyAlignment="1">
      <alignment horizontal="center" vertical="center" wrapText="1" readingOrder="1"/>
    </xf>
    <xf numFmtId="0" fontId="64" fillId="9" borderId="34" xfId="0" applyFont="1" applyFill="1" applyBorder="1" applyAlignment="1">
      <alignment horizontal="center" vertical="center" wrapText="1" readingOrder="1"/>
    </xf>
    <xf numFmtId="0" fontId="61" fillId="8" borderId="34" xfId="0" applyFont="1" applyFill="1" applyBorder="1" applyAlignment="1">
      <alignment horizontal="center" vertical="center" wrapText="1" readingOrder="1"/>
    </xf>
    <xf numFmtId="0" fontId="48" fillId="4" borderId="1" xfId="0" applyFont="1" applyFill="1" applyBorder="1" applyAlignment="1">
      <alignment vertical="center"/>
    </xf>
    <xf numFmtId="0" fontId="21" fillId="0" borderId="8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0" fillId="5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1" fillId="0" borderId="0" xfId="1" applyFont="1" applyFill="1" applyBorder="1" applyAlignment="1" applyProtection="1">
      <alignment horizontal="center" vertical="center"/>
      <protection hidden="1"/>
    </xf>
    <xf numFmtId="0" fontId="17" fillId="0" borderId="0" xfId="1" applyFont="1" applyFill="1" applyBorder="1" applyAlignment="1" applyProtection="1">
      <alignment horizontal="center" vertical="center"/>
      <protection hidden="1"/>
    </xf>
    <xf numFmtId="0" fontId="21" fillId="0" borderId="7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31" fillId="3" borderId="1" xfId="1" applyFont="1" applyFill="1" applyBorder="1" applyAlignment="1" applyProtection="1">
      <alignment horizontal="center" vertical="center"/>
      <protection hidden="1"/>
    </xf>
    <xf numFmtId="0" fontId="17" fillId="3" borderId="1" xfId="1" applyFont="1" applyFill="1" applyBorder="1" applyAlignment="1" applyProtection="1">
      <alignment horizontal="center" vertical="center"/>
      <protection hidden="1"/>
    </xf>
    <xf numFmtId="0" fontId="58" fillId="7" borderId="35" xfId="0" applyFont="1" applyFill="1" applyBorder="1" applyAlignment="1">
      <alignment horizontal="center" vertical="center" wrapText="1" readingOrder="1"/>
    </xf>
    <xf numFmtId="0" fontId="58" fillId="7" borderId="36" xfId="0" applyFont="1" applyFill="1" applyBorder="1" applyAlignment="1">
      <alignment horizontal="center" vertical="center" wrapText="1" readingOrder="1"/>
    </xf>
    <xf numFmtId="0" fontId="59" fillId="7" borderId="37" xfId="0" applyFont="1" applyFill="1" applyBorder="1" applyAlignment="1">
      <alignment vertical="center" wrapText="1"/>
    </xf>
    <xf numFmtId="0" fontId="59" fillId="7" borderId="38" xfId="0" applyFont="1" applyFill="1" applyBorder="1" applyAlignment="1">
      <alignment vertical="center" wrapText="1"/>
    </xf>
    <xf numFmtId="0" fontId="21" fillId="0" borderId="2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0" fontId="36" fillId="0" borderId="3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 wrapText="1"/>
    </xf>
    <xf numFmtId="0" fontId="56" fillId="2" borderId="1" xfId="2" applyFont="1" applyFill="1" applyBorder="1" applyAlignment="1">
      <alignment horizontal="center"/>
    </xf>
    <xf numFmtId="176" fontId="23" fillId="4" borderId="1" xfId="0" applyNumberFormat="1" applyFont="1" applyFill="1" applyBorder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48" fillId="0" borderId="1" xfId="0" applyFont="1" applyBorder="1" applyAlignment="1">
      <alignment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/>
    </xf>
    <xf numFmtId="0" fontId="17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36" fillId="3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left" vertical="center" wrapText="1"/>
    </xf>
  </cellXfs>
  <cellStyles count="5">
    <cellStyle name="百分比 2" xfId="3"/>
    <cellStyle name="常规" xfId="0" builtinId="0"/>
    <cellStyle name="常规 2 2" xfId="4"/>
    <cellStyle name="常规 3" xfId="2"/>
    <cellStyle name="常规_M6S Design for no MJ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718262</xdr:colOff>
      <xdr:row>39</xdr:row>
      <xdr:rowOff>43424</xdr:rowOff>
    </xdr:from>
    <xdr:to>
      <xdr:col>7</xdr:col>
      <xdr:colOff>125759</xdr:colOff>
      <xdr:row>46</xdr:row>
      <xdr:rowOff>128242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GrpSpPr/>
      </xdr:nvGrpSpPr>
      <xdr:grpSpPr>
        <a:xfrm>
          <a:off x="1614733" y="10173542"/>
          <a:ext cx="7153002" cy="1841900"/>
          <a:chOff x="4183609" y="2622076"/>
          <a:chExt cx="4798792" cy="1944772"/>
        </a:xfrm>
      </xdr:grpSpPr>
      <xdr:grpSp>
        <xdr:nvGrpSpPr>
          <xdr:cNvPr id="65" name="组合 64">
            <a:extLst>
              <a:ext uri="{FF2B5EF4-FFF2-40B4-BE49-F238E27FC236}">
                <a16:creationId xmlns:a16="http://schemas.microsoft.com/office/drawing/2014/main" id="{00000000-0008-0000-0200-00007E000000}"/>
              </a:ext>
            </a:extLst>
          </xdr:cNvPr>
          <xdr:cNvGrpSpPr/>
        </xdr:nvGrpSpPr>
        <xdr:grpSpPr>
          <a:xfrm>
            <a:off x="4183609" y="2622076"/>
            <a:ext cx="4798792" cy="1944772"/>
            <a:chOff x="2955701" y="2456614"/>
            <a:chExt cx="4798792" cy="1944772"/>
          </a:xfrm>
        </xdr:grpSpPr>
        <xdr:sp macro="" textlink="">
          <xdr:nvSpPr>
            <xdr:cNvPr id="71" name="矩形 70">
              <a:extLst>
                <a:ext uri="{FF2B5EF4-FFF2-40B4-BE49-F238E27FC236}">
                  <a16:creationId xmlns:a16="http://schemas.microsoft.com/office/drawing/2014/main" id="{00000000-0008-0000-0200-000084000000}"/>
                </a:ext>
              </a:extLst>
            </xdr:cNvPr>
            <xdr:cNvSpPr/>
          </xdr:nvSpPr>
          <xdr:spPr>
            <a:xfrm>
              <a:off x="3249271" y="2667769"/>
              <a:ext cx="4493846" cy="1462941"/>
            </a:xfrm>
            <a:prstGeom prst="rect">
              <a:avLst/>
            </a:prstGeom>
            <a:solidFill>
              <a:schemeClr val="tx1">
                <a:lumMod val="95000"/>
                <a:lumOff val="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72" name="矩形 71">
              <a:extLst>
                <a:ext uri="{FF2B5EF4-FFF2-40B4-BE49-F238E27FC236}">
                  <a16:creationId xmlns:a16="http://schemas.microsoft.com/office/drawing/2014/main" id="{00000000-0008-0000-0200-000085000000}"/>
                </a:ext>
              </a:extLst>
            </xdr:cNvPr>
            <xdr:cNvSpPr/>
          </xdr:nvSpPr>
          <xdr:spPr>
            <a:xfrm>
              <a:off x="3253872" y="2456614"/>
              <a:ext cx="4488785" cy="211845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73" name="矩形 72">
              <a:extLst>
                <a:ext uri="{FF2B5EF4-FFF2-40B4-BE49-F238E27FC236}">
                  <a16:creationId xmlns:a16="http://schemas.microsoft.com/office/drawing/2014/main" id="{00000000-0008-0000-0200-000086000000}"/>
                </a:ext>
              </a:extLst>
            </xdr:cNvPr>
            <xdr:cNvSpPr/>
          </xdr:nvSpPr>
          <xdr:spPr>
            <a:xfrm>
              <a:off x="3265708" y="4189542"/>
              <a:ext cx="4488785" cy="211844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cxnSp macro="">
          <xdr:nvCxnSpPr>
            <xdr:cNvPr id="74" name="直接连接符 73">
              <a:extLst>
                <a:ext uri="{FF2B5EF4-FFF2-40B4-BE49-F238E27FC236}">
                  <a16:creationId xmlns:a16="http://schemas.microsoft.com/office/drawing/2014/main" id="{00000000-0008-0000-0200-000087000000}"/>
                </a:ext>
              </a:extLst>
            </xdr:cNvPr>
            <xdr:cNvCxnSpPr/>
          </xdr:nvCxnSpPr>
          <xdr:spPr>
            <a:xfrm>
              <a:off x="2955701" y="2703105"/>
              <a:ext cx="324625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直接箭头连接符 74">
              <a:extLst>
                <a:ext uri="{FF2B5EF4-FFF2-40B4-BE49-F238E27FC236}">
                  <a16:creationId xmlns:a16="http://schemas.microsoft.com/office/drawing/2014/main" id="{00000000-0008-0000-0200-000088000000}"/>
                </a:ext>
              </a:extLst>
            </xdr:cNvPr>
            <xdr:cNvCxnSpPr/>
          </xdr:nvCxnSpPr>
          <xdr:spPr>
            <a:xfrm>
              <a:off x="3175148" y="2688615"/>
              <a:ext cx="0" cy="1462941"/>
            </a:xfrm>
            <a:prstGeom prst="straightConnector1">
              <a:avLst/>
            </a:prstGeom>
            <a:ln>
              <a:solidFill>
                <a:schemeClr val="tx1"/>
              </a:solidFill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直接连接符 75">
              <a:extLst>
                <a:ext uri="{FF2B5EF4-FFF2-40B4-BE49-F238E27FC236}">
                  <a16:creationId xmlns:a16="http://schemas.microsoft.com/office/drawing/2014/main" id="{00000000-0008-0000-0200-000089000000}"/>
                </a:ext>
              </a:extLst>
            </xdr:cNvPr>
            <xdr:cNvCxnSpPr/>
          </xdr:nvCxnSpPr>
          <xdr:spPr>
            <a:xfrm>
              <a:off x="2955995" y="2475545"/>
              <a:ext cx="324625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直接箭头连接符 76">
              <a:extLst>
                <a:ext uri="{FF2B5EF4-FFF2-40B4-BE49-F238E27FC236}">
                  <a16:creationId xmlns:a16="http://schemas.microsoft.com/office/drawing/2014/main" id="{00000000-0008-0000-0200-00008A000000}"/>
                </a:ext>
              </a:extLst>
            </xdr:cNvPr>
            <xdr:cNvCxnSpPr/>
          </xdr:nvCxnSpPr>
          <xdr:spPr>
            <a:xfrm flipV="1">
              <a:off x="3040955" y="2461216"/>
              <a:ext cx="0" cy="227974"/>
            </a:xfrm>
            <a:prstGeom prst="straightConnector1">
              <a:avLst/>
            </a:prstGeom>
            <a:ln>
              <a:solidFill>
                <a:schemeClr val="tx1"/>
              </a:solidFill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" name="矩形 77">
              <a:extLst>
                <a:ext uri="{FF2B5EF4-FFF2-40B4-BE49-F238E27FC236}">
                  <a16:creationId xmlns:a16="http://schemas.microsoft.com/office/drawing/2014/main" id="{00000000-0008-0000-0200-00008B000000}"/>
                </a:ext>
              </a:extLst>
            </xdr:cNvPr>
            <xdr:cNvSpPr/>
          </xdr:nvSpPr>
          <xdr:spPr>
            <a:xfrm>
              <a:off x="3255189" y="2641669"/>
              <a:ext cx="4493386" cy="45719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  <xdr:sp macro="" textlink="">
          <xdr:nvSpPr>
            <xdr:cNvPr id="79" name="矩形 78">
              <a:extLst>
                <a:ext uri="{FF2B5EF4-FFF2-40B4-BE49-F238E27FC236}">
                  <a16:creationId xmlns:a16="http://schemas.microsoft.com/office/drawing/2014/main" id="{00000000-0008-0000-0200-00008C000000}"/>
                </a:ext>
              </a:extLst>
            </xdr:cNvPr>
            <xdr:cNvSpPr/>
          </xdr:nvSpPr>
          <xdr:spPr>
            <a:xfrm>
              <a:off x="3255189" y="4170236"/>
              <a:ext cx="4493386" cy="45719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CN" altLang="en-US"/>
            </a:p>
          </xdr:txBody>
        </xdr:sp>
      </xdr:grpSp>
      <xdr:cxnSp macro="">
        <xdr:nvCxnSpPr>
          <xdr:cNvPr id="66" name="直接连接符 65">
            <a:extLst>
              <a:ext uri="{FF2B5EF4-FFF2-40B4-BE49-F238E27FC236}">
                <a16:creationId xmlns:a16="http://schemas.microsoft.com/office/drawing/2014/main" id="{00000000-0008-0000-0200-00007F000000}"/>
              </a:ext>
            </a:extLst>
          </xdr:cNvPr>
          <xdr:cNvCxnSpPr>
            <a:stCxn id="79" idx="1"/>
            <a:endCxn id="79" idx="1"/>
          </xdr:cNvCxnSpPr>
        </xdr:nvCxnSpPr>
        <xdr:spPr>
          <a:xfrm>
            <a:off x="4483097" y="4358559"/>
            <a:ext cx="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直接连接符 66">
            <a:extLst>
              <a:ext uri="{FF2B5EF4-FFF2-40B4-BE49-F238E27FC236}">
                <a16:creationId xmlns:a16="http://schemas.microsoft.com/office/drawing/2014/main" id="{00000000-0008-0000-0200-000080000000}"/>
              </a:ext>
            </a:extLst>
          </xdr:cNvPr>
          <xdr:cNvCxnSpPr/>
        </xdr:nvCxnSpPr>
        <xdr:spPr>
          <a:xfrm>
            <a:off x="4184647" y="4324568"/>
            <a:ext cx="2984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直接连接符 67">
            <a:extLst>
              <a:ext uri="{FF2B5EF4-FFF2-40B4-BE49-F238E27FC236}">
                <a16:creationId xmlns:a16="http://schemas.microsoft.com/office/drawing/2014/main" id="{00000000-0008-0000-0200-000081000000}"/>
              </a:ext>
            </a:extLst>
          </xdr:cNvPr>
          <xdr:cNvCxnSpPr/>
        </xdr:nvCxnSpPr>
        <xdr:spPr>
          <a:xfrm>
            <a:off x="4312069" y="4381636"/>
            <a:ext cx="174798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直接箭头连接符 68">
            <a:extLst>
              <a:ext uri="{FF2B5EF4-FFF2-40B4-BE49-F238E27FC236}">
                <a16:creationId xmlns:a16="http://schemas.microsoft.com/office/drawing/2014/main" id="{00000000-0008-0000-0200-000082000000}"/>
              </a:ext>
            </a:extLst>
          </xdr:cNvPr>
          <xdr:cNvCxnSpPr/>
        </xdr:nvCxnSpPr>
        <xdr:spPr>
          <a:xfrm>
            <a:off x="4333872" y="4178300"/>
            <a:ext cx="0" cy="146268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直接箭头连接符 69">
            <a:extLst>
              <a:ext uri="{FF2B5EF4-FFF2-40B4-BE49-F238E27FC236}">
                <a16:creationId xmlns:a16="http://schemas.microsoft.com/office/drawing/2014/main" id="{00000000-0008-0000-0200-000083000000}"/>
              </a:ext>
            </a:extLst>
          </xdr:cNvPr>
          <xdr:cNvCxnSpPr/>
        </xdr:nvCxnSpPr>
        <xdr:spPr>
          <a:xfrm flipV="1">
            <a:off x="4237644" y="4308395"/>
            <a:ext cx="5378" cy="220593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518231</xdr:colOff>
      <xdr:row>52</xdr:row>
      <xdr:rowOff>33916</xdr:rowOff>
    </xdr:from>
    <xdr:to>
      <xdr:col>7</xdr:col>
      <xdr:colOff>106013</xdr:colOff>
      <xdr:row>59</xdr:row>
      <xdr:rowOff>190758</xdr:rowOff>
    </xdr:to>
    <xdr:grpSp>
      <xdr:nvGrpSpPr>
        <xdr:cNvPr id="85" name="组合 84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1414702" y="13427187"/>
          <a:ext cx="7333287" cy="1913924"/>
          <a:chOff x="2839916" y="2470452"/>
          <a:chExt cx="4908659" cy="1899304"/>
        </a:xfrm>
      </xdr:grpSpPr>
      <xdr:sp macro="" textlink="">
        <xdr:nvSpPr>
          <xdr:cNvPr id="87" name="矩形 86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SpPr/>
        </xdr:nvSpPr>
        <xdr:spPr>
          <a:xfrm>
            <a:off x="3267156" y="2696165"/>
            <a:ext cx="4477574" cy="1462941"/>
          </a:xfrm>
          <a:prstGeom prst="rect">
            <a:avLst/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88" name="矩形 87">
            <a:extLst>
              <a:ext uri="{FF2B5EF4-FFF2-40B4-BE49-F238E27FC236}">
                <a16:creationId xmlns:a16="http://schemas.microsoft.com/office/drawing/2014/main" id="{00000000-0008-0000-0200-000066000000}"/>
              </a:ext>
            </a:extLst>
          </xdr:cNvPr>
          <xdr:cNvSpPr/>
        </xdr:nvSpPr>
        <xdr:spPr>
          <a:xfrm>
            <a:off x="3253884" y="2470452"/>
            <a:ext cx="4488785" cy="211845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89" name="矩形 88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SpPr/>
        </xdr:nvSpPr>
        <xdr:spPr>
          <a:xfrm>
            <a:off x="3259790" y="4157912"/>
            <a:ext cx="4488785" cy="211844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cxnSp macro="">
        <xdr:nvCxnSpPr>
          <xdr:cNvPr id="90" name="直接连接符 89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CxnSpPr/>
        </xdr:nvCxnSpPr>
        <xdr:spPr>
          <a:xfrm>
            <a:off x="2850577" y="2702064"/>
            <a:ext cx="42877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直接连接符 90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CxnSpPr/>
        </xdr:nvCxnSpPr>
        <xdr:spPr>
          <a:xfrm>
            <a:off x="2839916" y="4151557"/>
            <a:ext cx="42877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直接箭头连接符 91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CxnSpPr/>
        </xdr:nvCxnSpPr>
        <xdr:spPr>
          <a:xfrm>
            <a:off x="3089549" y="2696165"/>
            <a:ext cx="0" cy="1462941"/>
          </a:xfrm>
          <a:prstGeom prst="straightConnector1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直接连接符 92">
            <a:extLst>
              <a:ext uri="{FF2B5EF4-FFF2-40B4-BE49-F238E27FC236}">
                <a16:creationId xmlns:a16="http://schemas.microsoft.com/office/drawing/2014/main" id="{00000000-0008-0000-0200-00006B000000}"/>
              </a:ext>
            </a:extLst>
          </xdr:cNvPr>
          <xdr:cNvCxnSpPr/>
        </xdr:nvCxnSpPr>
        <xdr:spPr>
          <a:xfrm>
            <a:off x="2862061" y="2490421"/>
            <a:ext cx="42877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直接箭头连接符 93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CxnSpPr/>
        </xdr:nvCxnSpPr>
        <xdr:spPr>
          <a:xfrm flipV="1">
            <a:off x="3085182" y="2483094"/>
            <a:ext cx="0" cy="211845"/>
          </a:xfrm>
          <a:prstGeom prst="straightConnector1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1148487</xdr:colOff>
      <xdr:row>59</xdr:row>
      <xdr:rowOff>12740</xdr:rowOff>
    </xdr:from>
    <xdr:to>
      <xdr:col>3</xdr:col>
      <xdr:colOff>1148487</xdr:colOff>
      <xdr:row>59</xdr:row>
      <xdr:rowOff>12740</xdr:rowOff>
    </xdr:to>
    <xdr:cxnSp macro="">
      <xdr:nvCxnSpPr>
        <xdr:cNvPr id="86" name="直接连接符 85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/>
      </xdr:nvCxnSpPr>
      <xdr:spPr>
        <a:xfrm>
          <a:off x="2044958" y="16678128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518231</xdr:colOff>
      <xdr:row>59</xdr:row>
      <xdr:rowOff>216986</xdr:rowOff>
    </xdr:from>
    <xdr:to>
      <xdr:col>3</xdr:col>
      <xdr:colOff>1168978</xdr:colOff>
      <xdr:row>59</xdr:row>
      <xdr:rowOff>216986</xdr:rowOff>
    </xdr:to>
    <xdr:cxnSp macro="">
      <xdr:nvCxnSpPr>
        <xdr:cNvPr id="107" name="直接连接符 106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>
          <a:off x="1414702" y="16882374"/>
          <a:ext cx="65074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885784</xdr:colOff>
      <xdr:row>59</xdr:row>
      <xdr:rowOff>1833</xdr:rowOff>
    </xdr:from>
    <xdr:to>
      <xdr:col>3</xdr:col>
      <xdr:colOff>885784</xdr:colOff>
      <xdr:row>59</xdr:row>
      <xdr:rowOff>215309</xdr:rowOff>
    </xdr:to>
    <xdr:cxnSp macro="">
      <xdr:nvCxnSpPr>
        <xdr:cNvPr id="108" name="直接箭头连接符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>
        <a:xfrm flipV="1">
          <a:off x="1782255" y="16667221"/>
          <a:ext cx="0" cy="21347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670631</xdr:colOff>
      <xdr:row>46</xdr:row>
      <xdr:rowOff>118374</xdr:rowOff>
    </xdr:from>
    <xdr:to>
      <xdr:col>3</xdr:col>
      <xdr:colOff>1321378</xdr:colOff>
      <xdr:row>46</xdr:row>
      <xdr:rowOff>118374</xdr:rowOff>
    </xdr:to>
    <xdr:cxnSp macro="">
      <xdr:nvCxnSpPr>
        <xdr:cNvPr id="109" name="直接连接符 108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CxnSpPr/>
      </xdr:nvCxnSpPr>
      <xdr:spPr>
        <a:xfrm>
          <a:off x="1567102" y="11548374"/>
          <a:ext cx="65074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441157</xdr:colOff>
      <xdr:row>5</xdr:row>
      <xdr:rowOff>0</xdr:rowOff>
    </xdr:from>
    <xdr:to>
      <xdr:col>10</xdr:col>
      <xdr:colOff>0</xdr:colOff>
      <xdr:row>7</xdr:row>
      <xdr:rowOff>36095</xdr:rowOff>
    </xdr:to>
    <xdr:sp macro="" textlink="">
      <xdr:nvSpPr>
        <xdr:cNvPr id="5" name="弧形 4"/>
        <xdr:cNvSpPr/>
      </xdr:nvSpPr>
      <xdr:spPr>
        <a:xfrm>
          <a:off x="4860757" y="890337"/>
          <a:ext cx="320843" cy="389021"/>
        </a:xfrm>
        <a:prstGeom prst="arc">
          <a:avLst/>
        </a:prstGeom>
        <a:solidFill>
          <a:schemeClr val="bg2">
            <a:lumMod val="90000"/>
          </a:schemeClr>
        </a:solidFill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608356</xdr:colOff>
      <xdr:row>5</xdr:row>
      <xdr:rowOff>0</xdr:rowOff>
    </xdr:from>
    <xdr:to>
      <xdr:col>7</xdr:col>
      <xdr:colOff>167199</xdr:colOff>
      <xdr:row>7</xdr:row>
      <xdr:rowOff>36095</xdr:rowOff>
    </xdr:to>
    <xdr:sp macro="" textlink="">
      <xdr:nvSpPr>
        <xdr:cNvPr id="6" name="弧形 5"/>
        <xdr:cNvSpPr/>
      </xdr:nvSpPr>
      <xdr:spPr>
        <a:xfrm flipH="1">
          <a:off x="3656356" y="877614"/>
          <a:ext cx="320843" cy="382936"/>
        </a:xfrm>
        <a:prstGeom prst="arc">
          <a:avLst/>
        </a:prstGeom>
        <a:solidFill>
          <a:schemeClr val="bg2">
            <a:lumMod val="90000"/>
          </a:schemeClr>
        </a:solidFill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33129</xdr:colOff>
      <xdr:row>8</xdr:row>
      <xdr:rowOff>26505</xdr:rowOff>
    </xdr:from>
    <xdr:to>
      <xdr:col>6</xdr:col>
      <xdr:colOff>0</xdr:colOff>
      <xdr:row>10</xdr:row>
      <xdr:rowOff>2</xdr:rowOff>
    </xdr:to>
    <xdr:sp macro="" textlink="">
      <xdr:nvSpPr>
        <xdr:cNvPr id="7" name="弧形 6"/>
        <xdr:cNvSpPr/>
      </xdr:nvSpPr>
      <xdr:spPr>
        <a:xfrm rot="5400000">
          <a:off x="3240155" y="1258957"/>
          <a:ext cx="258419" cy="576471"/>
        </a:xfrm>
        <a:prstGeom prst="arc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152399</xdr:colOff>
      <xdr:row>8</xdr:row>
      <xdr:rowOff>26505</xdr:rowOff>
    </xdr:from>
    <xdr:to>
      <xdr:col>10</xdr:col>
      <xdr:colOff>576470</xdr:colOff>
      <xdr:row>10</xdr:row>
      <xdr:rowOff>2</xdr:rowOff>
    </xdr:to>
    <xdr:sp macro="" textlink="">
      <xdr:nvSpPr>
        <xdr:cNvPr id="9" name="弧形 8"/>
        <xdr:cNvSpPr/>
      </xdr:nvSpPr>
      <xdr:spPr>
        <a:xfrm rot="16200000" flipH="1">
          <a:off x="5340625" y="1258957"/>
          <a:ext cx="258419" cy="576471"/>
        </a:xfrm>
        <a:prstGeom prst="arc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119269</xdr:colOff>
      <xdr:row>10</xdr:row>
      <xdr:rowOff>0</xdr:rowOff>
    </xdr:from>
    <xdr:to>
      <xdr:col>4</xdr:col>
      <xdr:colOff>119269</xdr:colOff>
      <xdr:row>16</xdr:row>
      <xdr:rowOff>178904</xdr:rowOff>
    </xdr:to>
    <xdr:cxnSp macro="">
      <xdr:nvCxnSpPr>
        <xdr:cNvPr id="11" name="直接箭头连接符 10"/>
        <xdr:cNvCxnSpPr/>
      </xdr:nvCxnSpPr>
      <xdr:spPr>
        <a:xfrm>
          <a:off x="2557669" y="1676400"/>
          <a:ext cx="0" cy="12125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6624</xdr:colOff>
      <xdr:row>5</xdr:row>
      <xdr:rowOff>6627</xdr:rowOff>
    </xdr:from>
    <xdr:to>
      <xdr:col>8</xdr:col>
      <xdr:colOff>6624</xdr:colOff>
      <xdr:row>9</xdr:row>
      <xdr:rowOff>13252</xdr:rowOff>
    </xdr:to>
    <xdr:cxnSp macro="">
      <xdr:nvCxnSpPr>
        <xdr:cNvPr id="13" name="直接箭头连接符 12"/>
        <xdr:cNvCxnSpPr/>
      </xdr:nvCxnSpPr>
      <xdr:spPr>
        <a:xfrm>
          <a:off x="4048537" y="881270"/>
          <a:ext cx="0" cy="70899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576470</xdr:colOff>
      <xdr:row>4</xdr:row>
      <xdr:rowOff>185530</xdr:rowOff>
    </xdr:from>
    <xdr:to>
      <xdr:col>10</xdr:col>
      <xdr:colOff>576470</xdr:colOff>
      <xdr:row>9</xdr:row>
      <xdr:rowOff>92764</xdr:rowOff>
    </xdr:to>
    <xdr:cxnSp macro="">
      <xdr:nvCxnSpPr>
        <xdr:cNvPr id="20" name="直接箭头连接符 19"/>
        <xdr:cNvCxnSpPr/>
      </xdr:nvCxnSpPr>
      <xdr:spPr>
        <a:xfrm>
          <a:off x="5380383" y="874643"/>
          <a:ext cx="0" cy="7951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159026</xdr:colOff>
      <xdr:row>10</xdr:row>
      <xdr:rowOff>86139</xdr:rowOff>
    </xdr:from>
    <xdr:to>
      <xdr:col>13</xdr:col>
      <xdr:colOff>159026</xdr:colOff>
      <xdr:row>16</xdr:row>
      <xdr:rowOff>178904</xdr:rowOff>
    </xdr:to>
    <xdr:cxnSp macro="">
      <xdr:nvCxnSpPr>
        <xdr:cNvPr id="21" name="直接箭头连接符 20"/>
        <xdr:cNvCxnSpPr/>
      </xdr:nvCxnSpPr>
      <xdr:spPr>
        <a:xfrm>
          <a:off x="6791739" y="1762539"/>
          <a:ext cx="0" cy="105354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547180</xdr:colOff>
      <xdr:row>9</xdr:row>
      <xdr:rowOff>33131</xdr:rowOff>
    </xdr:from>
    <xdr:ext cx="1096090" cy="231282"/>
    <xdr:sp macro="" textlink="">
      <xdr:nvSpPr>
        <xdr:cNvPr id="26" name="矩形 25"/>
        <xdr:cNvSpPr/>
      </xdr:nvSpPr>
      <xdr:spPr>
        <a:xfrm>
          <a:off x="3217493" y="1610140"/>
          <a:ext cx="1096090" cy="23128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zh-CN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2.5±0.5</a:t>
          </a:r>
          <a:r>
            <a:rPr lang="zh-CN" alt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极耳胶</a:t>
          </a:r>
        </a:p>
      </xdr:txBody>
    </xdr:sp>
    <xdr:clientData/>
  </xdr:oneCellAnchor>
  <xdr:oneCellAnchor>
    <xdr:from>
      <xdr:col>5</xdr:col>
      <xdr:colOff>547180</xdr:colOff>
      <xdr:row>8</xdr:row>
      <xdr:rowOff>112645</xdr:rowOff>
    </xdr:from>
    <xdr:ext cx="1096090" cy="231282"/>
    <xdr:sp macro="" textlink="">
      <xdr:nvSpPr>
        <xdr:cNvPr id="28" name="矩形 27"/>
        <xdr:cNvSpPr/>
      </xdr:nvSpPr>
      <xdr:spPr>
        <a:xfrm>
          <a:off x="3217493" y="1504123"/>
          <a:ext cx="1096090" cy="23128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zh-CN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2.5±0.5</a:t>
          </a:r>
          <a:r>
            <a:rPr lang="zh-CN" alt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极耳胶</a:t>
          </a:r>
        </a:p>
      </xdr:txBody>
    </xdr:sp>
    <xdr:clientData/>
  </xdr:oneCellAnchor>
  <xdr:twoCellAnchor>
    <xdr:from>
      <xdr:col>5</xdr:col>
      <xdr:colOff>321364</xdr:colOff>
      <xdr:row>10</xdr:row>
      <xdr:rowOff>2</xdr:rowOff>
    </xdr:from>
    <xdr:to>
      <xdr:col>5</xdr:col>
      <xdr:colOff>324678</xdr:colOff>
      <xdr:row>12</xdr:row>
      <xdr:rowOff>86139</xdr:rowOff>
    </xdr:to>
    <xdr:cxnSp macro="">
      <xdr:nvCxnSpPr>
        <xdr:cNvPr id="33" name="直接连接符 32"/>
        <xdr:cNvCxnSpPr>
          <a:stCxn id="7" idx="2"/>
        </xdr:cNvCxnSpPr>
      </xdr:nvCxnSpPr>
      <xdr:spPr>
        <a:xfrm>
          <a:off x="2991677" y="1676402"/>
          <a:ext cx="3314" cy="357807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208721</xdr:colOff>
      <xdr:row>10</xdr:row>
      <xdr:rowOff>2</xdr:rowOff>
    </xdr:from>
    <xdr:to>
      <xdr:col>10</xdr:col>
      <xdr:colOff>212035</xdr:colOff>
      <xdr:row>12</xdr:row>
      <xdr:rowOff>86139</xdr:rowOff>
    </xdr:to>
    <xdr:cxnSp macro="">
      <xdr:nvCxnSpPr>
        <xdr:cNvPr id="34" name="直接连接符 33"/>
        <xdr:cNvCxnSpPr/>
      </xdr:nvCxnSpPr>
      <xdr:spPr>
        <a:xfrm>
          <a:off x="5012634" y="1676402"/>
          <a:ext cx="3314" cy="357807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337930</xdr:colOff>
      <xdr:row>11</xdr:row>
      <xdr:rowOff>152400</xdr:rowOff>
    </xdr:from>
    <xdr:to>
      <xdr:col>10</xdr:col>
      <xdr:colOff>198783</xdr:colOff>
      <xdr:row>11</xdr:row>
      <xdr:rowOff>152400</xdr:rowOff>
    </xdr:to>
    <xdr:cxnSp macro="">
      <xdr:nvCxnSpPr>
        <xdr:cNvPr id="36" name="直接箭头连接符 35"/>
        <xdr:cNvCxnSpPr/>
      </xdr:nvCxnSpPr>
      <xdr:spPr>
        <a:xfrm>
          <a:off x="3008243" y="1928191"/>
          <a:ext cx="199445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178904</xdr:colOff>
      <xdr:row>8</xdr:row>
      <xdr:rowOff>19879</xdr:rowOff>
    </xdr:from>
    <xdr:to>
      <xdr:col>5</xdr:col>
      <xdr:colOff>516834</xdr:colOff>
      <xdr:row>9</xdr:row>
      <xdr:rowOff>39756</xdr:rowOff>
    </xdr:to>
    <xdr:cxnSp macro="">
      <xdr:nvCxnSpPr>
        <xdr:cNvPr id="38" name="直接箭头连接符 37"/>
        <xdr:cNvCxnSpPr/>
      </xdr:nvCxnSpPr>
      <xdr:spPr>
        <a:xfrm>
          <a:off x="2849217" y="1411357"/>
          <a:ext cx="337930" cy="2054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96605</xdr:colOff>
      <xdr:row>7</xdr:row>
      <xdr:rowOff>112644</xdr:rowOff>
    </xdr:from>
    <xdr:ext cx="1096090" cy="217560"/>
    <xdr:sp macro="" textlink="">
      <xdr:nvSpPr>
        <xdr:cNvPr id="39" name="矩形 38"/>
        <xdr:cNvSpPr/>
      </xdr:nvSpPr>
      <xdr:spPr>
        <a:xfrm>
          <a:off x="2535005" y="1331844"/>
          <a:ext cx="1096090" cy="217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zh-CN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R2</a:t>
          </a:r>
          <a:endParaRPr lang="zh-CN" altLang="en-US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5</xdr:col>
      <xdr:colOff>324678</xdr:colOff>
      <xdr:row>4</xdr:row>
      <xdr:rowOff>66261</xdr:rowOff>
    </xdr:from>
    <xdr:to>
      <xdr:col>6</xdr:col>
      <xdr:colOff>53008</xdr:colOff>
      <xdr:row>5</xdr:row>
      <xdr:rowOff>86139</xdr:rowOff>
    </xdr:to>
    <xdr:cxnSp macro="">
      <xdr:nvCxnSpPr>
        <xdr:cNvPr id="40" name="直接箭头连接符 39"/>
        <xdr:cNvCxnSpPr/>
      </xdr:nvCxnSpPr>
      <xdr:spPr>
        <a:xfrm>
          <a:off x="2994991" y="755374"/>
          <a:ext cx="337930" cy="2054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10466</xdr:colOff>
      <xdr:row>3</xdr:row>
      <xdr:rowOff>159026</xdr:rowOff>
    </xdr:from>
    <xdr:ext cx="1096090" cy="217560"/>
    <xdr:sp macro="" textlink="">
      <xdr:nvSpPr>
        <xdr:cNvPr id="41" name="矩形 40"/>
        <xdr:cNvSpPr/>
      </xdr:nvSpPr>
      <xdr:spPr>
        <a:xfrm>
          <a:off x="2680779" y="675861"/>
          <a:ext cx="1096090" cy="217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zh-CN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R2</a:t>
          </a:r>
          <a:endParaRPr lang="zh-CN" altLang="en-US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15</xdr:col>
      <xdr:colOff>589723</xdr:colOff>
      <xdr:row>16</xdr:row>
      <xdr:rowOff>185524</xdr:rowOff>
    </xdr:from>
    <xdr:to>
      <xdr:col>23</xdr:col>
      <xdr:colOff>132523</xdr:colOff>
      <xdr:row>29</xdr:row>
      <xdr:rowOff>47998</xdr:rowOff>
    </xdr:to>
    <xdr:pic>
      <xdr:nvPicPr>
        <xdr:cNvPr id="78" name="图片 7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8077201" y="2822707"/>
          <a:ext cx="4419600" cy="2115343"/>
        </a:xfrm>
        <a:prstGeom prst="rect">
          <a:avLst/>
        </a:prstGeom>
      </xdr:spPr>
    </xdr:pic>
    <xdr:clientData/>
  </xdr:twoCellAnchor>
  <xdr:twoCellAnchor editAs="oneCell">
    <xdr:from>
      <xdr:col>15</xdr:col>
      <xdr:colOff>589723</xdr:colOff>
      <xdr:row>4</xdr:row>
      <xdr:rowOff>39751</xdr:rowOff>
    </xdr:from>
    <xdr:to>
      <xdr:col>23</xdr:col>
      <xdr:colOff>132523</xdr:colOff>
      <xdr:row>17</xdr:row>
      <xdr:rowOff>21494</xdr:rowOff>
    </xdr:to>
    <xdr:pic>
      <xdr:nvPicPr>
        <xdr:cNvPr id="79" name="图片 7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1" y="728864"/>
          <a:ext cx="4419600" cy="2115343"/>
        </a:xfrm>
        <a:prstGeom prst="rect">
          <a:avLst/>
        </a:prstGeom>
      </xdr:spPr>
    </xdr:pic>
    <xdr:clientData/>
  </xdr:twoCellAnchor>
  <xdr:twoCellAnchor>
    <xdr:from>
      <xdr:col>16</xdr:col>
      <xdr:colOff>172278</xdr:colOff>
      <xdr:row>17</xdr:row>
      <xdr:rowOff>19878</xdr:rowOff>
    </xdr:from>
    <xdr:to>
      <xdr:col>22</xdr:col>
      <xdr:colOff>192156</xdr:colOff>
      <xdr:row>17</xdr:row>
      <xdr:rowOff>19878</xdr:rowOff>
    </xdr:to>
    <xdr:cxnSp macro="">
      <xdr:nvCxnSpPr>
        <xdr:cNvPr id="81" name="直接箭头连接符 80"/>
        <xdr:cNvCxnSpPr/>
      </xdr:nvCxnSpPr>
      <xdr:spPr>
        <a:xfrm>
          <a:off x="8269356" y="2842591"/>
          <a:ext cx="3677478" cy="0"/>
        </a:xfrm>
        <a:prstGeom prst="straightConnector1">
          <a:avLst/>
        </a:prstGeom>
        <a:ln w="28575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543339</xdr:colOff>
      <xdr:row>10</xdr:row>
      <xdr:rowOff>53009</xdr:rowOff>
    </xdr:from>
    <xdr:to>
      <xdr:col>15</xdr:col>
      <xdr:colOff>543339</xdr:colOff>
      <xdr:row>23</xdr:row>
      <xdr:rowOff>33130</xdr:rowOff>
    </xdr:to>
    <xdr:cxnSp macro="">
      <xdr:nvCxnSpPr>
        <xdr:cNvPr id="83" name="直接箭头连接符 82"/>
        <xdr:cNvCxnSpPr/>
      </xdr:nvCxnSpPr>
      <xdr:spPr>
        <a:xfrm>
          <a:off x="8030817" y="1729409"/>
          <a:ext cx="0" cy="216010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437322</xdr:colOff>
      <xdr:row>10</xdr:row>
      <xdr:rowOff>53009</xdr:rowOff>
    </xdr:from>
    <xdr:to>
      <xdr:col>16</xdr:col>
      <xdr:colOff>523461</xdr:colOff>
      <xdr:row>10</xdr:row>
      <xdr:rowOff>53009</xdr:rowOff>
    </xdr:to>
    <xdr:cxnSp macro="">
      <xdr:nvCxnSpPr>
        <xdr:cNvPr id="85" name="直接连接符 84"/>
        <xdr:cNvCxnSpPr/>
      </xdr:nvCxnSpPr>
      <xdr:spPr>
        <a:xfrm>
          <a:off x="7924800" y="1729409"/>
          <a:ext cx="695739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437322</xdr:colOff>
      <xdr:row>23</xdr:row>
      <xdr:rowOff>72887</xdr:rowOff>
    </xdr:from>
    <xdr:to>
      <xdr:col>16</xdr:col>
      <xdr:colOff>523461</xdr:colOff>
      <xdr:row>23</xdr:row>
      <xdr:rowOff>72887</xdr:rowOff>
    </xdr:to>
    <xdr:cxnSp macro="">
      <xdr:nvCxnSpPr>
        <xdr:cNvPr id="87" name="直接连接符 86"/>
        <xdr:cNvCxnSpPr/>
      </xdr:nvCxnSpPr>
      <xdr:spPr>
        <a:xfrm>
          <a:off x="7924800" y="3929270"/>
          <a:ext cx="695739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106018</xdr:colOff>
      <xdr:row>15</xdr:row>
      <xdr:rowOff>159027</xdr:rowOff>
    </xdr:from>
    <xdr:ext cx="778868" cy="283411"/>
    <xdr:sp macro="" textlink="">
      <xdr:nvSpPr>
        <xdr:cNvPr id="89" name="文本框 88"/>
        <xdr:cNvSpPr txBox="1"/>
      </xdr:nvSpPr>
      <xdr:spPr>
        <a:xfrm>
          <a:off x="7593496" y="2623931"/>
          <a:ext cx="778868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195.8±0.5</a:t>
          </a:r>
          <a:endParaRPr lang="zh-CN" altLang="en-US" sz="1100"/>
        </a:p>
      </xdr:txBody>
    </xdr:sp>
    <xdr:clientData/>
  </xdr:oneCellAnchor>
  <xdr:twoCellAnchor>
    <xdr:from>
      <xdr:col>20</xdr:col>
      <xdr:colOff>589721</xdr:colOff>
      <xdr:row>11</xdr:row>
      <xdr:rowOff>53009</xdr:rowOff>
    </xdr:from>
    <xdr:to>
      <xdr:col>20</xdr:col>
      <xdr:colOff>589721</xdr:colOff>
      <xdr:row>22</xdr:row>
      <xdr:rowOff>152400</xdr:rowOff>
    </xdr:to>
    <xdr:cxnSp macro="">
      <xdr:nvCxnSpPr>
        <xdr:cNvPr id="90" name="直接箭头连接符 89"/>
        <xdr:cNvCxnSpPr/>
      </xdr:nvCxnSpPr>
      <xdr:spPr>
        <a:xfrm>
          <a:off x="11125199" y="1828800"/>
          <a:ext cx="0" cy="200770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72888</xdr:colOff>
      <xdr:row>15</xdr:row>
      <xdr:rowOff>106018</xdr:rowOff>
    </xdr:from>
    <xdr:ext cx="778868" cy="283411"/>
    <xdr:sp macro="" textlink="">
      <xdr:nvSpPr>
        <xdr:cNvPr id="92" name="文本框 91"/>
        <xdr:cNvSpPr txBox="1"/>
      </xdr:nvSpPr>
      <xdr:spPr>
        <a:xfrm>
          <a:off x="10608366" y="2570922"/>
          <a:ext cx="778868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185.8±0.5</a:t>
          </a:r>
          <a:endParaRPr lang="zh-CN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40</xdr:row>
      <xdr:rowOff>38100</xdr:rowOff>
    </xdr:from>
    <xdr:to>
      <xdr:col>8</xdr:col>
      <xdr:colOff>15240</xdr:colOff>
      <xdr:row>47</xdr:row>
      <xdr:rowOff>53340</xdr:rowOff>
    </xdr:to>
    <xdr:grpSp>
      <xdr:nvGrpSpPr>
        <xdr:cNvPr id="2" name="组合 1"/>
        <xdr:cNvGrpSpPr/>
      </xdr:nvGrpSpPr>
      <xdr:grpSpPr>
        <a:xfrm>
          <a:off x="135255" y="9867900"/>
          <a:ext cx="10748010" cy="1748790"/>
          <a:chOff x="18769699" y="7476486"/>
          <a:chExt cx="10001244" cy="2270310"/>
        </a:xfrm>
      </xdr:grpSpPr>
      <xdr:pic>
        <xdr:nvPicPr>
          <xdr:cNvPr id="3" name="Picture 1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>
          <a:xfrm>
            <a:off x="18769699" y="7476486"/>
            <a:ext cx="10001244" cy="2270310"/>
          </a:xfrm>
          <a:prstGeom prst="rect">
            <a:avLst/>
          </a:prstGeom>
          <a:noFill/>
          <a:ln w="1">
            <a:solidFill>
              <a:schemeClr val="tx1"/>
            </a:solidFill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4" name="TextBox 7"/>
          <xdr:cNvSpPr txBox="1"/>
        </xdr:nvSpPr>
        <xdr:spPr>
          <a:xfrm>
            <a:off x="19354799" y="8782051"/>
            <a:ext cx="877163" cy="3924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spAutoFit/>
          </a:bodyPr>
          <a:lstStyle/>
          <a:p>
            <a:r>
              <a:rPr lang="zh-CN" altLang="en-US" sz="1800" b="1"/>
              <a:t>正极片</a:t>
            </a:r>
          </a:p>
        </xdr:txBody>
      </xdr:sp>
    </xdr:grpSp>
    <xdr:clientData/>
  </xdr:twoCellAnchor>
  <xdr:twoCellAnchor>
    <xdr:from>
      <xdr:col>1</xdr:col>
      <xdr:colOff>83820</xdr:colOff>
      <xdr:row>47</xdr:row>
      <xdr:rowOff>228600</xdr:rowOff>
    </xdr:from>
    <xdr:to>
      <xdr:col>7</xdr:col>
      <xdr:colOff>1379220</xdr:colOff>
      <xdr:row>54</xdr:row>
      <xdr:rowOff>121920</xdr:rowOff>
    </xdr:to>
    <xdr:pic>
      <xdr:nvPicPr>
        <xdr:cNvPr id="5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44780" y="9128760"/>
          <a:ext cx="7673340" cy="1653540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37</xdr:row>
      <xdr:rowOff>38100</xdr:rowOff>
    </xdr:from>
    <xdr:to>
      <xdr:col>8</xdr:col>
      <xdr:colOff>15240</xdr:colOff>
      <xdr:row>44</xdr:row>
      <xdr:rowOff>53340</xdr:rowOff>
    </xdr:to>
    <xdr:grpSp>
      <xdr:nvGrpSpPr>
        <xdr:cNvPr id="2" name="组合 1"/>
        <xdr:cNvGrpSpPr/>
      </xdr:nvGrpSpPr>
      <xdr:grpSpPr>
        <a:xfrm>
          <a:off x="138430" y="9283700"/>
          <a:ext cx="10240010" cy="1793240"/>
          <a:chOff x="18769699" y="7476486"/>
          <a:chExt cx="10001244" cy="2270310"/>
        </a:xfrm>
      </xdr:grpSpPr>
      <xdr:pic>
        <xdr:nvPicPr>
          <xdr:cNvPr id="3" name="Picture 1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>
          <a:xfrm>
            <a:off x="18769699" y="7476486"/>
            <a:ext cx="10001244" cy="2270310"/>
          </a:xfrm>
          <a:prstGeom prst="rect">
            <a:avLst/>
          </a:prstGeom>
          <a:noFill/>
          <a:ln w="1">
            <a:solidFill>
              <a:schemeClr val="tx1"/>
            </a:solidFill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4" name="TextBox 7"/>
          <xdr:cNvSpPr txBox="1"/>
        </xdr:nvSpPr>
        <xdr:spPr>
          <a:xfrm>
            <a:off x="19354799" y="8782051"/>
            <a:ext cx="877163" cy="3924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spAutoFit/>
          </a:bodyPr>
          <a:lstStyle/>
          <a:p>
            <a:r>
              <a:rPr lang="zh-CN" altLang="en-US" sz="1800" b="1"/>
              <a:t>正极片</a:t>
            </a:r>
          </a:p>
        </xdr:txBody>
      </xdr:sp>
    </xdr:grpSp>
    <xdr:clientData/>
  </xdr:twoCellAnchor>
  <xdr:twoCellAnchor>
    <xdr:from>
      <xdr:col>1</xdr:col>
      <xdr:colOff>83820</xdr:colOff>
      <xdr:row>44</xdr:row>
      <xdr:rowOff>228600</xdr:rowOff>
    </xdr:from>
    <xdr:to>
      <xdr:col>7</xdr:col>
      <xdr:colOff>1379220</xdr:colOff>
      <xdr:row>51</xdr:row>
      <xdr:rowOff>121920</xdr:rowOff>
    </xdr:to>
    <xdr:pic>
      <xdr:nvPicPr>
        <xdr:cNvPr id="5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153670" y="11715750"/>
          <a:ext cx="9207500" cy="1671320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</xdr:colOff>
      <xdr:row>52</xdr:row>
      <xdr:rowOff>47625</xdr:rowOff>
    </xdr:from>
    <xdr:ext cx="6914541" cy="3283897"/>
    <xdr:pic>
      <xdr:nvPicPr>
        <xdr:cNvPr id="2" name="图片 1" descr="D:\1\企业微信文件\新电脑\WXWork\1688851194450111\Cache\Image\2021-04\企业微信截图_161943754454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3345" y="9557385"/>
          <a:ext cx="6914541" cy="3283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19050</xdr:colOff>
      <xdr:row>50</xdr:row>
      <xdr:rowOff>31750</xdr:rowOff>
    </xdr:from>
    <xdr:ext cx="4639891" cy="3697187"/>
    <xdr:pic>
      <xdr:nvPicPr>
        <xdr:cNvPr id="3" name="图片 2" descr="D:\1\企业微信文件\新电脑\WXWork\1688851194450111\Cache\Image\2021-04\企业微信截图_16193466137012(2)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" y="9175750"/>
          <a:ext cx="4639891" cy="3697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-file1\PROJ-3\lyb\&#26032;&#24314;&#25991;&#20214;&#22841;(3)\M62\ENG\0619\Finished\2003\1201\RDP-3-1201L%20ADE-5%20to%20improve%20overcharge%20Summa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yb\&#26032;&#24314;&#25991;&#20214;&#22841;(3)\M62\ENG\0619\Finished\2003\1201\RDP-3-1201L%20ADE-5%20to%20improve%20overcharge%20Summar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NG-7-0924L\&#24120;&#29992;&#25991;&#26723;\&#20010;&#20154;&#20107;&#21153;\Cell%20Design\Reference\LiFePO4\Pulead\QA\lyb\&#26032;&#24314;&#25991;&#20214;&#22841;(3)\M62\ENG\0619\Finished\2003\1201\RDP-3-1201L%20ADE-5%20to%20improve%20overcharge%20Summ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NQ-23\KCHAN\Forms\WINDOWS\TEMP\DOCBKUP\DOC\ENGDOC\QCFC\TMK\Tmk280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E\ME%20Office\Dept%20project\MFG-PEprojectarrangementrev03-06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-file\HR\Ding%20Zhang\Persons%20list\O-Chart\DOCUME~1\cxhuang\LOCALS~1\Temp\temp%20-%20a%20xi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4037;&#20316;&#25991;&#20214;\&#25105;&#20570;&#30340;FA\F099\614%20M4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&#25991;&#20214;\&#25105;&#20570;&#30340;FA\F099\614%20M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QADATA\TEST\TIMEOAT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yb\&#26032;&#24314;&#25991;&#20214;&#22841;(3)\M62\ENG\0619\Finished\2003\1201\RDP-3-1201L%20ADE-5%20to%20improve%20overcharge%20Summar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2000\Macro\Macro%20for%20ENG%20Data%20Process%202000%20(V1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-file\PE-1\Documents%20and%20Settings\GENY.JIANG\Local%20Settings\Temporary%20Internet%20Files\OLK61\Documents%20and%20Settings\Jeff_W_Scott\Local%20Settings\Temporary%20Internet%20Files\OLK1C\PPA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-file\PROJ-3\Documents%20and%20Settings\ZhangLei\Local%20Settings\Temporary%20Internet%20Files\OLKDA\59E7Q0\Distribution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lleague\EV%20and%20HEV\xu%20jm\package\RDP-7-01002L\EV%20Project%20plan-zhang%20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lleague\EV%20and%20HEV\xu%20jm\package\RDP-7-01002L\EV%20Project%20plan-zhang%20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ohua.guo\Desktop\&#39033;&#30446;\&#23567;&#31859;&#39033;&#30446;\N1\B&#26679;\B&#26679;&#26041;&#26696;-%2040.4-245.5-122.5-76&#24230;&#30005;-&#21472;&#29255;(97.8&#37197;&#26041;)-200&#38754;&#23494;&#22686;&#39640;4.9mm%20&#20943;&#34180;1.3m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ckage"/>
      <sheetName val="Database"/>
      <sheetName val="电解液灌注量"/>
      <sheetName val="Fading"/>
      <sheetName val="Pleteau"/>
      <sheetName val="E4"/>
      <sheetName val="E4 ADE-5"/>
      <sheetName val="0612B0609011-1"/>
      <sheetName val="DR-061361201014"/>
      <sheetName val="DR-061361201031"/>
      <sheetName val="DR-061361201059"/>
      <sheetName val="DR-061361202023"/>
      <sheetName val="DR-061361202036"/>
      <sheetName val="DR-061361202054"/>
      <sheetName val="DR-061361203010"/>
      <sheetName val="DR-061361203018"/>
      <sheetName val="DR-061361203042"/>
      <sheetName val="DR-061361204004"/>
      <sheetName val="DR-061361204009"/>
      <sheetName val="DR-061361204055"/>
      <sheetName val="HL-061362201030"/>
      <sheetName val="HL-061362201031"/>
      <sheetName val="HL-061362201033"/>
      <sheetName val="HL-061362202021"/>
      <sheetName val="HL-061362202030"/>
      <sheetName val="HL-061362202032"/>
      <sheetName val="HL-061362203001"/>
      <sheetName val="HL-061362203006"/>
      <sheetName val="HL-061362203015"/>
      <sheetName val="HL-061362204016"/>
      <sheetName val="HL-061362204018"/>
      <sheetName val="HL-061362204027"/>
      <sheetName val="6.阳极涂布产能"/>
      <sheetName val="DCR-Summary"/>
      <sheetName val="11N247400018"/>
      <sheetName val="11N245500316"/>
      <sheetName val="11N245500334"/>
      <sheetName val="11N245600085"/>
      <sheetName val="11N246200145"/>
      <sheetName val="11N246200205"/>
      <sheetName val="11N242600073"/>
      <sheetName val="11N243100006"/>
      <sheetName val="11N244200143"/>
      <sheetName val="11N241400228"/>
      <sheetName val="11N224200012"/>
      <sheetName val="11N231200041"/>
      <sheetName val="11N232500296"/>
      <sheetName val="Electrode"/>
      <sheetName val="data"/>
      <sheetName val="Rate"/>
      <sheetName val="14447NA2"/>
      <sheetName val="14447-NA"/>
      <sheetName val="14447-N1"/>
      <sheetName val="Category"/>
      <sheetName val="CD_Data"/>
      <sheetName val="815094winding structrue"/>
      <sheetName val="Fading_Data"/>
      <sheetName val="Capacity Retention_Data"/>
      <sheetName val="Sheet1"/>
      <sheetName val="E4_ADE-5"/>
      <sheetName val="6_阳极涂布产能"/>
      <sheetName val="0206NA01"/>
      <sheetName val="0206NA02"/>
      <sheetName val="0206NA03"/>
      <sheetName val="0206NA04"/>
      <sheetName val="0206NA06"/>
      <sheetName val="0206NA07"/>
      <sheetName val="0206NA08"/>
      <sheetName val="0206NA09"/>
      <sheetName val="0206NA10"/>
      <sheetName val="0206NA11"/>
      <sheetName val="0206NA12"/>
      <sheetName val="0206NA13"/>
      <sheetName val="0206NA14"/>
      <sheetName val="0206NA15"/>
      <sheetName val="0206NA16"/>
      <sheetName val="0206NA17"/>
      <sheetName val="0206NA05"/>
      <sheetName val="SLS-F-D1-1.xls2"/>
      <sheetName val="SLS-F-D1-2.xls3"/>
      <sheetName val="SLS-F-D1-3.xls4"/>
      <sheetName val="SLS-F-D1-5.xls6"/>
      <sheetName val="Sheet3"/>
      <sheetName val="常用PN"/>
      <sheetName val="RDP-3-1201L ADE-5 to improve ov"/>
      <sheetName val="HPPC "/>
      <sheetName val="Fading_Data (3)"/>
      <sheetName val="Fading_Data (2)"/>
      <sheetName val="测试列表"/>
      <sheetName val="E4_ADE-51"/>
      <sheetName val="6_阳极涂布产能1"/>
      <sheetName val="815094winding_structrue"/>
      <sheetName val="Capacity_Retention_Data"/>
      <sheetName val="SLS-F-D1-1_xls2"/>
      <sheetName val="SLS-F-D1-2_xls3"/>
      <sheetName val="SLS-F-D1-3_xls4"/>
      <sheetName val="SLS-F-D1-5_xls6"/>
      <sheetName val="RDP-3-1201L_ADE-5_to_improve_ov"/>
      <sheetName val="HPPC_"/>
      <sheetName val="Fading_Data_(3)"/>
      <sheetName val="Fading_Data_(2)"/>
      <sheetName val="E4_ADE-52"/>
      <sheetName val="6_阳极涂布产能2"/>
      <sheetName val="815094winding_structrue1"/>
      <sheetName val="Capacity_Retention_Data1"/>
      <sheetName val="SLS-F-D1-1_xls21"/>
      <sheetName val="SLS-F-D1-2_xls31"/>
      <sheetName val="SLS-F-D1-3_xls41"/>
      <sheetName val="SLS-F-D1-5_xls61"/>
      <sheetName val="RDP-3-1201L_ADE-5_to_improve_o1"/>
      <sheetName val="HPPC_1"/>
      <sheetName val="Fading_Data_(3)1"/>
      <sheetName val="Fading_Data_(2)1"/>
      <sheetName val="E4_ADE-53"/>
      <sheetName val="6_阳极涂布产能3"/>
      <sheetName val="815094winding_structrue2"/>
      <sheetName val="Capacity_Retention_Data2"/>
      <sheetName val="SLS-F-D1-1_xls22"/>
      <sheetName val="SLS-F-D1-2_xls32"/>
      <sheetName val="SLS-F-D1-3_xls42"/>
      <sheetName val="SLS-F-D1-5_xls62"/>
      <sheetName val="RDP-3-1201L_ADE-5_to_improve_o2"/>
      <sheetName val="HPPC_2"/>
      <sheetName val="Fading_Data_(3)2"/>
      <sheetName val="Fading_Data_(2)2"/>
      <sheetName val="参数表"/>
      <sheetName val="TMK280-02"/>
      <sheetName val="pe"/>
      <sheetName val="3-8"/>
      <sheetName val="数据统计"/>
      <sheetName val="Sheet2"/>
      <sheetName val="2_Powermap simple(DC)"/>
      <sheetName val="45Degc 4C1C_30_DCR"/>
      <sheetName val="流程说明"/>
      <sheetName val="其它文件登记"/>
      <sheetName val="数据有效性"/>
      <sheetName val="Project code"/>
      <sheetName val="类别分类"/>
      <sheetName val="MI号"/>
      <sheetName val="问题类别区域分组"/>
      <sheetName val="Raw data"/>
      <sheetName val="PC summary"/>
      <sheetName val="Summarize"/>
      <sheetName val="data3 "/>
      <sheetName val="EIS Data"/>
      <sheetName val="分类汇总"/>
      <sheetName val="Pressure_Data"/>
      <sheetName val="Analysis"/>
      <sheetName val="使用说明"/>
      <sheetName val="备注"/>
      <sheetName val="Appendix"/>
      <sheetName val="DRATE-Summary"/>
      <sheetName val="DR-0617AA701117"/>
      <sheetName val="DR-0617AA701118"/>
      <sheetName val="拉线清单"/>
      <sheetName val="人员名单"/>
      <sheetName val="设备名称"/>
      <sheetName val="统计说明"/>
      <sheetName val="模版说明"/>
      <sheetName val="CRate"/>
      <sheetName val="Task_LOP_Summarize"/>
      <sheetName val="等级定义"/>
      <sheetName val="Remark"/>
      <sheetName val="数据统计--勿改"/>
      <sheetName val="图表"/>
      <sheetName val="基础设定"/>
      <sheetName val="标准&amp;要求"/>
      <sheetName val="model"/>
      <sheetName val="选项"/>
      <sheetName val="C Rate"/>
      <sheetName val="配置界面"/>
      <sheetName val="问题类别"/>
      <sheetName val="数据连接"/>
      <sheetName val="新分类"/>
      <sheetName val="CR-061850906024"/>
      <sheetName val="CR-061850906023"/>
      <sheetName val="CRATE-Summary"/>
      <sheetName val="Open"/>
      <sheetName val="Calendar"/>
      <sheetName val="基础数据"/>
      <sheetName val="类别设置"/>
      <sheetName val="A"/>
      <sheetName val="基础信息表"/>
      <sheetName val="信息管理"/>
      <sheetName val="Sheet5"/>
      <sheetName val="cycle低"/>
      <sheetName val="25oC cls swel低"/>
      <sheetName val="12oC cls swel低"/>
      <sheetName val="cycle中"/>
      <sheetName val="45oC cls swel中"/>
      <sheetName val="25oC cls swel中"/>
      <sheetName val="12oC cls swel中"/>
      <sheetName val="45oC cls swel低"/>
      <sheetName val="cycle超低"/>
      <sheetName val="45oC cls swel超低"/>
      <sheetName val="25oC cls swel超低"/>
      <sheetName val="25℃ cycle"/>
      <sheetName val="45℃ cycle"/>
      <sheetName val="Sheet 2"/>
      <sheetName val="附件1_Address List"/>
      <sheetName val="材料数据库"/>
      <sheetName val="基础配置"/>
      <sheetName val="下拉选（设置完成后隐藏）"/>
      <sheetName val="问题类别 "/>
      <sheetName val="选择清单"/>
      <sheetName val="附件二 系统原因分类"/>
      <sheetName val="附件一 工序名称"/>
      <sheetName val="附件"/>
      <sheetName val="车间布置图 "/>
      <sheetName val="Matrix矩阵"/>
      <sheetName val="Backup数据"/>
      <sheetName val="物料清单"/>
      <sheetName val="Anode"/>
      <sheetName val="Tab"/>
      <sheetName val="Packing foil"/>
      <sheetName val="Separator"/>
      <sheetName val="Current collector"/>
      <sheetName val="SW-TEO"/>
      <sheetName val="#REF!"/>
      <sheetName val="4原始数据"/>
      <sheetName val="支付类别"/>
      <sheetName val="倍率"/>
      <sheetName val="需求分析、产品开发和技术预研 项目管理关系图"/>
      <sheetName val="cover"/>
      <sheetName val="修订履历"/>
      <sheetName val="范围 目的 主流程目录"/>
      <sheetName val="里程碑及关键流程一览表"/>
      <sheetName val="设计与开发流程描述"/>
      <sheetName val="设计与开发流程 to do list 清单"/>
      <sheetName val="子流程清单"/>
      <sheetName val="高低温"/>
      <sheetName val="MRP"/>
      <sheetName val="DCR"/>
      <sheetName val="-20℃ DCR"/>
      <sheetName val="70℃存储产气"/>
      <sheetName val="70℃存储"/>
      <sheetName val="存储"/>
      <sheetName val="Sheet1 (2)"/>
      <sheetName val="FA-LISTING"/>
      <sheetName val="滯料RAW_Data"/>
      <sheetName val="呆料RAW_Data"/>
      <sheetName val="EV Project Schedule Rev.01"/>
      <sheetName val="个人欠款账龄分析表"/>
      <sheetName val="Equipment Req Plan"/>
      <sheetName val="CU"/>
      <sheetName val="Units"/>
      <sheetName val="定容评测"/>
      <sheetName val="1-0. DMD"/>
      <sheetName val="당월(1)"/>
      <sheetName val="DATAT"/>
      <sheetName val="Share Prices"/>
      <sheetName val="CBU"/>
      <sheetName val="03-产能(按平台）"/>
      <sheetName val="B.2"/>
      <sheetName val="E.2"/>
      <sheetName val="C.3"/>
      <sheetName val="Index"/>
      <sheetName val="#REF"/>
      <sheetName val="E Goal"/>
      <sheetName val="E_KSR"/>
      <sheetName val="All_KSR"/>
      <sheetName val="P Goal"/>
      <sheetName val="P_KSR"/>
      <sheetName val="說明"/>
      <sheetName val="125PIECE"/>
      <sheetName val="Part (Initial A)"/>
      <sheetName val="Currency"/>
      <sheetName val="L EQ"/>
      <sheetName val="resume"/>
      <sheetName val="Fab Output Plan"/>
      <sheetName val="ISRDATA"/>
      <sheetName val="Input commodity fallout"/>
      <sheetName val="Reporting"/>
      <sheetName val="series pricing"/>
      <sheetName val="PV6 3.5L LX5 GMX170"/>
      <sheetName val="汇总表"/>
      <sheetName val="Oct"/>
      <sheetName val="COG"/>
      <sheetName val="Assumptions sheet"/>
      <sheetName val="Pick lists"/>
      <sheetName val="填表说明"/>
      <sheetName val="fenxi(内)"/>
      <sheetName val="社保公积金比例"/>
      <sheetName val="能源报表"/>
      <sheetName val="电池片10条生产线 "/>
      <sheetName val="CALCUL"/>
      <sheetName val="TbList"/>
      <sheetName val="WEIGHT"/>
      <sheetName val="13、管理部门_仓储办"/>
      <sheetName val="MASTER"/>
      <sheetName val="Assumptions sheet raw material"/>
      <sheetName val="Language"/>
      <sheetName val="Material"/>
      <sheetName val="SBM-devices-FWZ"/>
      <sheetName val="Tabelle1"/>
      <sheetName val="投资条款汇总"/>
      <sheetName val="Sheet371"/>
    </sheetNames>
    <sheetDataSet>
      <sheetData sheetId="0" refreshError="1"/>
      <sheetData sheetId="1" refreshError="1"/>
      <sheetData sheetId="2" refreshError="1">
        <row r="3">
          <cell r="A3" t="str">
            <v>Lot1</v>
          </cell>
        </row>
        <row r="58">
          <cell r="A58" t="str">
            <v>GroupA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ckage"/>
      <sheetName val="Database"/>
      <sheetName val="电解液灌注量"/>
      <sheetName val="Fading"/>
      <sheetName val="Pleteau"/>
      <sheetName val="E4"/>
      <sheetName val="E4 ADE-5"/>
      <sheetName val="高低温"/>
      <sheetName val="Sheet2"/>
      <sheetName val="DCR"/>
      <sheetName val="-20℃ DCR"/>
      <sheetName val="Fading_Data"/>
      <sheetName val="Sheet1"/>
      <sheetName val="70℃存储产气"/>
      <sheetName val="70℃存储"/>
      <sheetName val="存储"/>
      <sheetName val="Sheet1 (2)"/>
      <sheetName val="60℃循环失效分解"/>
      <sheetName val="装配分容"/>
      <sheetName val="-20℃   HPPC 第二次装配"/>
      <sheetName val="60℃存储产气"/>
      <sheetName val="平均电压"/>
      <sheetName val="电性能数据和结论"/>
      <sheetName val="占比分解"/>
      <sheetName val="容量保持"/>
      <sheetName val="pe"/>
      <sheetName val="TMK280-02"/>
      <sheetName val="CD_Data"/>
      <sheetName val="815094winding structrue"/>
      <sheetName val="0612B0609011-1"/>
      <sheetName val="6.阳极涂布产能"/>
      <sheetName val="DR-061361201014"/>
      <sheetName val="DR-061361201031"/>
      <sheetName val="DR-061361201059"/>
      <sheetName val="DR-061361202023"/>
      <sheetName val="DR-061361202036"/>
      <sheetName val="DR-061361202054"/>
      <sheetName val="DR-061361203010"/>
      <sheetName val="DR-061361203018"/>
      <sheetName val="DR-061361203042"/>
      <sheetName val="DR-061361204004"/>
      <sheetName val="DR-061361204009"/>
      <sheetName val="DR-061361204055"/>
      <sheetName val="DCR-Summary"/>
      <sheetName val="HL-061362201030"/>
      <sheetName val="HL-061362201031"/>
      <sheetName val="HL-061362201033"/>
      <sheetName val="HL-061362202021"/>
      <sheetName val="HL-061362202030"/>
      <sheetName val="HL-061362202032"/>
      <sheetName val="HL-061362203001"/>
      <sheetName val="HL-061362203006"/>
      <sheetName val="HL-061362203015"/>
      <sheetName val="HL-061362204016"/>
      <sheetName val="HL-061362204018"/>
      <sheetName val="HL-061362204027"/>
      <sheetName val="11N247400018"/>
      <sheetName val="11N245500316"/>
      <sheetName val="11N245500334"/>
      <sheetName val="11N245600085"/>
      <sheetName val="11N246200145"/>
      <sheetName val="11N246200205"/>
      <sheetName val="11N242600073"/>
      <sheetName val="11N243100006"/>
      <sheetName val="11N244200143"/>
      <sheetName val="11N241400228"/>
      <sheetName val="11N224200012"/>
      <sheetName val="11N231200041"/>
      <sheetName val="11N232500296"/>
      <sheetName val="data"/>
      <sheetName val="Electrode"/>
      <sheetName val="需求分析、产品开发和技术预研 项目管理关系图"/>
      <sheetName val="cover"/>
      <sheetName val="修订履历"/>
      <sheetName val="范围 目的 主流程目录"/>
      <sheetName val="里程碑及关键流程一览表"/>
      <sheetName val="设计与开发流程描述"/>
      <sheetName val="设计与开发流程 to do list 清单"/>
      <sheetName val="子流程清单"/>
      <sheetName val="Rate"/>
      <sheetName val="14447NA2"/>
      <sheetName val="14447-NA"/>
      <sheetName val="14447-N1"/>
      <sheetName val="Category"/>
      <sheetName val="Capacity Retention_Data"/>
      <sheetName val="E4_ADE-5"/>
      <sheetName val="6_阳极涂布产能"/>
      <sheetName val="0206NA01"/>
      <sheetName val="0206NA02"/>
      <sheetName val="0206NA03"/>
      <sheetName val="0206NA04"/>
      <sheetName val="0206NA06"/>
      <sheetName val="0206NA07"/>
      <sheetName val="0206NA08"/>
      <sheetName val="0206NA09"/>
      <sheetName val="0206NA10"/>
      <sheetName val="0206NA11"/>
      <sheetName val="0206NA12"/>
      <sheetName val="0206NA13"/>
      <sheetName val="0206NA14"/>
      <sheetName val="0206NA15"/>
      <sheetName val="0206NA16"/>
      <sheetName val="0206NA17"/>
      <sheetName val="0206NA05"/>
      <sheetName val="SLS-F-D1-1.xls2"/>
      <sheetName val="SLS-F-D1-2.xls3"/>
      <sheetName val="SLS-F-D1-3.xls4"/>
      <sheetName val="SLS-F-D1-5.xls6"/>
      <sheetName val="Sheet3"/>
      <sheetName val="常用PN"/>
      <sheetName val="RDP-3-1201L ADE-5 to improve ov"/>
      <sheetName val="HPPC "/>
      <sheetName val="Fading_Data (3)"/>
      <sheetName val="Fading_Data (2)"/>
      <sheetName val="测试列表"/>
      <sheetName val="E4_ADE-51"/>
      <sheetName val="6_阳极涂布产能1"/>
      <sheetName val="815094winding_structrue"/>
      <sheetName val="Capacity_Retention_Data"/>
      <sheetName val="SLS-F-D1-1_xls2"/>
      <sheetName val="SLS-F-D1-2_xls3"/>
      <sheetName val="SLS-F-D1-3_xls4"/>
      <sheetName val="SLS-F-D1-5_xls6"/>
      <sheetName val="RDP-3-1201L_ADE-5_to_improve_ov"/>
      <sheetName val="HPPC_"/>
      <sheetName val="Fading_Data_(3)"/>
      <sheetName val="Fading_Data_(2)"/>
      <sheetName val="E4_ADE-52"/>
      <sheetName val="6_阳极涂布产能2"/>
      <sheetName val="815094winding_structrue1"/>
      <sheetName val="Capacity_Retention_Data1"/>
      <sheetName val="SLS-F-D1-1_xls21"/>
      <sheetName val="SLS-F-D1-2_xls31"/>
      <sheetName val="SLS-F-D1-3_xls41"/>
      <sheetName val="SLS-F-D1-5_xls61"/>
      <sheetName val="RDP-3-1201L_ADE-5_to_improve_o1"/>
      <sheetName val="HPPC_1"/>
      <sheetName val="Fading_Data_(3)1"/>
      <sheetName val="Fading_Data_(2)1"/>
      <sheetName val="E4_ADE-53"/>
      <sheetName val="6_阳极涂布产能3"/>
      <sheetName val="815094winding_structrue2"/>
      <sheetName val="Capacity_Retention_Data2"/>
      <sheetName val="SLS-F-D1-1_xls22"/>
      <sheetName val="SLS-F-D1-2_xls32"/>
      <sheetName val="SLS-F-D1-3_xls42"/>
      <sheetName val="SLS-F-D1-5_xls62"/>
      <sheetName val="RDP-3-1201L_ADE-5_to_improve_o2"/>
      <sheetName val="HPPC_2"/>
      <sheetName val="Fading_Data_(3)2"/>
      <sheetName val="Fading_Data_(2)2"/>
      <sheetName val="参数表"/>
      <sheetName val="3-8"/>
      <sheetName val="数据统计"/>
      <sheetName val="2_Powermap simple(DC)"/>
      <sheetName val="45Degc 4C1C_30_DCR"/>
      <sheetName val="流程说明"/>
      <sheetName val="其它文件登记"/>
      <sheetName val="数据有效性"/>
      <sheetName val="Project code"/>
      <sheetName val="类别分类"/>
      <sheetName val="MI号"/>
      <sheetName val="问题类别区域分组"/>
      <sheetName val="Raw data"/>
      <sheetName val="PC summary"/>
      <sheetName val="Summarize"/>
      <sheetName val="data3 "/>
      <sheetName val="EIS Data"/>
      <sheetName val="分类汇总"/>
      <sheetName val="Pressure_Data"/>
      <sheetName val="Analysis"/>
      <sheetName val="使用说明"/>
      <sheetName val="备注"/>
      <sheetName val="Appendix"/>
      <sheetName val="Sheet 2"/>
      <sheetName val="SW-TEO"/>
      <sheetName val="#REF!"/>
      <sheetName val="选项"/>
      <sheetName val="DRATE-Summary"/>
      <sheetName val="DR-0617AA701117"/>
      <sheetName val="DR-0617AA701118"/>
      <sheetName val="拉线清单"/>
      <sheetName val="CRate"/>
      <sheetName val="设备名称"/>
      <sheetName val="统计说明"/>
      <sheetName val="模版说明"/>
      <sheetName val="人员名单"/>
      <sheetName val="Task_LOP_Summarize"/>
      <sheetName val="等级定义"/>
      <sheetName val="Remark"/>
      <sheetName val="图表"/>
      <sheetName val="数据统计--勿改"/>
      <sheetName val="基础设定"/>
      <sheetName val="C Rate"/>
      <sheetName val="CR-061850906024"/>
      <sheetName val="CR-061850906023"/>
      <sheetName val="CRATE-Summary"/>
      <sheetName val="Open"/>
      <sheetName val="标准&amp;要求"/>
      <sheetName val="model"/>
      <sheetName val="Calendar"/>
      <sheetName val="配置界面"/>
      <sheetName val="基础数据"/>
      <sheetName val="类别设置"/>
      <sheetName val="A"/>
      <sheetName val="基础信息表"/>
      <sheetName val="信息管理"/>
      <sheetName val="Sheet5"/>
      <sheetName val="cycle低"/>
      <sheetName val="25oC cls swel低"/>
      <sheetName val="12oC cls swel低"/>
      <sheetName val="cycle中"/>
      <sheetName val="45oC cls swel中"/>
      <sheetName val="25oC cls swel中"/>
      <sheetName val="12oC cls swel中"/>
      <sheetName val="45oC cls swel低"/>
      <sheetName val="cycle超低"/>
      <sheetName val="45oC cls swel超低"/>
      <sheetName val="25oC cls swel超低"/>
      <sheetName val="25℃ cycle"/>
      <sheetName val="45℃ cycle"/>
      <sheetName val="数据连接"/>
      <sheetName val="问题类别"/>
      <sheetName val="新分类"/>
      <sheetName val="下拉选（设置完成后隐藏）"/>
      <sheetName val="材料数据库"/>
      <sheetName val="附件1_Address List"/>
      <sheetName val="基础配置"/>
      <sheetName val="问题类别 "/>
      <sheetName val="选择清单"/>
      <sheetName val="附件二 系统原因分类"/>
      <sheetName val="附件一 工序名称"/>
      <sheetName val="附件"/>
      <sheetName val="车间布置图 "/>
      <sheetName val="Matrix矩阵"/>
      <sheetName val="Backup数据"/>
      <sheetName val="物料清单"/>
      <sheetName val="Anode"/>
      <sheetName val="Tab"/>
      <sheetName val="Packing foil"/>
      <sheetName val="Separator"/>
      <sheetName val="Current collector"/>
      <sheetName val="倍率"/>
      <sheetName val="MRP"/>
      <sheetName val="FA-LISTING"/>
      <sheetName val="滯料RAW_Data"/>
      <sheetName val="呆料RAW_Data"/>
      <sheetName val="EV Project Schedule Rev.01"/>
      <sheetName val="个人欠款账龄分析表"/>
      <sheetName val="Equipment Req Plan"/>
      <sheetName val="CU"/>
      <sheetName val="Units"/>
      <sheetName val="定容评测"/>
      <sheetName val="1-0. DMD"/>
      <sheetName val="당월(1)"/>
      <sheetName val="DATAT"/>
      <sheetName val="Share Prices"/>
      <sheetName val="CBU"/>
      <sheetName val="03-产能(按平台）"/>
      <sheetName val="B.2"/>
      <sheetName val="E.2"/>
      <sheetName val="C.3"/>
      <sheetName val="Index"/>
      <sheetName val="#REF"/>
      <sheetName val="E Goal"/>
      <sheetName val="E_KSR"/>
      <sheetName val="All_KSR"/>
      <sheetName val="P Goal"/>
      <sheetName val="P_KSR"/>
      <sheetName val="說明"/>
      <sheetName val="125PIECE"/>
      <sheetName val="Part (Initial A)"/>
      <sheetName val="Currency"/>
      <sheetName val="L EQ"/>
      <sheetName val="resume"/>
      <sheetName val="Fab Output Plan"/>
      <sheetName val="ISRDATA"/>
      <sheetName val="Input commodity fallout"/>
      <sheetName val="Reporting"/>
      <sheetName val="series pricing"/>
      <sheetName val="PV6 3.5L LX5 GMX170"/>
      <sheetName val="汇总表"/>
      <sheetName val="Oct"/>
      <sheetName val="COG"/>
      <sheetName val="Assumptions sheet"/>
      <sheetName val="Pick lists"/>
      <sheetName val="填表说明"/>
      <sheetName val="fenxi(内)"/>
      <sheetName val="社保公积金比例"/>
      <sheetName val="能源报表"/>
      <sheetName val="电池片10条生产线 "/>
      <sheetName val="CALCUL"/>
      <sheetName val="TbList"/>
      <sheetName val="WEIGHT"/>
      <sheetName val="13、管理部门_仓储办"/>
      <sheetName val="MASTER"/>
      <sheetName val="Assumptions sheet raw material"/>
      <sheetName val="Language"/>
      <sheetName val="Material"/>
      <sheetName val="SBM-devices-FWZ"/>
      <sheetName val="Tabelle1"/>
      <sheetName val="投资条款汇总"/>
      <sheetName val="Sheet371"/>
    </sheetNames>
    <sheetDataSet>
      <sheetData sheetId="0" refreshError="1"/>
      <sheetData sheetId="1" refreshError="1"/>
      <sheetData sheetId="2" refreshError="1">
        <row r="3">
          <cell r="A3" t="str">
            <v>Lot1</v>
          </cell>
        </row>
        <row r="58">
          <cell r="A58" t="str">
            <v>GroupA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ckage"/>
      <sheetName val="Database"/>
      <sheetName val="电解液灌注量"/>
      <sheetName val="Fading"/>
      <sheetName val="Pleteau"/>
      <sheetName val="E4"/>
      <sheetName val="E4 ADE-5"/>
    </sheetNames>
    <sheetDataSet>
      <sheetData sheetId="0" refreshError="1"/>
      <sheetData sheetId="1" refreshError="1"/>
      <sheetData sheetId="2">
        <row r="3">
          <cell r="A3" t="str">
            <v>Lot1</v>
          </cell>
        </row>
        <row r="58">
          <cell r="A58" t="str">
            <v>GroupA</v>
          </cell>
        </row>
      </sheetData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  <sheetName val="应付"/>
      <sheetName val="13、管理部门_仓储办"/>
      <sheetName val="10lxj914l"/>
      <sheetName val="0612B0609028-1"/>
      <sheetName val="ISRDATA"/>
      <sheetName val="EIS Data"/>
      <sheetName val="815094winding structrue"/>
      <sheetName val="个人欠款账龄分析表"/>
      <sheetName val="Cu AlFoil改善措施"/>
      <sheetName val="部门折旧"/>
      <sheetName val="Data"/>
      <sheetName val="Input"/>
      <sheetName val="SGH-M100"/>
      <sheetName val="Tmk28002"/>
      <sheetName val="125PIECE"/>
      <sheetName val="DR-12B342600007"/>
      <sheetName val="DR-12B342600020"/>
      <sheetName val="DR-12B342600236"/>
      <sheetName val="DR-12B342500255"/>
      <sheetName val="3-8"/>
      <sheetName val="HPPC "/>
      <sheetName val="전수항목"/>
      <sheetName val="조절Panel"/>
      <sheetName val="fenxi(内)"/>
      <sheetName val="Sheet1"/>
      <sheetName val="Database"/>
      <sheetName val="Sheet4"/>
      <sheetName val="Sheet3"/>
      <sheetName val="model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371"/>
      <sheetName val="Sheet2"/>
      <sheetName val="8605ML91"/>
      <sheetName val="0289-K01"/>
      <sheetName val="0289-NA1"/>
      <sheetName val="0289-NA2"/>
      <sheetName val="负极搅拌参数"/>
      <sheetName val="Capacity Retention_Data"/>
      <sheetName val="Stand Capacity Retention_Data"/>
      <sheetName val="数据"/>
      <sheetName val="배부금액"/>
      <sheetName val="COSTS"/>
      <sheetName val="REPAIR DATA - CONTAINER #5"/>
      <sheetName val="液"/>
      <sheetName val="Performance Summary"/>
      <sheetName val="3.工艺文件封面"/>
      <sheetName val="45度2G循环"/>
      <sheetName val="DR-13C619211086"/>
      <sheetName val="DR-13C619610734"/>
      <sheetName val="产气压力sum"/>
      <sheetName val="ERP数据（勿删）"/>
      <sheetName val="倍率放电曲线1208"/>
      <sheetName val="Fading_Data"/>
      <sheetName val="Cycle_25℃"/>
      <sheetName val="Sheet7"/>
      <sheetName val="事件与伤害定义"/>
      <sheetName val="汇总"/>
      <sheetName val="EIS_Data"/>
      <sheetName val="815094winding_structrue"/>
      <sheetName val="Cu_AlFoil改善措施"/>
      <sheetName val="HPPC_"/>
      <sheetName val="Capacity_Retention_Data"/>
      <sheetName val="Stand_Capacity_Retention_Data"/>
      <sheetName val="REPAIR_DATA_-_CONTAINER_#5"/>
      <sheetName val="Performance_Summary"/>
      <sheetName val="EIS_Data1"/>
      <sheetName val="815094winding_structrue1"/>
      <sheetName val="Cu_AlFoil改善措施1"/>
      <sheetName val="HPPC_1"/>
      <sheetName val="Capacity_Retention_Data1"/>
      <sheetName val="Stand_Capacity_Retention_Data1"/>
      <sheetName val="REPAIR_DATA_-_CONTAINER_#51"/>
      <sheetName val="Performance_Summary1"/>
      <sheetName val="EIS_Data2"/>
      <sheetName val="815094winding_structrue2"/>
      <sheetName val="Cu_AlFoil改善措施2"/>
      <sheetName val="HPPC_2"/>
      <sheetName val="Capacity_Retention_Data2"/>
      <sheetName val="Stand_Capacity_Retention_Data2"/>
      <sheetName val="REPAIR_DATA_-_CONTAINER_#52"/>
      <sheetName val="Performance_Summary2"/>
      <sheetName val="Four-Factor 16-Run DOE"/>
      <sheetName val="其它原因"/>
      <sheetName val="基础数据"/>
      <sheetName val="Pressure_Data"/>
      <sheetName val="Issues List"/>
      <sheetName val="1"/>
      <sheetName val="Calendar"/>
      <sheetName val="4.1 两方数据监控---统计结果"/>
      <sheetName val="Data-高低温倍放A003#"/>
      <sheetName val="Data-高低温倍放A005#"/>
      <sheetName val="低耗成本对标---月"/>
      <sheetName val="LookUp"/>
      <sheetName val="FA-LISTING"/>
      <sheetName val="附表四--工艺纪律检查周报"/>
      <sheetName val="分工"/>
      <sheetName val="RCC-高"/>
      <sheetName val="RCC-increase-高 "/>
      <sheetName val="RCC-中"/>
      <sheetName val="RCC-increase-中"/>
      <sheetName val="RCC-低"/>
      <sheetName val="RCC-increase-低"/>
      <sheetName val="Raw data"/>
      <sheetName val="隔离膜分切"/>
      <sheetName val="PCS涂布"/>
      <sheetName val="CCS涂布"/>
      <sheetName val="BLC涂布"/>
      <sheetName val="阳极分条"/>
      <sheetName val="阴极分条"/>
      <sheetName val="阳极裁片"/>
      <sheetName val="阴极裁片"/>
      <sheetName val="阳极焊接贴胶"/>
      <sheetName val="阴极焊接贴胶"/>
      <sheetName val="卷绕"/>
      <sheetName val="喷码"/>
      <sheetName val="FEF双折边"/>
      <sheetName val="Final Visual"/>
      <sheetName val="X-ray Test"/>
      <sheetName val="4原始数据"/>
      <sheetName val=" HA  line 1"/>
      <sheetName val="生产伤害类型"/>
      <sheetName val="Internal_Pressure_Data"/>
      <sheetName val="Expand_Pressure_Data"/>
      <sheetName val="Information"/>
      <sheetName val="pe"/>
      <sheetName val="Lean"/>
      <sheetName val="TCA"/>
      <sheetName val="p2-1"/>
      <sheetName val="GRACE"/>
      <sheetName val="KD율"/>
      <sheetName val="Criteria"/>
      <sheetName val="List"/>
      <sheetName val="总览-by month"/>
      <sheetName val="Summary"/>
      <sheetName val="ST"/>
      <sheetName val="控制SPC（I-MR）"/>
      <sheetName val="㈱札幌_修正BS"/>
      <sheetName val="工序机型"/>
      <sheetName val="#REF"/>
      <sheetName val="IQC OQC correlation"/>
      <sheetName val="Config2x2"/>
      <sheetName val="Config 一覧"/>
      <sheetName val="生產計劃"/>
      <sheetName val="附件2"/>
      <sheetName val="宏使用说明"/>
      <sheetName val="ⅠCover"/>
      <sheetName val="ⅡDesign information"/>
      <sheetName val="ⅢPerformance summary"/>
      <sheetName val="安全测试"/>
      <sheetName val="安全测试A组"/>
      <sheetName val="ⅣTest Plan"/>
      <sheetName val="A组"/>
      <sheetName val="D组"/>
      <sheetName val="E组"/>
      <sheetName val="baking 样品"/>
      <sheetName val="容量超出以及hotbox失效汇总"/>
      <sheetName val="温升 充电速度析锂"/>
      <sheetName val="HOT box"/>
      <sheetName val="85℃ 6h (2)"/>
      <sheetName val="CT测试"/>
      <sheetName val="80℃ 7h"/>
      <sheetName val="温度系数"/>
      <sheetName val="温升"/>
      <sheetName val="Charge Rate_A_14"/>
      <sheetName val="DCR汇总"/>
      <sheetName val="Discharge rate1"/>
      <sheetName val="HL_0.2C_A_15"/>
      <sheetName val="T3-20200412-2520"/>
      <sheetName val="T3-20200412-2521"/>
      <sheetName val="T3-20200412-2523"/>
      <sheetName val="成品日报4"/>
      <sheetName val="批次情况"/>
      <sheetName val="成品日报3"/>
      <sheetName val="成品日报1"/>
      <sheetName val="成品日报2"/>
      <sheetName val="Equipment Req Plan"/>
      <sheetName val="图片"/>
      <sheetName val="PACK良率推移图"/>
      <sheetName val="良率统计"/>
      <sheetName val="一车间塑壳"/>
      <sheetName val="【2-4】付现2-低耗、其他成本"/>
      <sheetName val="B.2"/>
      <sheetName val="E.2"/>
      <sheetName val="C.3"/>
      <sheetName val="Sheet 2"/>
      <sheetName val="系数拉线对应表"/>
      <sheetName val="ICP "/>
      <sheetName val="series pricing"/>
      <sheetName val="定容评测"/>
      <sheetName val="倍充"/>
      <sheetName val="resume"/>
      <sheetName val="Workings"/>
      <sheetName val="Input commodity fallout"/>
      <sheetName val="Reporting"/>
      <sheetName val="L EQ"/>
      <sheetName val="#REF!"/>
      <sheetName val="EV Project Schedule Rev.01"/>
      <sheetName val="原材料仓"/>
      <sheetName val="25℃快充循环(C2线)"/>
      <sheetName val="18650常规设计表"/>
      <sheetName val="制片区不良柏拉图-周"/>
      <sheetName val="Mix A"/>
      <sheetName val="Assumptions sheet raw material"/>
      <sheetName val="Material"/>
      <sheetName val="SBM-devices-FWZ"/>
      <sheetName val="Assumptions sheet"/>
      <sheetName val="WEIGHT"/>
      <sheetName val="Index"/>
      <sheetName val="pfx_prov"/>
      <sheetName val="DATAT"/>
      <sheetName val="运输包装"/>
      <sheetName val="1-0. DMD"/>
      <sheetName val="Bom(P1)"/>
      <sheetName val="E Goal"/>
      <sheetName val="E_KSR"/>
      <sheetName val="All_KSR"/>
      <sheetName val="P Goal"/>
      <sheetName val="P_KSR"/>
      <sheetName val="說明"/>
      <sheetName val="Settings"/>
      <sheetName val="化成定容"/>
      <sheetName val="全电池DCR"/>
      <sheetName val="存储11天"/>
      <sheetName val="循环"/>
      <sheetName val="Cork"/>
      <sheetName val="电池片10条生产线 "/>
      <sheetName val="日历寿命"/>
      <sheetName val="Manufactering costs"/>
      <sheetName val="滯料RAW_Data"/>
      <sheetName val="呆料RAW_Data"/>
      <sheetName val="30S-HPPC-SOC-Summary"/>
      <sheetName val="Data lists"/>
      <sheetName val="DEF"/>
      <sheetName val="조립일정 上"/>
      <sheetName val="工作表3"/>
      <sheetName val="항목별 불량률"/>
      <sheetName val="循环比率(RT-高温)"/>
      <sheetName val="3&gt;常温循环"/>
      <sheetName val="5&gt;常温循环"/>
      <sheetName val="24&gt;45℃循环"/>
      <sheetName val="26&gt;45℃循环"/>
      <sheetName val="报价_old"/>
      <sheetName val="ACE(P1)"/>
      <sheetName val="0L2"/>
      <sheetName val="Coating CEC(M6)"/>
      <sheetName val="Seperater-P1"/>
      <sheetName val="CL1"/>
      <sheetName val="10&gt;-20℃0.2C放电-数据"/>
      <sheetName val="11&gt;-20℃0.2C放电-数据"/>
      <sheetName val="6&gt;-10℃0.4C放电-数据"/>
      <sheetName val="7&gt;-10℃0.4C放电-数据"/>
      <sheetName val="人员明细"/>
      <sheetName val="Open"/>
      <sheetName val="EIS_Data3"/>
      <sheetName val="815094winding_structrue3"/>
      <sheetName val="Cu_AlFoil改善措施3"/>
      <sheetName val="HPPC_3"/>
      <sheetName val="Capacity_Retention_Data3"/>
      <sheetName val="Stand_Capacity_Retention_Data3"/>
      <sheetName val="REPAIR_DATA_-_CONTAINER_#53"/>
      <sheetName val="Performance_Summary3"/>
      <sheetName val="Four-Factor_16-Run_DOE"/>
      <sheetName val="3_工艺文件封面"/>
      <sheetName val="Issues_List"/>
      <sheetName val="4_1_两方数据监控---统计结果"/>
      <sheetName val="RCC-increase-高_"/>
      <sheetName val="Raw_data"/>
      <sheetName val="Final_Visual"/>
      <sheetName val="X-ray_Test"/>
      <sheetName val="_HA__line_1"/>
      <sheetName val="总览-by_month"/>
      <sheetName val="IQC_OQC_correlation"/>
      <sheetName val="Config_一覧"/>
      <sheetName val="ⅡDesign_information"/>
      <sheetName val="ⅢPerformance_summary"/>
      <sheetName val="ⅣTest_Plan"/>
      <sheetName val="baking_样品"/>
      <sheetName val="温升_充电速度析锂"/>
      <sheetName val="HOT_box"/>
      <sheetName val="85℃_6h_(2)"/>
      <sheetName val="80℃_7h"/>
      <sheetName val="Charge_Rate_A_14"/>
      <sheetName val="Discharge_rate1"/>
      <sheetName val="HL_0_2C_A_15"/>
      <sheetName val="Equipment_Req_Plan"/>
      <sheetName val="ICP_"/>
      <sheetName val="Sheet_2"/>
      <sheetName val="EIS_Data4"/>
      <sheetName val="815094winding_structrue4"/>
      <sheetName val="Cu_AlFoil改善措施4"/>
      <sheetName val="HPPC_4"/>
      <sheetName val="Capacity_Retention_Data4"/>
      <sheetName val="Stand_Capacity_Retention_Data4"/>
      <sheetName val="REPAIR_DATA_-_CONTAINER_#54"/>
      <sheetName val="Performance_Summary4"/>
      <sheetName val="Four-Factor_16-Run_DOE1"/>
      <sheetName val="3_工艺文件封面1"/>
      <sheetName val="Issues_List1"/>
      <sheetName val="4_1_两方数据监控---统计结果1"/>
      <sheetName val="RCC-increase-高_1"/>
      <sheetName val="Raw_data1"/>
      <sheetName val="Final_Visual1"/>
      <sheetName val="X-ray_Test1"/>
      <sheetName val="_HA__line_11"/>
      <sheetName val="总览-by_month1"/>
      <sheetName val="IQC_OQC_correlation1"/>
      <sheetName val="Config_一覧1"/>
      <sheetName val="ⅡDesign_information1"/>
      <sheetName val="ⅢPerformance_summary1"/>
      <sheetName val="ⅣTest_Plan1"/>
      <sheetName val="baking_样品1"/>
      <sheetName val="温升_充电速度析锂1"/>
      <sheetName val="HOT_box1"/>
      <sheetName val="85℃_6h_(2)1"/>
      <sheetName val="80℃_7h1"/>
      <sheetName val="Charge_Rate_A_141"/>
      <sheetName val="Discharge_rate11"/>
      <sheetName val="HL_0_2C_A_151"/>
      <sheetName val="Equipment_Req_Plan1"/>
      <sheetName val="ICP_1"/>
      <sheetName val="Sheet_21"/>
      <sheetName val="Data_lists"/>
      <sheetName val="조립일정_上"/>
      <sheetName val="항목별_불량률"/>
      <sheetName val="Coating_CEC(M6)"/>
      <sheetName val="10&gt;-20℃0_2C放电-数据"/>
      <sheetName val="11&gt;-20℃0_2C放电-数据"/>
      <sheetName val="6&gt;-10℃0_4C放电-数据"/>
      <sheetName val="7&gt;-10℃0_4C放电-数据"/>
      <sheetName val="HL-Summary"/>
      <sheetName val="HL-06215FX01016"/>
      <sheetName val="HL-06215FX01015"/>
      <sheetName val="HL-06215FX01020"/>
      <sheetName val="HL-06215FX02019"/>
      <sheetName val="HL-06215FX02018"/>
      <sheetName val="HL-06215FX02020"/>
      <sheetName val="HL-06215FX03023"/>
      <sheetName val="HL-06215FX03022"/>
      <sheetName val="HL-06215FX04016"/>
      <sheetName val="HL-06215FX04015"/>
      <sheetName val="HL-06215FX04019"/>
      <sheetName val="HL-06215FX05016"/>
      <sheetName val="HL-06215FX05015"/>
      <sheetName val="HL-06215FX05018"/>
      <sheetName val="ITC降电压"/>
      <sheetName val="不降电压ITC"/>
      <sheetName val="60oC 90D storage"/>
      <sheetName val="物料"/>
      <sheetName val="设计"/>
      <sheetName val="数据引用"/>
      <sheetName val="A"/>
      <sheetName val="S_H"/>
      <sheetName val="Y_H"/>
      <sheetName val="７４期定年到達者"/>
      <sheetName val="高温短路"/>
      <sheetName val="过充"/>
      <sheetName val="热冲击"/>
      <sheetName val="combine"/>
      <sheetName val="O1OB"/>
      <sheetName val="Para Grille"/>
      <sheetName val="Temp 循环"/>
      <sheetName val="Language"/>
      <sheetName val="Tabelle1"/>
      <sheetName val="生产领料汇总表"/>
      <sheetName val="PV6 3.5L LX5 GMX170"/>
      <sheetName val="Share Prices"/>
      <sheetName val="Adjust Panel"/>
      <sheetName val="按合剂密度计算"/>
      <sheetName val="eqpmad2"/>
      <sheetName val="Financ. Overview"/>
      <sheetName val="Toolbox"/>
      <sheetName val="Main"/>
      <sheetName val="X-R"/>
      <sheetName val="V1_H1"/>
      <sheetName val="Burnin"/>
      <sheetName val="事业发展"/>
      <sheetName val="人员支出"/>
      <sheetName val="C01-1"/>
      <sheetName val="Tab"/>
      <sheetName val="03-5 HPPC"/>
      <sheetName val="Amortization "/>
      <sheetName val="ED&amp;D Labor Rate"/>
      <sheetName val="Drop Downs"/>
      <sheetName val="History"/>
      <sheetName val="清冊"/>
      <sheetName val="投资条款汇总"/>
      <sheetName val="辅助页勿删"/>
      <sheetName val="二期前工序（勿删）"/>
      <sheetName val="bs is"/>
      <sheetName val="Units"/>
      <sheetName val="見積依頼書"/>
      <sheetName val="Admin"/>
      <sheetName val="CBU"/>
      <sheetName val="6S数据"/>
      <sheetName val="三层周报数据"/>
      <sheetName val="数据库"/>
      <sheetName val="CU"/>
      <sheetName val="Movement"/>
      <sheetName val="Income Tax"/>
      <sheetName val="Part (Initial A)"/>
      <sheetName val="6.仕様範囲(SCOPE OF SPEC)"/>
      <sheetName val="Country Codes"/>
      <sheetName val="SW-TEO"/>
      <sheetName val="2002年一般预算收入"/>
      <sheetName val="60℃产气1"/>
      <sheetName val="Rate"/>
      <sheetName val="CDPS"/>
      <sheetName val="2_3"/>
      <sheetName val="2_4"/>
      <sheetName val="2_5"/>
      <sheetName val="说明"/>
      <sheetName val="K6-反弹"/>
      <sheetName val="制程数据"/>
      <sheetName val="样品基础数据"/>
      <sheetName val="45℃循环"/>
      <sheetName val="数据汇总"/>
      <sheetName val="制成数据"/>
      <sheetName val="Pocket"/>
      <sheetName val="Sep"/>
      <sheetName val="ET"/>
      <sheetName val="Foil"/>
      <sheetName val="Anode"/>
      <sheetName val="Cathode"/>
      <sheetName val="勿删"/>
      <sheetName val="填表说明"/>
      <sheetName val="総合B"/>
      <sheetName val="関連ファイル読込"/>
      <sheetName val="挤压-图"/>
      <sheetName val="能源报表"/>
      <sheetName val="STATPARA"/>
      <sheetName val="BS"/>
      <sheetName val="Physical Description"/>
      <sheetName val="03-3 倍率放电"/>
      <sheetName val="工商税收"/>
      <sheetName val="RevMaster"/>
      <sheetName val="Price"/>
      <sheetName val="UnitMaster"/>
      <sheetName val="总部制造费用结转"/>
      <sheetName val="14.1HL -curve (2)"/>
      <sheetName val="4"/>
      <sheetName val="12度循环 "/>
      <sheetName val="_ESList"/>
      <sheetName val="核算项目___物料"/>
      <sheetName val="趋势图"/>
      <sheetName val="CALCUL"/>
      <sheetName val="TbList"/>
      <sheetName val="月度抄表"/>
      <sheetName val="低压抄表"/>
      <sheetName val="Sum"/>
      <sheetName val="Coating CEC"/>
      <sheetName val="ITEM"/>
      <sheetName val="XL4Poppy"/>
      <sheetName val="By Brand"/>
      <sheetName val="Be&amp;Af(FI)"/>
      <sheetName val="GAS EIPF#1.75 Part List"/>
      <sheetName val="Design_M6S"/>
      <sheetName val="Currency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HS HB NE dr 1"/>
      <sheetName val="电性能测试"/>
      <sheetName val="汇总表"/>
      <sheetName val="COST"/>
      <sheetName val="COG"/>
      <sheetName val="日程"/>
      <sheetName val="PROFILE"/>
      <sheetName val="設定条件"/>
      <sheetName val="表紙"/>
      <sheetName val="square1"/>
      <sheetName val="电池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1">
          <cell r="G1">
            <v>0</v>
          </cell>
        </row>
      </sheetData>
      <sheetData sheetId="116">
        <row r="1">
          <cell r="G1">
            <v>0</v>
          </cell>
        </row>
      </sheetData>
      <sheetData sheetId="117">
        <row r="1">
          <cell r="G1">
            <v>0</v>
          </cell>
        </row>
      </sheetData>
      <sheetData sheetId="118">
        <row r="1">
          <cell r="G1">
            <v>0</v>
          </cell>
        </row>
      </sheetData>
      <sheetData sheetId="119">
        <row r="1">
          <cell r="G1">
            <v>0</v>
          </cell>
        </row>
      </sheetData>
      <sheetData sheetId="120">
        <row r="1">
          <cell r="G1">
            <v>0</v>
          </cell>
        </row>
      </sheetData>
      <sheetData sheetId="121">
        <row r="1">
          <cell r="G1">
            <v>0</v>
          </cell>
        </row>
      </sheetData>
      <sheetData sheetId="122">
        <row r="1">
          <cell r="G1">
            <v>0</v>
          </cell>
        </row>
      </sheetData>
      <sheetData sheetId="123">
        <row r="1">
          <cell r="G1">
            <v>0</v>
          </cell>
        </row>
      </sheetData>
      <sheetData sheetId="124">
        <row r="1">
          <cell r="G1">
            <v>0</v>
          </cell>
        </row>
      </sheetData>
      <sheetData sheetId="125">
        <row r="1">
          <cell r="G1">
            <v>0</v>
          </cell>
        </row>
      </sheetData>
      <sheetData sheetId="126">
        <row r="1">
          <cell r="G1">
            <v>0</v>
          </cell>
        </row>
      </sheetData>
      <sheetData sheetId="127">
        <row r="1">
          <cell r="G1">
            <v>0</v>
          </cell>
        </row>
      </sheetData>
      <sheetData sheetId="128">
        <row r="1">
          <cell r="G1">
            <v>0</v>
          </cell>
        </row>
      </sheetData>
      <sheetData sheetId="129">
        <row r="1">
          <cell r="G1">
            <v>0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>
        <row r="1">
          <cell r="G1">
            <v>0</v>
          </cell>
        </row>
      </sheetData>
      <sheetData sheetId="163">
        <row r="1">
          <cell r="G1">
            <v>0</v>
          </cell>
        </row>
      </sheetData>
      <sheetData sheetId="164">
        <row r="1">
          <cell r="G1">
            <v>0</v>
          </cell>
        </row>
      </sheetData>
      <sheetData sheetId="165">
        <row r="1">
          <cell r="G1">
            <v>0</v>
          </cell>
        </row>
      </sheetData>
      <sheetData sheetId="166">
        <row r="1">
          <cell r="G1">
            <v>0</v>
          </cell>
        </row>
      </sheetData>
      <sheetData sheetId="167">
        <row r="1">
          <cell r="G1">
            <v>0</v>
          </cell>
        </row>
      </sheetData>
      <sheetData sheetId="168">
        <row r="1">
          <cell r="G1">
            <v>0</v>
          </cell>
        </row>
      </sheetData>
      <sheetData sheetId="169">
        <row r="1">
          <cell r="G1">
            <v>0</v>
          </cell>
        </row>
      </sheetData>
      <sheetData sheetId="170">
        <row r="1">
          <cell r="G1">
            <v>0</v>
          </cell>
        </row>
      </sheetData>
      <sheetData sheetId="171">
        <row r="1">
          <cell r="G1">
            <v>0</v>
          </cell>
        </row>
      </sheetData>
      <sheetData sheetId="172">
        <row r="1">
          <cell r="G1">
            <v>0</v>
          </cell>
        </row>
      </sheetData>
      <sheetData sheetId="173">
        <row r="1">
          <cell r="G1">
            <v>0</v>
          </cell>
        </row>
      </sheetData>
      <sheetData sheetId="174">
        <row r="1">
          <cell r="G1">
            <v>0</v>
          </cell>
        </row>
      </sheetData>
      <sheetData sheetId="175">
        <row r="1">
          <cell r="G1">
            <v>0</v>
          </cell>
        </row>
      </sheetData>
      <sheetData sheetId="176">
        <row r="1">
          <cell r="G1">
            <v>0</v>
          </cell>
        </row>
      </sheetData>
      <sheetData sheetId="177">
        <row r="1">
          <cell r="G1">
            <v>0</v>
          </cell>
        </row>
      </sheetData>
      <sheetData sheetId="178">
        <row r="1">
          <cell r="G1">
            <v>0</v>
          </cell>
        </row>
      </sheetData>
      <sheetData sheetId="179">
        <row r="1">
          <cell r="G1">
            <v>0</v>
          </cell>
        </row>
      </sheetData>
      <sheetData sheetId="180">
        <row r="1">
          <cell r="G1">
            <v>0</v>
          </cell>
        </row>
      </sheetData>
      <sheetData sheetId="181">
        <row r="1">
          <cell r="G1">
            <v>0</v>
          </cell>
        </row>
      </sheetData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1">
          <cell r="G1">
            <v>0</v>
          </cell>
        </row>
      </sheetData>
      <sheetData sheetId="279">
        <row r="1">
          <cell r="G1">
            <v>0</v>
          </cell>
        </row>
      </sheetData>
      <sheetData sheetId="280">
        <row r="1">
          <cell r="G1">
            <v>0</v>
          </cell>
        </row>
      </sheetData>
      <sheetData sheetId="281">
        <row r="1">
          <cell r="G1">
            <v>0</v>
          </cell>
        </row>
      </sheetData>
      <sheetData sheetId="282">
        <row r="1">
          <cell r="G1">
            <v>0</v>
          </cell>
        </row>
      </sheetData>
      <sheetData sheetId="283">
        <row r="1">
          <cell r="G1">
            <v>0</v>
          </cell>
        </row>
      </sheetData>
      <sheetData sheetId="284">
        <row r="1">
          <cell r="G1">
            <v>0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>
        <row r="1">
          <cell r="G1">
            <v>0</v>
          </cell>
        </row>
      </sheetData>
      <sheetData sheetId="293">
        <row r="1">
          <cell r="G1">
            <v>0</v>
          </cell>
        </row>
      </sheetData>
      <sheetData sheetId="294">
        <row r="1">
          <cell r="G1">
            <v>0</v>
          </cell>
        </row>
      </sheetData>
      <sheetData sheetId="295">
        <row r="1">
          <cell r="G1">
            <v>0</v>
          </cell>
        </row>
      </sheetData>
      <sheetData sheetId="296">
        <row r="1">
          <cell r="G1">
            <v>0</v>
          </cell>
        </row>
      </sheetData>
      <sheetData sheetId="297">
        <row r="1">
          <cell r="G1">
            <v>0</v>
          </cell>
        </row>
      </sheetData>
      <sheetData sheetId="298">
        <row r="1">
          <cell r="G1">
            <v>0</v>
          </cell>
        </row>
      </sheetData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>
        <row r="1">
          <cell r="G1">
            <v>0</v>
          </cell>
        </row>
      </sheetData>
      <sheetData sheetId="313">
        <row r="1">
          <cell r="G1">
            <v>0</v>
          </cell>
        </row>
      </sheetData>
      <sheetData sheetId="314">
        <row r="1">
          <cell r="G1">
            <v>0</v>
          </cell>
        </row>
      </sheetData>
      <sheetData sheetId="315">
        <row r="1">
          <cell r="G1">
            <v>0</v>
          </cell>
        </row>
      </sheetData>
      <sheetData sheetId="316">
        <row r="1">
          <cell r="G1">
            <v>0</v>
          </cell>
        </row>
      </sheetData>
      <sheetData sheetId="317">
        <row r="1">
          <cell r="G1">
            <v>0</v>
          </cell>
        </row>
      </sheetData>
      <sheetData sheetId="318">
        <row r="1">
          <cell r="G1">
            <v>0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PETREND"/>
      <sheetName val="pe"/>
      <sheetName val="IETREND"/>
      <sheetName val="ie"/>
      <sheetName val="METREND"/>
      <sheetName val="ME"/>
      <sheetName val="Projectcode"/>
      <sheetName val="Numbertrackinglist"/>
      <sheetName val="0612B0609017-1"/>
      <sheetName val="CD_Data"/>
      <sheetName val="Cu AlFoil改善措施"/>
      <sheetName val="TMK280-02"/>
      <sheetName val="岗位津贴数据源"/>
      <sheetName val="高温数据源"/>
      <sheetName val="Sheet1"/>
      <sheetName val="Sheet2"/>
      <sheetName val="Cu_AlFoil改善措施"/>
      <sheetName val="Capacity Retention_Data"/>
      <sheetName val="Stand Capacity Retention_Data"/>
      <sheetName val="Database"/>
      <sheetName val="Administrative"/>
      <sheetName val="成品日报4"/>
      <sheetName val="ISRDATA"/>
      <sheetName val="Cu_AlFoil改善措施1"/>
      <sheetName val="Capacity_Retention_Data"/>
      <sheetName val="Stand_Capacity_Retention_Data"/>
      <sheetName val="Cu_AlFoil改善措施2"/>
      <sheetName val="Capacity_Retention_Data1"/>
      <sheetName val="Stand_Capacity_Retention_Data1"/>
      <sheetName val="Cu_AlFoil改善措施3"/>
      <sheetName val="Capacity_Retention_Data2"/>
      <sheetName val="Stand_Capacity_Retention_Data2"/>
      <sheetName val="Equipment Req Plan"/>
      <sheetName val="Fading_Data"/>
      <sheetName val="Pressure_Data"/>
      <sheetName val="MFG-PEprojectarrangementrev03-0"/>
      <sheetName val="총집계내역"/>
      <sheetName val="손익조정내역(경영_TPI)"/>
      <sheetName val="전체손익표"/>
      <sheetName val="0.2C"/>
      <sheetName val="0.5C"/>
      <sheetName val="1C"/>
      <sheetName val="1.5C"/>
      <sheetName val="2C"/>
      <sheetName val="Sheet 2"/>
      <sheetName val="产线B循环"/>
      <sheetName val="自动更新"/>
      <sheetName val="个人欠款账龄分析表"/>
      <sheetName val="1.匀浆封皮"/>
      <sheetName val="BOM清单"/>
      <sheetName val="A3-1"/>
      <sheetName val="Sheet3"/>
      <sheetName val=""/>
      <sheetName val="直労"/>
      <sheetName val="应付"/>
      <sheetName val="Cell BOM-设计文件-赢合卷绕机"/>
      <sheetName val="model"/>
      <sheetName val="平均单价"/>
      <sheetName val="科目登记"/>
      <sheetName val="分项分月"/>
      <sheetName val="数量"/>
      <sheetName val="金额"/>
      <sheetName val="采购成本汇总表"/>
      <sheetName val="容量表"/>
      <sheetName val="盘点表"/>
      <sheetName val="盘点表汇总"/>
      <sheetName val="盘点表单体汇总"/>
      <sheetName val="盘点表单体汇总 (2)"/>
      <sheetName val="产品完工汇总表"/>
      <sheetName val="产品完工成本表"/>
      <sheetName val="成品库龄分析"/>
      <sheetName val="成品分布库龄分析"/>
      <sheetName val="按物料月份统计"/>
      <sheetName val="库存按月分类汇总"/>
      <sheetName val="存货收发存汇总表"/>
      <sheetName val="存货收发存汇总表 (2)"/>
      <sheetName val="10月底成品减值准备"/>
      <sheetName val="11月底成品减值准备"/>
      <sheetName val="原材料账龄分析"/>
      <sheetName val="呆滞料"/>
      <sheetName val="金额 (2)"/>
      <sheetName val="盘点表单体汇总按时间"/>
      <sheetName val="12月底成品减值准备"/>
      <sheetName val="#REF!"/>
      <sheetName val="45℃ 循环反弹电压"/>
      <sheetName val="25℃ 循环反弹电压"/>
      <sheetName val="Para Grille"/>
      <sheetName val="Data"/>
      <sheetName val="GMP1"/>
      <sheetName val="data3"/>
      <sheetName val="粘结力"/>
      <sheetName val="ITEM PARETO"/>
      <sheetName val="Top 5 Features"/>
      <sheetName val="基础数据"/>
      <sheetName val="FEATURE PARETO"/>
      <sheetName val="1"/>
      <sheetName val="fenxi(内)"/>
      <sheetName val="1管理"/>
      <sheetName val="Price"/>
      <sheetName val="RevMaster"/>
      <sheetName val="UnitMaster"/>
      <sheetName val="薪酬构成"/>
      <sheetName val="备件入库"/>
      <sheetName val="公司全体1-计算"/>
      <sheetName val="Index"/>
      <sheetName val="#REF"/>
      <sheetName val="Workings"/>
      <sheetName val="FA-LISTING"/>
      <sheetName val="WEIGHT"/>
      <sheetName val="Assumptions sheet raw material"/>
      <sheetName val="Material"/>
      <sheetName val="SBM-devices-FWZ"/>
      <sheetName val="Assumptions sheet"/>
      <sheetName val="Summary"/>
      <sheetName val="1增员"/>
      <sheetName val="核算项目___物料"/>
      <sheetName val="T11R-DJY A-H cycles-45℃汇总"/>
      <sheetName val="构成件类别"/>
      <sheetName val="材料序列"/>
      <sheetName val="Financ. Overview"/>
      <sheetName val="Toolbox"/>
      <sheetName val="Tab"/>
      <sheetName val="Pocket"/>
      <sheetName val="Sep"/>
      <sheetName val="ET"/>
      <sheetName val="Foil"/>
      <sheetName val="Anode"/>
      <sheetName val="Cathode"/>
      <sheetName val="P1012001"/>
      <sheetName val="eqpmad2"/>
      <sheetName val="铝壳工艺标准"/>
      <sheetName val="Open"/>
      <sheetName val="Main"/>
      <sheetName val="특별경비"/>
      <sheetName val="개발담당자 "/>
      <sheetName val="Merkmal"/>
      <sheetName val="measurement series"/>
      <sheetName val="Temp_Data"/>
      <sheetName val="Evalutions"/>
      <sheetName val="IIS Machine raw Data"/>
      <sheetName val="Machine"/>
      <sheetName val="HeaderValue"/>
      <sheetName val="ClassTop"/>
      <sheetName val="Parametres"/>
      <sheetName val="Expand_Pressure_Data"/>
      <sheetName val="4原始数据"/>
      <sheetName val="Input commodity fallout"/>
      <sheetName val="Reporting"/>
      <sheetName val="13、管理部门_仓储办"/>
      <sheetName val="PV6 3.5L LX5 GMX170"/>
      <sheetName val="pfx_prov"/>
      <sheetName val="清单"/>
      <sheetName val="5月对帐"/>
      <sheetName val="DEF"/>
      <sheetName val="1-0. DMD"/>
      <sheetName val="电池片10条生产线 "/>
      <sheetName val="定容评测"/>
      <sheetName val="B.2"/>
      <sheetName val="E.2"/>
      <sheetName val="C.3"/>
      <sheetName val="DATAT"/>
      <sheetName val="Units"/>
      <sheetName val="Bom(P1)"/>
      <sheetName val="L EQ"/>
      <sheetName val="150-066A价格基础表 -报给谢总"/>
      <sheetName val="150-066A价格基础表-报给营销 "/>
      <sheetName val="电芯BOM-230106"/>
      <sheetName val="运输包装"/>
      <sheetName val="Mix A"/>
      <sheetName val="部门折旧"/>
      <sheetName val="Amortization "/>
      <sheetName val="ED&amp;D Labor Rate"/>
      <sheetName val="Drop Downs"/>
      <sheetName val="HTM销售"/>
      <sheetName val="LTM销售"/>
      <sheetName val="生鲜销售"/>
      <sheetName val="Manufactering costs"/>
      <sheetName val="Cork"/>
      <sheetName val="科目编码表"/>
      <sheetName val="E Goal"/>
      <sheetName val="E_KSR"/>
      <sheetName val="All_KSR"/>
      <sheetName val="P Goal"/>
      <sheetName val="P_KSR"/>
      <sheetName val="說明"/>
      <sheetName val="resume"/>
      <sheetName val="CBU"/>
      <sheetName val="25℃循环DCR"/>
      <sheetName val="125PIECE"/>
      <sheetName val="V1_H1"/>
      <sheetName val="2019.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CDPS"/>
      <sheetName val="Cu_AlFoil改善措施4"/>
      <sheetName val="Capacity_Retention_Data3"/>
      <sheetName val="Stand_Capacity_Retention_Data3"/>
      <sheetName val="1_匀浆封皮"/>
      <sheetName val="Equipment_Req_Plan"/>
      <sheetName val="T11R-DJY_A-H_cycles-45℃汇总"/>
      <sheetName val="Cell_BOM-设计文件-赢合卷绕机"/>
      <sheetName val="0_2C"/>
      <sheetName val="0_5C"/>
      <sheetName val="1_5C"/>
      <sheetName val="盘点表单体汇总_(2)"/>
      <sheetName val="存货收发存汇总表_(2)"/>
      <sheetName val="金额_(2)"/>
      <sheetName val="45℃_循环反弹电压"/>
      <sheetName val="25℃_循环反弹电压"/>
      <sheetName val="Para_Grille"/>
      <sheetName val="Sheet_2"/>
      <sheetName val="FG20220905KLN02_22B-028-KLN"/>
      <sheetName val="FG20220805X03-05_22B-028"/>
      <sheetName val="18650常规设计表"/>
      <sheetName val="总部制造费用结转"/>
      <sheetName val="Share Prices"/>
      <sheetName val="2 实验过程记录"/>
      <sheetName val="HFC-循环比率（HT）"/>
      <sheetName val="2018040200844"/>
      <sheetName val="BTS-시범물량"/>
      <sheetName val="Spec&amp;Masks"/>
      <sheetName val="批次情况"/>
      <sheetName val="_ESList"/>
      <sheetName val="封面"/>
      <sheetName val="Field definitions"/>
      <sheetName val="Initial Capacity &amp; IMP "/>
      <sheetName val="Input Value Bank"/>
      <sheetName val="低温放电曲线-20"/>
      <sheetName val="低温放电曲线 -30"/>
      <sheetName val="45℃-Cycle  "/>
      <sheetName val="低温放电柱形图"/>
      <sheetName val="60℃高温存储28天"/>
      <sheetName val="常温作图-平台电压衰减"/>
      <sheetName val="Country Codes"/>
      <sheetName val="Part (Initial A)"/>
      <sheetName val="measurement_series"/>
      <sheetName val="IIS_Machine_raw_Data"/>
      <sheetName val="개발담당자_"/>
      <sheetName val="Cu_AlFoil改善措施5"/>
      <sheetName val="Capacity_Retention_Data4"/>
      <sheetName val="Stand_Capacity_Retention_Data4"/>
      <sheetName val="Equipment_Req_Plan1"/>
      <sheetName val="0_2C1"/>
      <sheetName val="0_5C1"/>
      <sheetName val="1_5C1"/>
      <sheetName val="1_匀浆封皮1"/>
      <sheetName val="Cell_BOM-设计文件-赢合卷绕机1"/>
      <sheetName val="盘点表单体汇总_(2)1"/>
      <sheetName val="存货收发存汇总表_(2)1"/>
      <sheetName val="金额_(2)1"/>
      <sheetName val="45℃_循环反弹电压1"/>
      <sheetName val="25℃_循环反弹电压1"/>
      <sheetName val="Para_Grille1"/>
      <sheetName val="measurement_series1"/>
      <sheetName val="IIS_Machine_raw_Data1"/>
      <sheetName val="개발담당자_1"/>
      <sheetName val="Sheet_21"/>
      <sheetName val="cntmrs-recruit"/>
      <sheetName val="Matrix-Level 3-Gastonia"/>
      <sheetName val="B"/>
      <sheetName val="核算项目明细账R1"/>
      <sheetName val="28"/>
      <sheetName val="14"/>
      <sheetName val="36"/>
      <sheetName val="13"/>
      <sheetName val="16-1"/>
      <sheetName val="16-2"/>
      <sheetName val="16-3"/>
      <sheetName val="03"/>
      <sheetName val="Attachment A"/>
      <sheetName val="10s Low HPPC-Cell 1keydata"/>
      <sheetName val="CAP1 keydata4"/>
      <sheetName val="10s High HPPC-Cell 1keydata "/>
      <sheetName val="CAP2"/>
      <sheetName val="CAP1 keydata1"/>
      <sheetName val="CAP1 keydata2"/>
      <sheetName val="CAP1 keydata3"/>
      <sheetName val="Samples Qty"/>
      <sheetName val="Sheet51"/>
      <sheetName val="Physical Description"/>
      <sheetName val="CHEMICALS"/>
      <sheetName val="ﾁﾙﾄｽﾃｱﾘﾝｸﾞ機能明細一覧"/>
      <sheetName val="ﾊﾟﾜｽﾃ機能明細一覧"/>
      <sheetName val="진행 DATA (2)"/>
      <sheetName val="BND"/>
      <sheetName val="FUEL FILLER"/>
      <sheetName val="Pkt. Proz."/>
      <sheetName val="Field_definitions"/>
      <sheetName val="Initial_Capacity_&amp;_IMP_"/>
      <sheetName val="Input_Value_Bank"/>
      <sheetName val="低温放电曲线_-30"/>
      <sheetName val="45℃-Cycle__"/>
      <sheetName val="SW-TEO"/>
      <sheetName val="By Brand"/>
      <sheetName val="XL4Poppy"/>
      <sheetName val="系数"/>
      <sheetName val="150车间分容"/>
      <sheetName val="Tabelle1"/>
      <sheetName val="積港比率"/>
      <sheetName val="Sheet371"/>
      <sheetName val="Language"/>
      <sheetName val="CALCUL"/>
      <sheetName val="TbList"/>
      <sheetName val="test data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能耗测算标准-厂务 (2)"/>
      <sheetName val="生产领料汇总表"/>
      <sheetName val="填表说明"/>
      <sheetName val="投资条款汇总"/>
      <sheetName val="square1"/>
      <sheetName val="物流费用"/>
      <sheetName val="label item "/>
      <sheetName val="资产类别"/>
      <sheetName val="전수항목"/>
      <sheetName val="月度抄表"/>
      <sheetName val="低压抄表"/>
      <sheetName val="Admin"/>
      <sheetName val="物料价格"/>
      <sheetName val="二级明细-生产"/>
      <sheetName val="工装夹检具"/>
    </sheetNames>
    <sheetDataSet>
      <sheetData sheetId="0" refreshError="1"/>
      <sheetData sheetId="1" refreshError="1"/>
      <sheetData sheetId="2" refreshError="1">
        <row r="2">
          <cell r="G2" t="str">
            <v>Action</v>
          </cell>
          <cell r="J2" t="str">
            <v>Action Owner</v>
          </cell>
          <cell r="K2" t="str">
            <v>TIMELINE</v>
          </cell>
          <cell r="L2" t="str">
            <v>ACTUAL TIME</v>
          </cell>
          <cell r="M2" t="str">
            <v>STATUS</v>
          </cell>
          <cell r="N2" t="str">
            <v>monthLine</v>
          </cell>
          <cell r="O2" t="str">
            <v>ActualMonth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新万人事资料"/>
      <sheetName val="新万辞职"/>
      <sheetName val="新万人事资料 (2)"/>
      <sheetName val="da"/>
      <sheetName val="#REF"/>
      <sheetName val="Fading_Data"/>
      <sheetName val="新万人事资料_(2)"/>
      <sheetName val="Pressure_Data"/>
      <sheetName val="125PIECE"/>
      <sheetName val="pe"/>
      <sheetName val="分析数据"/>
      <sheetName val="配置界面"/>
      <sheetName val="Database"/>
      <sheetName val="model"/>
      <sheetName val="ISRDATA"/>
      <sheetName val="#REF!"/>
      <sheetName val="TMK280-02"/>
    </sheetNames>
    <sheetDataSet>
      <sheetData sheetId="0" refreshError="1">
        <row r="2">
          <cell r="C2" t="str">
            <v>郑佳欣</v>
          </cell>
          <cell r="D2" t="str">
            <v>女</v>
          </cell>
          <cell r="E2">
            <v>31482</v>
          </cell>
          <cell r="F2" t="str">
            <v>410526198603112364</v>
          </cell>
        </row>
        <row r="3">
          <cell r="C3" t="str">
            <v>余仪长</v>
          </cell>
          <cell r="D3" t="str">
            <v>男</v>
          </cell>
          <cell r="E3">
            <v>31202</v>
          </cell>
          <cell r="F3" t="str">
            <v>362137198506201934</v>
          </cell>
        </row>
        <row r="4">
          <cell r="C4" t="str">
            <v>高亚振</v>
          </cell>
          <cell r="D4" t="str">
            <v>女</v>
          </cell>
          <cell r="E4">
            <v>30474</v>
          </cell>
          <cell r="F4" t="str">
            <v>411303830607392</v>
          </cell>
        </row>
        <row r="5">
          <cell r="C5" t="str">
            <v>余小芬</v>
          </cell>
          <cell r="D5" t="str">
            <v>女</v>
          </cell>
          <cell r="E5">
            <v>31676</v>
          </cell>
          <cell r="F5" t="str">
            <v>360735198609211921</v>
          </cell>
        </row>
        <row r="6">
          <cell r="C6" t="str">
            <v>邵会萍</v>
          </cell>
          <cell r="D6" t="str">
            <v>女</v>
          </cell>
          <cell r="E6">
            <v>30226</v>
          </cell>
          <cell r="F6" t="str">
            <v>610528198210028647</v>
          </cell>
        </row>
        <row r="7">
          <cell r="C7" t="str">
            <v>卜许敏</v>
          </cell>
          <cell r="D7" t="str">
            <v>女</v>
          </cell>
          <cell r="E7">
            <v>29518</v>
          </cell>
          <cell r="F7" t="str">
            <v>410223801024502</v>
          </cell>
        </row>
        <row r="8">
          <cell r="C8" t="str">
            <v>胡少婵</v>
          </cell>
          <cell r="D8" t="str">
            <v>女</v>
          </cell>
          <cell r="E8">
            <v>30801</v>
          </cell>
          <cell r="F8" t="str">
            <v>410526198404292382</v>
          </cell>
        </row>
        <row r="9">
          <cell r="C9" t="str">
            <v>陈小丽</v>
          </cell>
          <cell r="D9" t="str">
            <v>女</v>
          </cell>
          <cell r="E9">
            <v>31007</v>
          </cell>
          <cell r="F9" t="str">
            <v>411324198411210928</v>
          </cell>
        </row>
        <row r="10">
          <cell r="C10" t="str">
            <v>余成玉</v>
          </cell>
          <cell r="D10" t="str">
            <v>女</v>
          </cell>
          <cell r="E10">
            <v>31477</v>
          </cell>
          <cell r="F10" t="str">
            <v>421181198603061929</v>
          </cell>
        </row>
        <row r="11">
          <cell r="C11" t="str">
            <v>彭凤杰</v>
          </cell>
          <cell r="D11" t="str">
            <v>女</v>
          </cell>
          <cell r="E11">
            <v>29264</v>
          </cell>
          <cell r="F11" t="str">
            <v>412721800213182</v>
          </cell>
        </row>
        <row r="12">
          <cell r="C12" t="str">
            <v>李永霞</v>
          </cell>
          <cell r="D12" t="str">
            <v>女</v>
          </cell>
          <cell r="E12">
            <v>31722</v>
          </cell>
          <cell r="F12" t="str">
            <v>412721198611061422</v>
          </cell>
        </row>
        <row r="13">
          <cell r="C13" t="str">
            <v>闫会霞</v>
          </cell>
          <cell r="D13" t="str">
            <v>女</v>
          </cell>
          <cell r="E13">
            <v>31453</v>
          </cell>
          <cell r="F13" t="str">
            <v>412721198602101867</v>
          </cell>
        </row>
        <row r="14">
          <cell r="C14" t="str">
            <v>肖银华</v>
          </cell>
          <cell r="D14" t="str">
            <v>女</v>
          </cell>
          <cell r="E14">
            <v>30848</v>
          </cell>
          <cell r="F14" t="str">
            <v>412722840615252</v>
          </cell>
        </row>
        <row r="15">
          <cell r="C15" t="str">
            <v>李合平</v>
          </cell>
          <cell r="D15" t="str">
            <v>女</v>
          </cell>
          <cell r="E15">
            <v>29758</v>
          </cell>
          <cell r="F15" t="str">
            <v>430122810621552</v>
          </cell>
        </row>
        <row r="16">
          <cell r="C16" t="str">
            <v>高玉丽</v>
          </cell>
          <cell r="D16" t="str">
            <v>女</v>
          </cell>
          <cell r="E16">
            <v>31100</v>
          </cell>
          <cell r="F16" t="str">
            <v>410223198502226068</v>
          </cell>
        </row>
        <row r="17">
          <cell r="C17" t="str">
            <v>秦彩利</v>
          </cell>
          <cell r="D17" t="str">
            <v>女</v>
          </cell>
          <cell r="E17">
            <v>31242</v>
          </cell>
          <cell r="F17" t="str">
            <v>610426198507140025</v>
          </cell>
        </row>
        <row r="18">
          <cell r="C18" t="str">
            <v>张娟娟</v>
          </cell>
          <cell r="D18" t="str">
            <v>女</v>
          </cell>
          <cell r="E18">
            <v>30958</v>
          </cell>
          <cell r="F18" t="str">
            <v>610426198410030022</v>
          </cell>
        </row>
        <row r="19">
          <cell r="C19" t="str">
            <v>张秋亭</v>
          </cell>
          <cell r="D19" t="str">
            <v>女</v>
          </cell>
          <cell r="E19">
            <v>31237</v>
          </cell>
          <cell r="F19" t="str">
            <v>610426198507090021</v>
          </cell>
        </row>
        <row r="20">
          <cell r="C20" t="str">
            <v>余爽</v>
          </cell>
          <cell r="D20" t="str">
            <v>女</v>
          </cell>
          <cell r="E20">
            <v>31689</v>
          </cell>
          <cell r="F20" t="str">
            <v>411303198610043921</v>
          </cell>
        </row>
        <row r="21">
          <cell r="C21" t="str">
            <v>刘林艳</v>
          </cell>
          <cell r="D21" t="str">
            <v>女</v>
          </cell>
          <cell r="E21">
            <v>30232</v>
          </cell>
          <cell r="F21" t="str">
            <v>430522821008882</v>
          </cell>
        </row>
        <row r="22">
          <cell r="C22" t="str">
            <v>李婷婷</v>
          </cell>
          <cell r="D22" t="str">
            <v>女</v>
          </cell>
          <cell r="E22">
            <v>29536</v>
          </cell>
          <cell r="F22" t="str">
            <v>420684198011115028</v>
          </cell>
        </row>
        <row r="23">
          <cell r="C23" t="str">
            <v>胡翠英</v>
          </cell>
          <cell r="D23" t="str">
            <v>女</v>
          </cell>
          <cell r="E23">
            <v>30025</v>
          </cell>
          <cell r="F23" t="str">
            <v>410526820315234</v>
          </cell>
        </row>
        <row r="24">
          <cell r="C24" t="str">
            <v>周庆国</v>
          </cell>
          <cell r="D24" t="str">
            <v>男</v>
          </cell>
          <cell r="E24">
            <v>28706</v>
          </cell>
          <cell r="F24" t="str">
            <v>421023197808040714</v>
          </cell>
        </row>
        <row r="25">
          <cell r="C25" t="str">
            <v>钱彪</v>
          </cell>
          <cell r="D25" t="str">
            <v>男</v>
          </cell>
          <cell r="E25">
            <v>27221</v>
          </cell>
          <cell r="F25" t="str">
            <v>36220219740711151</v>
          </cell>
        </row>
        <row r="26">
          <cell r="C26" t="str">
            <v>付艳玲</v>
          </cell>
          <cell r="D26" t="str">
            <v>女</v>
          </cell>
          <cell r="E26">
            <v>30700</v>
          </cell>
          <cell r="F26" t="str">
            <v>420621198401198943</v>
          </cell>
        </row>
        <row r="27">
          <cell r="C27" t="str">
            <v>李娜</v>
          </cell>
          <cell r="D27" t="str">
            <v>女</v>
          </cell>
          <cell r="E27">
            <v>30222</v>
          </cell>
          <cell r="F27" t="str">
            <v>420621198209288623</v>
          </cell>
        </row>
        <row r="28">
          <cell r="C28" t="str">
            <v>杨宁宁</v>
          </cell>
          <cell r="D28" t="str">
            <v>女</v>
          </cell>
          <cell r="E28">
            <v>30607</v>
          </cell>
          <cell r="F28" t="str">
            <v>610424831018286</v>
          </cell>
        </row>
        <row r="29">
          <cell r="C29" t="str">
            <v>王静</v>
          </cell>
          <cell r="D29" t="str">
            <v>女</v>
          </cell>
          <cell r="E29">
            <v>31393</v>
          </cell>
          <cell r="F29" t="str">
            <v>411303198512124226</v>
          </cell>
        </row>
        <row r="30">
          <cell r="C30" t="str">
            <v>宋丽娜</v>
          </cell>
          <cell r="D30" t="str">
            <v>女</v>
          </cell>
          <cell r="E30">
            <v>31544</v>
          </cell>
          <cell r="F30" t="str">
            <v>41102419860512166</v>
          </cell>
        </row>
        <row r="31">
          <cell r="C31" t="str">
            <v>郭会琴</v>
          </cell>
          <cell r="D31" t="str">
            <v>女</v>
          </cell>
          <cell r="E31">
            <v>31153</v>
          </cell>
          <cell r="F31" t="str">
            <v>412721198506143821</v>
          </cell>
        </row>
        <row r="32">
          <cell r="C32" t="str">
            <v>靳利远</v>
          </cell>
          <cell r="D32" t="str">
            <v>女</v>
          </cell>
          <cell r="E32">
            <v>31380</v>
          </cell>
          <cell r="F32" t="str">
            <v>412721198511294288</v>
          </cell>
        </row>
        <row r="33">
          <cell r="C33" t="str">
            <v>潘玲玲</v>
          </cell>
          <cell r="D33" t="str">
            <v>女</v>
          </cell>
          <cell r="E33">
            <v>31489</v>
          </cell>
          <cell r="F33" t="str">
            <v>411024198603181643</v>
          </cell>
        </row>
        <row r="34">
          <cell r="C34" t="str">
            <v>宋利敬</v>
          </cell>
          <cell r="D34" t="str">
            <v>女</v>
          </cell>
          <cell r="E34">
            <v>31451</v>
          </cell>
          <cell r="F34" t="str">
            <v>411024198602081624</v>
          </cell>
        </row>
        <row r="35">
          <cell r="C35" t="str">
            <v>吴飞飞</v>
          </cell>
          <cell r="D35" t="str">
            <v>女</v>
          </cell>
          <cell r="E35">
            <v>31486</v>
          </cell>
          <cell r="F35" t="str">
            <v>412721198603153845</v>
          </cell>
        </row>
        <row r="36">
          <cell r="C36" t="str">
            <v>张亚丽</v>
          </cell>
          <cell r="D36" t="str">
            <v>女</v>
          </cell>
          <cell r="E36">
            <v>31712</v>
          </cell>
          <cell r="F36" t="str">
            <v>412721198610273845</v>
          </cell>
        </row>
        <row r="37">
          <cell r="C37" t="str">
            <v>张春娜</v>
          </cell>
          <cell r="D37" t="str">
            <v>女</v>
          </cell>
          <cell r="E37">
            <v>31459</v>
          </cell>
          <cell r="F37" t="str">
            <v>412721198602163064</v>
          </cell>
        </row>
        <row r="38">
          <cell r="C38" t="str">
            <v>张丹</v>
          </cell>
          <cell r="D38" t="str">
            <v>女</v>
          </cell>
          <cell r="E38">
            <v>31707</v>
          </cell>
          <cell r="F38" t="str">
            <v>412721198610223864</v>
          </cell>
        </row>
        <row r="39">
          <cell r="C39" t="str">
            <v>王盼</v>
          </cell>
          <cell r="D39" t="str">
            <v>女</v>
          </cell>
          <cell r="E39">
            <v>31071</v>
          </cell>
          <cell r="F39" t="str">
            <v>412721198501240649</v>
          </cell>
        </row>
        <row r="40">
          <cell r="C40" t="str">
            <v>卢卫捧</v>
          </cell>
          <cell r="D40" t="str">
            <v>女</v>
          </cell>
          <cell r="E40">
            <v>30691</v>
          </cell>
          <cell r="F40" t="str">
            <v>412721198401105829</v>
          </cell>
        </row>
        <row r="41">
          <cell r="C41" t="str">
            <v>周永丽</v>
          </cell>
          <cell r="D41" t="str">
            <v>女</v>
          </cell>
          <cell r="E41">
            <v>31653</v>
          </cell>
          <cell r="F41" t="str">
            <v>412721198608293046</v>
          </cell>
        </row>
        <row r="42">
          <cell r="C42" t="str">
            <v>靳书平</v>
          </cell>
          <cell r="D42" t="str">
            <v>女</v>
          </cell>
          <cell r="E42">
            <v>31026</v>
          </cell>
          <cell r="F42" t="str">
            <v>410223198412105561</v>
          </cell>
        </row>
        <row r="43">
          <cell r="C43" t="str">
            <v>张红霞</v>
          </cell>
          <cell r="D43" t="str">
            <v>女</v>
          </cell>
          <cell r="E43">
            <v>29858</v>
          </cell>
          <cell r="F43" t="str">
            <v>410223198109292085</v>
          </cell>
        </row>
        <row r="44">
          <cell r="C44" t="str">
            <v>张卫琴</v>
          </cell>
          <cell r="D44" t="str">
            <v>女</v>
          </cell>
          <cell r="E44">
            <v>31166</v>
          </cell>
          <cell r="F44" t="str">
            <v>412721198504293869</v>
          </cell>
        </row>
        <row r="45">
          <cell r="C45" t="str">
            <v>王亚丽</v>
          </cell>
          <cell r="D45" t="str">
            <v>女</v>
          </cell>
          <cell r="E45">
            <v>31690</v>
          </cell>
          <cell r="F45" t="str">
            <v>412721198610053869</v>
          </cell>
        </row>
        <row r="46">
          <cell r="C46" t="str">
            <v>李树叶</v>
          </cell>
          <cell r="D46" t="str">
            <v>女</v>
          </cell>
          <cell r="E46">
            <v>31048</v>
          </cell>
          <cell r="F46" t="str">
            <v>412721198501013841</v>
          </cell>
        </row>
        <row r="47">
          <cell r="C47" t="str">
            <v>李俊峰</v>
          </cell>
          <cell r="D47" t="str">
            <v>女</v>
          </cell>
          <cell r="E47">
            <v>31449</v>
          </cell>
          <cell r="F47" t="str">
            <v>412721198602063848</v>
          </cell>
        </row>
        <row r="48">
          <cell r="C48" t="str">
            <v>齐曼</v>
          </cell>
          <cell r="D48" t="str">
            <v>女</v>
          </cell>
          <cell r="E48">
            <v>31055</v>
          </cell>
          <cell r="F48" t="str">
            <v>412721198501083444</v>
          </cell>
        </row>
        <row r="49">
          <cell r="C49" t="str">
            <v>袁艳芳</v>
          </cell>
          <cell r="D49" t="str">
            <v>女</v>
          </cell>
          <cell r="E49">
            <v>30229</v>
          </cell>
          <cell r="F49" t="str">
            <v>411024821005002</v>
          </cell>
        </row>
        <row r="50">
          <cell r="C50" t="str">
            <v>周培培</v>
          </cell>
          <cell r="D50" t="str">
            <v>女</v>
          </cell>
          <cell r="E50">
            <v>31575</v>
          </cell>
          <cell r="F50" t="str">
            <v>412721198606123043</v>
          </cell>
        </row>
        <row r="51">
          <cell r="C51" t="str">
            <v>李芳</v>
          </cell>
          <cell r="D51" t="str">
            <v>女</v>
          </cell>
          <cell r="E51">
            <v>31469</v>
          </cell>
          <cell r="F51" t="str">
            <v>412721198602263444</v>
          </cell>
        </row>
        <row r="52">
          <cell r="C52" t="str">
            <v>刘素红</v>
          </cell>
          <cell r="D52" t="str">
            <v>女</v>
          </cell>
          <cell r="E52">
            <v>30146</v>
          </cell>
          <cell r="F52" t="str">
            <v>411024820714008</v>
          </cell>
        </row>
        <row r="53">
          <cell r="C53" t="str">
            <v>何彦平</v>
          </cell>
          <cell r="D53" t="str">
            <v>女</v>
          </cell>
          <cell r="E53">
            <v>31183</v>
          </cell>
          <cell r="F53" t="str">
            <v>410223198505165547</v>
          </cell>
        </row>
        <row r="54">
          <cell r="C54" t="str">
            <v>陈萍</v>
          </cell>
          <cell r="D54" t="str">
            <v>女</v>
          </cell>
          <cell r="E54">
            <v>30903</v>
          </cell>
          <cell r="F54" t="str">
            <v>412721198408093867</v>
          </cell>
        </row>
        <row r="55">
          <cell r="C55" t="str">
            <v>李玲玲</v>
          </cell>
          <cell r="D55" t="str">
            <v>女</v>
          </cell>
          <cell r="E55">
            <v>30837</v>
          </cell>
          <cell r="F55" t="str">
            <v>41022319840604554X</v>
          </cell>
        </row>
        <row r="56">
          <cell r="C56" t="str">
            <v>孙华敏</v>
          </cell>
          <cell r="D56" t="str">
            <v>女</v>
          </cell>
          <cell r="E56">
            <v>30942</v>
          </cell>
          <cell r="F56" t="str">
            <v>412721198409173420</v>
          </cell>
        </row>
        <row r="57">
          <cell r="C57" t="str">
            <v>潘艳杰</v>
          </cell>
          <cell r="D57" t="str">
            <v>女</v>
          </cell>
          <cell r="E57">
            <v>30374</v>
          </cell>
          <cell r="F57" t="str">
            <v>412721830227508</v>
          </cell>
        </row>
        <row r="58">
          <cell r="C58" t="str">
            <v>王丽艳</v>
          </cell>
          <cell r="D58" t="str">
            <v>女</v>
          </cell>
          <cell r="E58">
            <v>31112</v>
          </cell>
          <cell r="F58" t="str">
            <v>412721198503060641</v>
          </cell>
        </row>
        <row r="59">
          <cell r="C59" t="str">
            <v>高利敏</v>
          </cell>
          <cell r="D59" t="str">
            <v>女</v>
          </cell>
          <cell r="E59">
            <v>31070</v>
          </cell>
          <cell r="F59" t="str">
            <v>412721198501233844</v>
          </cell>
        </row>
        <row r="60">
          <cell r="C60" t="str">
            <v>张瑞杰</v>
          </cell>
          <cell r="D60" t="str">
            <v>女</v>
          </cell>
          <cell r="E60">
            <v>30967</v>
          </cell>
          <cell r="F60" t="str">
            <v>410223198410122085</v>
          </cell>
        </row>
        <row r="61">
          <cell r="C61" t="str">
            <v>罗招萍</v>
          </cell>
          <cell r="D61" t="str">
            <v>女</v>
          </cell>
          <cell r="E61">
            <v>31616</v>
          </cell>
          <cell r="F61" t="str">
            <v>522627198607234827</v>
          </cell>
        </row>
        <row r="62">
          <cell r="C62" t="str">
            <v>卢晓丽</v>
          </cell>
          <cell r="D62" t="str">
            <v>女</v>
          </cell>
          <cell r="E62">
            <v>31364</v>
          </cell>
          <cell r="F62" t="str">
            <v>412721198511135826</v>
          </cell>
        </row>
        <row r="63">
          <cell r="C63" t="str">
            <v>田纪红</v>
          </cell>
          <cell r="D63" t="str">
            <v>女</v>
          </cell>
          <cell r="E63">
            <v>31755</v>
          </cell>
          <cell r="F63" t="str">
            <v>412721198612093821</v>
          </cell>
        </row>
        <row r="64">
          <cell r="C64" t="str">
            <v>郭艳丽</v>
          </cell>
          <cell r="D64" t="str">
            <v>女</v>
          </cell>
          <cell r="E64">
            <v>31163</v>
          </cell>
          <cell r="F64" t="str">
            <v>412721198504265446</v>
          </cell>
        </row>
        <row r="65">
          <cell r="C65" t="str">
            <v>周金萍</v>
          </cell>
          <cell r="D65" t="str">
            <v>女</v>
          </cell>
          <cell r="E65">
            <v>29480</v>
          </cell>
          <cell r="F65" t="str">
            <v>511222800916002</v>
          </cell>
        </row>
        <row r="66">
          <cell r="C66" t="str">
            <v>梁红梅</v>
          </cell>
          <cell r="D66" t="str">
            <v>女</v>
          </cell>
          <cell r="E66">
            <v>29039</v>
          </cell>
          <cell r="F66" t="str">
            <v>450122790703454</v>
          </cell>
        </row>
        <row r="67">
          <cell r="C67" t="str">
            <v>祝必凤</v>
          </cell>
          <cell r="D67" t="str">
            <v>女</v>
          </cell>
          <cell r="E67">
            <v>30627</v>
          </cell>
          <cell r="F67" t="str">
            <v>430623198311074845</v>
          </cell>
        </row>
        <row r="68">
          <cell r="C68" t="str">
            <v>廖佩霞</v>
          </cell>
          <cell r="D68" t="str">
            <v>女</v>
          </cell>
          <cell r="E68">
            <v>28397</v>
          </cell>
          <cell r="F68" t="str">
            <v>430122770929604</v>
          </cell>
        </row>
        <row r="69">
          <cell r="C69" t="str">
            <v>刘勤</v>
          </cell>
          <cell r="D69" t="str">
            <v>女</v>
          </cell>
          <cell r="E69">
            <v>28452</v>
          </cell>
          <cell r="F69" t="str">
            <v>512926771123056</v>
          </cell>
        </row>
        <row r="70">
          <cell r="C70" t="str">
            <v>张淑萍</v>
          </cell>
          <cell r="D70" t="str">
            <v>女</v>
          </cell>
          <cell r="E70">
            <v>30185</v>
          </cell>
          <cell r="F70" t="str">
            <v>445222820622006</v>
          </cell>
        </row>
        <row r="71">
          <cell r="C71" t="str">
            <v>王博</v>
          </cell>
          <cell r="D71" t="str">
            <v>女</v>
          </cell>
          <cell r="E71">
            <v>30464</v>
          </cell>
          <cell r="F71" t="str">
            <v>421126198305282227</v>
          </cell>
        </row>
        <row r="72">
          <cell r="C72" t="str">
            <v>龚秋</v>
          </cell>
          <cell r="D72" t="str">
            <v>女</v>
          </cell>
          <cell r="E72">
            <v>31219</v>
          </cell>
          <cell r="F72" t="str">
            <v>432522198506210026</v>
          </cell>
        </row>
        <row r="73">
          <cell r="C73" t="str">
            <v>李志红</v>
          </cell>
          <cell r="D73" t="str">
            <v>女</v>
          </cell>
          <cell r="E73">
            <v>30914</v>
          </cell>
          <cell r="F73" t="str">
            <v>430923198408200023</v>
          </cell>
        </row>
        <row r="74">
          <cell r="C74" t="str">
            <v>郭亚勤</v>
          </cell>
          <cell r="D74" t="str">
            <v>女</v>
          </cell>
          <cell r="E74">
            <v>31104</v>
          </cell>
          <cell r="F74" t="str">
            <v>422129198502260529</v>
          </cell>
        </row>
        <row r="75">
          <cell r="C75" t="str">
            <v>姚超</v>
          </cell>
          <cell r="D75" t="str">
            <v>女</v>
          </cell>
          <cell r="E75">
            <v>29484</v>
          </cell>
          <cell r="F75" t="str">
            <v>420625198009206828</v>
          </cell>
        </row>
        <row r="76">
          <cell r="C76" t="str">
            <v>郑艳杰</v>
          </cell>
          <cell r="D76" t="str">
            <v>女</v>
          </cell>
          <cell r="E76">
            <v>29790</v>
          </cell>
          <cell r="F76" t="str">
            <v>412727810723802</v>
          </cell>
        </row>
        <row r="77">
          <cell r="C77" t="str">
            <v>罗兰华</v>
          </cell>
          <cell r="D77" t="str">
            <v>女</v>
          </cell>
          <cell r="E77">
            <v>30079</v>
          </cell>
          <cell r="F77" t="str">
            <v>430381820508232</v>
          </cell>
        </row>
        <row r="78">
          <cell r="C78" t="str">
            <v>姚莹莹</v>
          </cell>
          <cell r="D78" t="str">
            <v>女</v>
          </cell>
          <cell r="E78">
            <v>31413</v>
          </cell>
          <cell r="F78" t="str">
            <v>420625198601016847</v>
          </cell>
        </row>
        <row r="79">
          <cell r="C79" t="str">
            <v>张菊莲</v>
          </cell>
          <cell r="D79" t="str">
            <v>女</v>
          </cell>
          <cell r="E79">
            <v>28843</v>
          </cell>
          <cell r="F79" t="str">
            <v>360421781219102</v>
          </cell>
        </row>
        <row r="80">
          <cell r="C80" t="str">
            <v>彭银艳</v>
          </cell>
          <cell r="D80" t="str">
            <v>女</v>
          </cell>
          <cell r="E80">
            <v>31238</v>
          </cell>
          <cell r="F80" t="str">
            <v>412727198507100725</v>
          </cell>
        </row>
        <row r="81">
          <cell r="C81" t="str">
            <v>丁慧</v>
          </cell>
          <cell r="D81" t="str">
            <v>女</v>
          </cell>
          <cell r="E81">
            <v>31079</v>
          </cell>
          <cell r="F81" t="str">
            <v>36220119850201024X</v>
          </cell>
        </row>
        <row r="82">
          <cell r="C82" t="str">
            <v>莫晓芳</v>
          </cell>
          <cell r="D82" t="str">
            <v>女</v>
          </cell>
          <cell r="E82">
            <v>31451</v>
          </cell>
          <cell r="F82" t="str">
            <v>432522198602084082</v>
          </cell>
        </row>
        <row r="83">
          <cell r="C83" t="str">
            <v>彭利</v>
          </cell>
          <cell r="D83" t="str">
            <v>女</v>
          </cell>
          <cell r="E83">
            <v>30124</v>
          </cell>
          <cell r="F83" t="str">
            <v>430124820622402</v>
          </cell>
        </row>
        <row r="84">
          <cell r="C84" t="str">
            <v>危绪结</v>
          </cell>
          <cell r="D84" t="str">
            <v>男</v>
          </cell>
          <cell r="E84">
            <v>29978</v>
          </cell>
          <cell r="F84" t="str">
            <v>342921198201272318</v>
          </cell>
        </row>
        <row r="85">
          <cell r="C85" t="str">
            <v>胡宇</v>
          </cell>
          <cell r="D85" t="str">
            <v>男</v>
          </cell>
          <cell r="E85">
            <v>31079</v>
          </cell>
          <cell r="F85" t="str">
            <v>362201198502015411</v>
          </cell>
        </row>
        <row r="86">
          <cell r="C86" t="str">
            <v>彭喜</v>
          </cell>
          <cell r="D86" t="str">
            <v>女</v>
          </cell>
          <cell r="E86">
            <v>31327</v>
          </cell>
          <cell r="F86" t="str">
            <v>432522198510074581</v>
          </cell>
        </row>
        <row r="87">
          <cell r="C87" t="str">
            <v>刘成惠</v>
          </cell>
          <cell r="D87" t="str">
            <v>女</v>
          </cell>
          <cell r="E87">
            <v>30192</v>
          </cell>
          <cell r="F87" t="str">
            <v>410726820829164</v>
          </cell>
        </row>
        <row r="88">
          <cell r="C88" t="str">
            <v>付六梅</v>
          </cell>
          <cell r="D88" t="str">
            <v>女</v>
          </cell>
          <cell r="E88">
            <v>29675</v>
          </cell>
          <cell r="F88" t="str">
            <v>360502198103303628</v>
          </cell>
        </row>
        <row r="89">
          <cell r="C89" t="str">
            <v>龙娟</v>
          </cell>
          <cell r="D89" t="str">
            <v>女</v>
          </cell>
          <cell r="E89">
            <v>31718</v>
          </cell>
          <cell r="F89" t="str">
            <v>362227198611020360</v>
          </cell>
        </row>
        <row r="90">
          <cell r="C90" t="str">
            <v>彭秧</v>
          </cell>
          <cell r="D90" t="str">
            <v>女</v>
          </cell>
          <cell r="E90">
            <v>30774</v>
          </cell>
          <cell r="F90" t="str">
            <v>430681198404024322</v>
          </cell>
        </row>
        <row r="91">
          <cell r="C91" t="str">
            <v>付艳青</v>
          </cell>
          <cell r="D91" t="str">
            <v>女</v>
          </cell>
          <cell r="E91">
            <v>31693</v>
          </cell>
          <cell r="F91" t="str">
            <v>430525198610084127</v>
          </cell>
        </row>
        <row r="92">
          <cell r="C92" t="str">
            <v>阳琪</v>
          </cell>
          <cell r="D92" t="str">
            <v>女</v>
          </cell>
          <cell r="E92">
            <v>30982</v>
          </cell>
          <cell r="F92" t="str">
            <v>362227198410270320</v>
          </cell>
        </row>
        <row r="93">
          <cell r="C93" t="str">
            <v>欧冬梅</v>
          </cell>
          <cell r="D93" t="str">
            <v>女</v>
          </cell>
          <cell r="E93">
            <v>30233</v>
          </cell>
          <cell r="F93" t="str">
            <v>450122198210095022</v>
          </cell>
        </row>
        <row r="94">
          <cell r="C94" t="str">
            <v>关寿福</v>
          </cell>
          <cell r="D94" t="str">
            <v>男</v>
          </cell>
          <cell r="E94">
            <v>29026</v>
          </cell>
          <cell r="F94" t="str">
            <v>452503790620477</v>
          </cell>
        </row>
        <row r="95">
          <cell r="C95" t="str">
            <v>陈利红</v>
          </cell>
          <cell r="D95" t="str">
            <v>女</v>
          </cell>
          <cell r="E95">
            <v>29276</v>
          </cell>
          <cell r="F95" t="str">
            <v>429006800225002</v>
          </cell>
        </row>
        <row r="96">
          <cell r="C96" t="str">
            <v>丁平香</v>
          </cell>
          <cell r="D96" t="str">
            <v>女</v>
          </cell>
          <cell r="E96">
            <v>31274</v>
          </cell>
          <cell r="F96" t="str">
            <v>36222719850815036X</v>
          </cell>
        </row>
        <row r="97">
          <cell r="C97" t="str">
            <v>龙小平</v>
          </cell>
          <cell r="D97" t="str">
            <v>女</v>
          </cell>
          <cell r="E97">
            <v>30576</v>
          </cell>
          <cell r="F97" t="str">
            <v>362430830917004</v>
          </cell>
        </row>
        <row r="98">
          <cell r="C98" t="str">
            <v>杨琴</v>
          </cell>
          <cell r="D98" t="str">
            <v>女</v>
          </cell>
          <cell r="E98">
            <v>31799</v>
          </cell>
          <cell r="F98" t="str">
            <v>431229198701222644</v>
          </cell>
        </row>
        <row r="99">
          <cell r="C99" t="str">
            <v>马中玉</v>
          </cell>
          <cell r="D99" t="str">
            <v>女</v>
          </cell>
          <cell r="E99">
            <v>29950</v>
          </cell>
          <cell r="F99" t="str">
            <v>411324811230098</v>
          </cell>
        </row>
        <row r="100">
          <cell r="C100" t="str">
            <v>司马亚林</v>
          </cell>
          <cell r="D100" t="str">
            <v>女</v>
          </cell>
          <cell r="E100">
            <v>31371</v>
          </cell>
          <cell r="F100" t="str">
            <v>430521198511204984</v>
          </cell>
        </row>
        <row r="101">
          <cell r="C101" t="str">
            <v>仇立红</v>
          </cell>
          <cell r="D101" t="str">
            <v>女</v>
          </cell>
          <cell r="E101">
            <v>31035</v>
          </cell>
          <cell r="F101" t="str">
            <v>430521198412193888</v>
          </cell>
        </row>
        <row r="102">
          <cell r="C102" t="str">
            <v>胡宝峰</v>
          </cell>
          <cell r="D102" t="str">
            <v>女</v>
          </cell>
          <cell r="E102">
            <v>30536</v>
          </cell>
          <cell r="F102" t="str">
            <v>411324830808092</v>
          </cell>
        </row>
        <row r="103">
          <cell r="C103" t="str">
            <v>陈蓓</v>
          </cell>
          <cell r="D103" t="str">
            <v>女</v>
          </cell>
          <cell r="E103">
            <v>30205</v>
          </cell>
          <cell r="F103" t="str">
            <v>430911198209112121</v>
          </cell>
        </row>
        <row r="104">
          <cell r="C104" t="str">
            <v>郑显芝</v>
          </cell>
          <cell r="D104" t="str">
            <v>女</v>
          </cell>
          <cell r="E104">
            <v>28227</v>
          </cell>
          <cell r="F104" t="str">
            <v>510322770412230</v>
          </cell>
        </row>
        <row r="105">
          <cell r="C105" t="str">
            <v>孙旭旭</v>
          </cell>
          <cell r="D105" t="str">
            <v>女</v>
          </cell>
          <cell r="E105">
            <v>31394</v>
          </cell>
          <cell r="F105" t="str">
            <v>411324198512130548</v>
          </cell>
        </row>
        <row r="106">
          <cell r="C106" t="str">
            <v>袁玉娜</v>
          </cell>
          <cell r="D106" t="str">
            <v>女</v>
          </cell>
          <cell r="E106">
            <v>30430</v>
          </cell>
          <cell r="F106" t="str">
            <v>411303830424392</v>
          </cell>
        </row>
        <row r="107">
          <cell r="C107" t="str">
            <v>胡哲</v>
          </cell>
          <cell r="D107" t="str">
            <v>女</v>
          </cell>
          <cell r="E107">
            <v>31491</v>
          </cell>
          <cell r="F107" t="str">
            <v>411303198603203747</v>
          </cell>
        </row>
        <row r="108">
          <cell r="C108" t="str">
            <v>刘海娇</v>
          </cell>
          <cell r="D108" t="str">
            <v>女</v>
          </cell>
          <cell r="E108">
            <v>28934</v>
          </cell>
          <cell r="F108" t="str">
            <v>430426790320766</v>
          </cell>
        </row>
        <row r="109">
          <cell r="C109" t="str">
            <v>王子林</v>
          </cell>
          <cell r="D109" t="str">
            <v>女</v>
          </cell>
          <cell r="E109">
            <v>30326</v>
          </cell>
          <cell r="F109" t="str">
            <v>513023198301103745</v>
          </cell>
        </row>
        <row r="110">
          <cell r="C110" t="str">
            <v>边东歌</v>
          </cell>
          <cell r="D110" t="str">
            <v>女</v>
          </cell>
          <cell r="E110">
            <v>28893</v>
          </cell>
          <cell r="F110" t="str">
            <v>610421197902075028</v>
          </cell>
        </row>
        <row r="111">
          <cell r="C111" t="str">
            <v>张玲玲</v>
          </cell>
          <cell r="D111" t="str">
            <v>女</v>
          </cell>
          <cell r="E111">
            <v>30616</v>
          </cell>
          <cell r="F111" t="str">
            <v>429001198310274242</v>
          </cell>
        </row>
        <row r="112">
          <cell r="C112" t="str">
            <v>宋红焕</v>
          </cell>
          <cell r="D112" t="str">
            <v>女</v>
          </cell>
          <cell r="E112">
            <v>29518</v>
          </cell>
          <cell r="F112" t="str">
            <v>411303801024284</v>
          </cell>
        </row>
        <row r="113">
          <cell r="C113" t="str">
            <v>刘捧</v>
          </cell>
          <cell r="D113" t="str">
            <v>女</v>
          </cell>
          <cell r="E113">
            <v>28983</v>
          </cell>
          <cell r="F113" t="str">
            <v>410222197905081528</v>
          </cell>
        </row>
        <row r="114">
          <cell r="C114" t="str">
            <v>陈春平</v>
          </cell>
          <cell r="D114" t="str">
            <v>女</v>
          </cell>
          <cell r="E114">
            <v>31072</v>
          </cell>
          <cell r="F114" t="str">
            <v>360735198501251948</v>
          </cell>
        </row>
        <row r="115">
          <cell r="C115" t="str">
            <v>刘玉恋</v>
          </cell>
          <cell r="D115" t="str">
            <v>女</v>
          </cell>
          <cell r="E115">
            <v>29216</v>
          </cell>
          <cell r="F115" t="str">
            <v>452327197912272820</v>
          </cell>
        </row>
        <row r="116">
          <cell r="C116" t="str">
            <v>贾梨</v>
          </cell>
          <cell r="D116" t="str">
            <v>女</v>
          </cell>
          <cell r="E116">
            <v>30757</v>
          </cell>
          <cell r="F116" t="str">
            <v>610431198403164226</v>
          </cell>
        </row>
        <row r="117">
          <cell r="C117" t="str">
            <v>史艳香</v>
          </cell>
          <cell r="D117" t="str">
            <v>女</v>
          </cell>
          <cell r="E117">
            <v>28389</v>
          </cell>
          <cell r="F117" t="str">
            <v>362430770921202</v>
          </cell>
        </row>
        <row r="118">
          <cell r="C118" t="str">
            <v>王娜</v>
          </cell>
          <cell r="D118" t="str">
            <v>女</v>
          </cell>
          <cell r="E118">
            <v>30996</v>
          </cell>
          <cell r="F118" t="str">
            <v>411324841110582</v>
          </cell>
        </row>
        <row r="119">
          <cell r="C119" t="str">
            <v>刘燕</v>
          </cell>
          <cell r="D119" t="str">
            <v>女</v>
          </cell>
          <cell r="E119">
            <v>30882</v>
          </cell>
          <cell r="F119" t="str">
            <v>360722198407195749</v>
          </cell>
        </row>
        <row r="120">
          <cell r="C120" t="str">
            <v>白宽</v>
          </cell>
          <cell r="D120" t="str">
            <v>女</v>
          </cell>
          <cell r="E120">
            <v>30621</v>
          </cell>
          <cell r="F120" t="str">
            <v>410222831101452</v>
          </cell>
        </row>
        <row r="121">
          <cell r="C121" t="str">
            <v>王巧利</v>
          </cell>
          <cell r="D121" t="str">
            <v>女</v>
          </cell>
          <cell r="E121">
            <v>31662</v>
          </cell>
          <cell r="F121" t="str">
            <v>43252219860907408X</v>
          </cell>
        </row>
        <row r="122">
          <cell r="C122" t="str">
            <v>王晓钦</v>
          </cell>
          <cell r="D122" t="str">
            <v>女</v>
          </cell>
          <cell r="E122">
            <v>29300</v>
          </cell>
          <cell r="F122" t="str">
            <v>411324800320522</v>
          </cell>
        </row>
        <row r="123">
          <cell r="C123" t="str">
            <v>王艳</v>
          </cell>
          <cell r="D123" t="str">
            <v>女</v>
          </cell>
          <cell r="E123">
            <v>31619</v>
          </cell>
          <cell r="F123" t="str">
            <v>432522198607264066</v>
          </cell>
        </row>
        <row r="124">
          <cell r="C124" t="str">
            <v>曾松锋</v>
          </cell>
          <cell r="D124" t="str">
            <v>女</v>
          </cell>
          <cell r="E124">
            <v>31592</v>
          </cell>
          <cell r="F124" t="str">
            <v>432522198606294060</v>
          </cell>
        </row>
        <row r="125">
          <cell r="C125" t="str">
            <v>郭娜</v>
          </cell>
          <cell r="D125" t="str">
            <v>女</v>
          </cell>
          <cell r="E125">
            <v>30665</v>
          </cell>
          <cell r="F125" t="str">
            <v>411302198312155427</v>
          </cell>
        </row>
        <row r="126">
          <cell r="C126" t="str">
            <v>李景</v>
          </cell>
          <cell r="D126" t="str">
            <v>女</v>
          </cell>
          <cell r="E126">
            <v>31553</v>
          </cell>
          <cell r="F126" t="str">
            <v>430181198605210327</v>
          </cell>
        </row>
        <row r="127">
          <cell r="C127" t="str">
            <v>方妙</v>
          </cell>
          <cell r="D127" t="str">
            <v>女</v>
          </cell>
          <cell r="E127">
            <v>30792</v>
          </cell>
          <cell r="F127" t="str">
            <v>430581198404200546</v>
          </cell>
        </row>
        <row r="128">
          <cell r="C128" t="str">
            <v>刘满泉</v>
          </cell>
          <cell r="D128" t="str">
            <v>女</v>
          </cell>
          <cell r="E128">
            <v>30957</v>
          </cell>
          <cell r="F128" t="str">
            <v>432524198410024125</v>
          </cell>
        </row>
        <row r="129">
          <cell r="C129" t="str">
            <v>王娜</v>
          </cell>
          <cell r="D129" t="str">
            <v>女</v>
          </cell>
          <cell r="E129">
            <v>31770</v>
          </cell>
          <cell r="F129" t="str">
            <v>41038119861224256X</v>
          </cell>
        </row>
        <row r="130">
          <cell r="C130" t="str">
            <v>王卫卫</v>
          </cell>
          <cell r="D130" t="str">
            <v>女</v>
          </cell>
          <cell r="E130">
            <v>31295</v>
          </cell>
          <cell r="F130" t="str">
            <v>410381198509052565</v>
          </cell>
        </row>
        <row r="131">
          <cell r="C131" t="str">
            <v>王海燕</v>
          </cell>
          <cell r="D131" t="str">
            <v>女</v>
          </cell>
          <cell r="E131">
            <v>30096</v>
          </cell>
          <cell r="F131" t="str">
            <v>422129198205251343</v>
          </cell>
        </row>
        <row r="132">
          <cell r="C132" t="str">
            <v>龙少荣</v>
          </cell>
          <cell r="D132" t="str">
            <v>女</v>
          </cell>
          <cell r="E132">
            <v>31225</v>
          </cell>
          <cell r="F132" t="str">
            <v>362227198506270923</v>
          </cell>
        </row>
        <row r="133">
          <cell r="C133" t="str">
            <v>黄燕妮</v>
          </cell>
          <cell r="D133" t="str">
            <v>女</v>
          </cell>
          <cell r="E133">
            <v>29234</v>
          </cell>
          <cell r="F133" t="str">
            <v>511221800114774</v>
          </cell>
        </row>
        <row r="134">
          <cell r="C134" t="str">
            <v>韩红娟</v>
          </cell>
          <cell r="D134" t="str">
            <v>女</v>
          </cell>
          <cell r="E134">
            <v>30962</v>
          </cell>
          <cell r="F134" t="str">
            <v>410122198410074747</v>
          </cell>
        </row>
        <row r="135">
          <cell r="C135" t="str">
            <v>杨瑛</v>
          </cell>
          <cell r="D135" t="str">
            <v>男</v>
          </cell>
          <cell r="E135">
            <v>30563</v>
          </cell>
          <cell r="F135" t="str">
            <v>360302830904302</v>
          </cell>
        </row>
        <row r="136">
          <cell r="C136" t="str">
            <v>李春燕</v>
          </cell>
          <cell r="D136" t="str">
            <v>女</v>
          </cell>
          <cell r="E136">
            <v>29224</v>
          </cell>
          <cell r="F136" t="str">
            <v>432927800104154</v>
          </cell>
        </row>
        <row r="137">
          <cell r="C137" t="str">
            <v>刘向</v>
          </cell>
          <cell r="D137" t="str">
            <v>女</v>
          </cell>
          <cell r="E137">
            <v>30671</v>
          </cell>
          <cell r="F137" t="str">
            <v>511223198312216883</v>
          </cell>
        </row>
        <row r="138">
          <cell r="C138" t="str">
            <v>龙军</v>
          </cell>
          <cell r="D138" t="str">
            <v>男</v>
          </cell>
          <cell r="E138">
            <v>30826</v>
          </cell>
          <cell r="F138" t="str">
            <v>36220119840524161X</v>
          </cell>
        </row>
        <row r="139">
          <cell r="C139" t="str">
            <v>韩小宁</v>
          </cell>
          <cell r="D139" t="str">
            <v>女</v>
          </cell>
          <cell r="E139">
            <v>31481</v>
          </cell>
          <cell r="F139" t="str">
            <v>410122198603104720</v>
          </cell>
        </row>
        <row r="140">
          <cell r="C140" t="str">
            <v>焦加珍</v>
          </cell>
          <cell r="D140" t="str">
            <v>女</v>
          </cell>
          <cell r="E140">
            <v>29437</v>
          </cell>
          <cell r="F140" t="str">
            <v>420620800804674</v>
          </cell>
        </row>
        <row r="141">
          <cell r="C141" t="str">
            <v>李月丽</v>
          </cell>
          <cell r="D141" t="str">
            <v>女</v>
          </cell>
          <cell r="E141">
            <v>29183</v>
          </cell>
          <cell r="F141" t="str">
            <v>412724791124744</v>
          </cell>
        </row>
        <row r="142">
          <cell r="C142" t="str">
            <v>刘超艳</v>
          </cell>
          <cell r="D142" t="str">
            <v>女</v>
          </cell>
          <cell r="E142">
            <v>31046</v>
          </cell>
          <cell r="F142" t="str">
            <v>610124198412303929</v>
          </cell>
        </row>
        <row r="143">
          <cell r="C143" t="str">
            <v>肖满兰</v>
          </cell>
          <cell r="D143" t="str">
            <v>女</v>
          </cell>
          <cell r="E143">
            <v>30621</v>
          </cell>
          <cell r="F143" t="str">
            <v>362426198311017324</v>
          </cell>
        </row>
        <row r="144">
          <cell r="C144" t="str">
            <v>徐小恋</v>
          </cell>
          <cell r="D144" t="str">
            <v>女</v>
          </cell>
          <cell r="E144">
            <v>31004</v>
          </cell>
          <cell r="F144" t="str">
            <v>513030198411188624</v>
          </cell>
        </row>
        <row r="145">
          <cell r="C145" t="str">
            <v>段有元</v>
          </cell>
          <cell r="D145" t="str">
            <v>女</v>
          </cell>
          <cell r="E145">
            <v>29619</v>
          </cell>
          <cell r="F145" t="str">
            <v>430381810202924</v>
          </cell>
        </row>
        <row r="146">
          <cell r="C146" t="str">
            <v>舒仁容</v>
          </cell>
          <cell r="D146" t="str">
            <v>女</v>
          </cell>
          <cell r="E146">
            <v>28980</v>
          </cell>
          <cell r="F146" t="str">
            <v>513024790505982</v>
          </cell>
        </row>
        <row r="147">
          <cell r="C147" t="str">
            <v>崔玲玲</v>
          </cell>
          <cell r="D147" t="str">
            <v>女</v>
          </cell>
          <cell r="E147">
            <v>30261</v>
          </cell>
          <cell r="F147" t="str">
            <v>422801198211061222</v>
          </cell>
        </row>
        <row r="148">
          <cell r="C148" t="str">
            <v>雷凤春</v>
          </cell>
          <cell r="D148" t="str">
            <v>女</v>
          </cell>
          <cell r="E148">
            <v>29601</v>
          </cell>
          <cell r="F148" t="str">
            <v>452226810115062</v>
          </cell>
        </row>
        <row r="149">
          <cell r="C149" t="str">
            <v>张丽</v>
          </cell>
          <cell r="D149" t="str">
            <v>女</v>
          </cell>
          <cell r="E149">
            <v>30361</v>
          </cell>
          <cell r="F149" t="str">
            <v>429004198302145925</v>
          </cell>
        </row>
        <row r="150">
          <cell r="C150" t="str">
            <v>李利平</v>
          </cell>
          <cell r="D150" t="str">
            <v>女</v>
          </cell>
          <cell r="E150">
            <v>30012</v>
          </cell>
          <cell r="F150" t="str">
            <v>410222820302204</v>
          </cell>
        </row>
        <row r="151">
          <cell r="C151" t="str">
            <v>郑为贤</v>
          </cell>
          <cell r="D151" t="str">
            <v>女</v>
          </cell>
          <cell r="E151">
            <v>31589</v>
          </cell>
          <cell r="F151" t="str">
            <v>532101198606263029</v>
          </cell>
        </row>
        <row r="152">
          <cell r="C152" t="str">
            <v>蔡小明</v>
          </cell>
          <cell r="D152" t="str">
            <v>女</v>
          </cell>
          <cell r="E152">
            <v>29133</v>
          </cell>
          <cell r="F152" t="str">
            <v>421125197910050626</v>
          </cell>
        </row>
        <row r="153">
          <cell r="C153" t="str">
            <v>汪苹</v>
          </cell>
          <cell r="D153" t="str">
            <v>女</v>
          </cell>
          <cell r="E153">
            <v>31129</v>
          </cell>
          <cell r="F153" t="str">
            <v>421125198503230384</v>
          </cell>
        </row>
        <row r="154">
          <cell r="C154" t="str">
            <v>王小林</v>
          </cell>
          <cell r="D154" t="str">
            <v>女</v>
          </cell>
          <cell r="E154">
            <v>30761</v>
          </cell>
          <cell r="F154" t="str">
            <v>42112519840320332X</v>
          </cell>
        </row>
        <row r="155">
          <cell r="C155" t="str">
            <v>许美容</v>
          </cell>
          <cell r="D155" t="str">
            <v>女</v>
          </cell>
          <cell r="E155">
            <v>30226</v>
          </cell>
          <cell r="F155" t="str">
            <v>430724821002462</v>
          </cell>
        </row>
        <row r="156">
          <cell r="C156" t="str">
            <v>侯细凤</v>
          </cell>
          <cell r="D156" t="str">
            <v>女</v>
          </cell>
          <cell r="E156">
            <v>31096</v>
          </cell>
          <cell r="F156" t="str">
            <v>421125198502180346</v>
          </cell>
        </row>
        <row r="157">
          <cell r="C157" t="str">
            <v>王素勤</v>
          </cell>
          <cell r="D157" t="str">
            <v>女</v>
          </cell>
          <cell r="E157">
            <v>30006</v>
          </cell>
          <cell r="F157" t="str">
            <v>412722820224202</v>
          </cell>
        </row>
        <row r="158">
          <cell r="C158" t="str">
            <v>杨彩琴</v>
          </cell>
          <cell r="D158" t="str">
            <v>女</v>
          </cell>
          <cell r="E158">
            <v>30909</v>
          </cell>
          <cell r="F158" t="str">
            <v>42112519840815036X</v>
          </cell>
        </row>
        <row r="159">
          <cell r="C159" t="str">
            <v>张慧</v>
          </cell>
          <cell r="D159" t="str">
            <v>女</v>
          </cell>
          <cell r="E159">
            <v>31402</v>
          </cell>
          <cell r="F159" t="str">
            <v>421125198512210326</v>
          </cell>
        </row>
        <row r="160">
          <cell r="C160" t="str">
            <v>郭丹丹</v>
          </cell>
          <cell r="D160" t="str">
            <v>女</v>
          </cell>
          <cell r="E160">
            <v>31005</v>
          </cell>
          <cell r="F160" t="str">
            <v>412722198411194948</v>
          </cell>
        </row>
        <row r="161">
          <cell r="C161" t="str">
            <v>沈小兰</v>
          </cell>
          <cell r="D161" t="str">
            <v>女</v>
          </cell>
          <cell r="E161">
            <v>31315</v>
          </cell>
          <cell r="F161" t="str">
            <v>421125198509250327</v>
          </cell>
        </row>
        <row r="162">
          <cell r="C162" t="str">
            <v>徐倩</v>
          </cell>
          <cell r="D162" t="str">
            <v>女</v>
          </cell>
          <cell r="E162">
            <v>29864</v>
          </cell>
          <cell r="F162" t="str">
            <v>420802811005004</v>
          </cell>
        </row>
        <row r="163">
          <cell r="C163" t="str">
            <v>徐家朋</v>
          </cell>
          <cell r="D163" t="str">
            <v>女</v>
          </cell>
          <cell r="E163">
            <v>31385</v>
          </cell>
          <cell r="F163" t="str">
            <v>421125198512043724</v>
          </cell>
        </row>
        <row r="164">
          <cell r="C164" t="str">
            <v>彭凤娟</v>
          </cell>
          <cell r="D164" t="str">
            <v>女</v>
          </cell>
          <cell r="E164">
            <v>31569</v>
          </cell>
          <cell r="F164" t="str">
            <v>412721198606061882</v>
          </cell>
        </row>
        <row r="165">
          <cell r="C165" t="str">
            <v>何小丽</v>
          </cell>
          <cell r="D165" t="str">
            <v>女</v>
          </cell>
          <cell r="E165">
            <v>29914</v>
          </cell>
          <cell r="F165" t="str">
            <v>360502811124362</v>
          </cell>
        </row>
        <row r="166">
          <cell r="C166" t="str">
            <v>陈宝玲</v>
          </cell>
          <cell r="D166" t="str">
            <v>女</v>
          </cell>
          <cell r="E166">
            <v>29352</v>
          </cell>
          <cell r="F166" t="str">
            <v>410223198005111526</v>
          </cell>
        </row>
        <row r="167">
          <cell r="C167" t="str">
            <v>李珍</v>
          </cell>
          <cell r="D167" t="str">
            <v>女</v>
          </cell>
          <cell r="E167">
            <v>29606</v>
          </cell>
          <cell r="F167" t="str">
            <v>421125198101207624</v>
          </cell>
        </row>
        <row r="168">
          <cell r="C168" t="str">
            <v>东小霞</v>
          </cell>
          <cell r="D168" t="str">
            <v>女</v>
          </cell>
          <cell r="E168">
            <v>29904</v>
          </cell>
          <cell r="F168" t="str">
            <v>422127811114032</v>
          </cell>
        </row>
        <row r="169">
          <cell r="C169" t="str">
            <v>闵静</v>
          </cell>
          <cell r="D169" t="str">
            <v>女</v>
          </cell>
          <cell r="E169">
            <v>31319</v>
          </cell>
          <cell r="F169" t="str">
            <v>42112519850929272X</v>
          </cell>
        </row>
        <row r="170">
          <cell r="C170" t="str">
            <v>要盼盼</v>
          </cell>
          <cell r="D170" t="str">
            <v>女</v>
          </cell>
          <cell r="E170">
            <v>31157</v>
          </cell>
          <cell r="F170" t="str">
            <v>410223198504205025</v>
          </cell>
        </row>
        <row r="171">
          <cell r="C171" t="str">
            <v>潘兰兰</v>
          </cell>
          <cell r="D171" t="str">
            <v>女</v>
          </cell>
          <cell r="E171">
            <v>31398</v>
          </cell>
          <cell r="F171" t="str">
            <v>421125198512170344</v>
          </cell>
        </row>
        <row r="172">
          <cell r="C172" t="str">
            <v>郭慧丽</v>
          </cell>
          <cell r="D172" t="str">
            <v>女</v>
          </cell>
          <cell r="E172">
            <v>30179</v>
          </cell>
          <cell r="F172" t="str">
            <v>41272219820816492X</v>
          </cell>
        </row>
        <row r="173">
          <cell r="C173" t="str">
            <v>刘小玲</v>
          </cell>
          <cell r="D173" t="str">
            <v>女</v>
          </cell>
          <cell r="E173">
            <v>31141</v>
          </cell>
          <cell r="F173" t="str">
            <v>412722198504044922</v>
          </cell>
        </row>
        <row r="174">
          <cell r="C174" t="str">
            <v>钟武英</v>
          </cell>
          <cell r="D174" t="str">
            <v>女</v>
          </cell>
          <cell r="E174">
            <v>29348</v>
          </cell>
          <cell r="F174" t="str">
            <v>511322198005071783</v>
          </cell>
        </row>
        <row r="175">
          <cell r="C175" t="str">
            <v>蔚华玲</v>
          </cell>
          <cell r="D175" t="str">
            <v>女</v>
          </cell>
          <cell r="E175">
            <v>31301</v>
          </cell>
          <cell r="F175" t="str">
            <v>412722198509114926</v>
          </cell>
        </row>
        <row r="176">
          <cell r="C176" t="str">
            <v>马艳</v>
          </cell>
          <cell r="D176" t="str">
            <v>女</v>
          </cell>
          <cell r="E176">
            <v>30512</v>
          </cell>
          <cell r="F176" t="str">
            <v>41272219830715492X</v>
          </cell>
        </row>
        <row r="177">
          <cell r="C177" t="str">
            <v>刘彩云</v>
          </cell>
          <cell r="D177" t="str">
            <v>女</v>
          </cell>
          <cell r="E177">
            <v>31726</v>
          </cell>
          <cell r="F177" t="str">
            <v>41272219861110496X</v>
          </cell>
        </row>
        <row r="178">
          <cell r="C178" t="str">
            <v>周平</v>
          </cell>
          <cell r="D178" t="str">
            <v>女</v>
          </cell>
          <cell r="E178">
            <v>30490</v>
          </cell>
          <cell r="F178" t="str">
            <v>411302830622572</v>
          </cell>
        </row>
        <row r="179">
          <cell r="C179" t="str">
            <v>常海燕</v>
          </cell>
          <cell r="D179" t="str">
            <v>女</v>
          </cell>
          <cell r="E179">
            <v>29760</v>
          </cell>
          <cell r="F179" t="str">
            <v>411327810623312</v>
          </cell>
        </row>
        <row r="180">
          <cell r="C180" t="str">
            <v>张裕</v>
          </cell>
          <cell r="D180" t="str">
            <v>女</v>
          </cell>
          <cell r="E180">
            <v>30782</v>
          </cell>
          <cell r="F180" t="str">
            <v>421125198404104024</v>
          </cell>
        </row>
        <row r="181">
          <cell r="C181" t="str">
            <v>赖门玲</v>
          </cell>
          <cell r="D181" t="str">
            <v>女</v>
          </cell>
          <cell r="E181">
            <v>30196</v>
          </cell>
          <cell r="F181" t="str">
            <v>513029820902314</v>
          </cell>
        </row>
        <row r="182">
          <cell r="C182" t="str">
            <v xml:space="preserve"> 何倩</v>
          </cell>
          <cell r="D182" t="str">
            <v>女</v>
          </cell>
          <cell r="E182">
            <v>31116</v>
          </cell>
          <cell r="F182" t="str">
            <v>430722198503103689</v>
          </cell>
        </row>
        <row r="183">
          <cell r="C183" t="str">
            <v xml:space="preserve"> 何敏</v>
          </cell>
          <cell r="D183" t="str">
            <v>女</v>
          </cell>
          <cell r="E183">
            <v>30883</v>
          </cell>
          <cell r="F183" t="str">
            <v>522121198407203246</v>
          </cell>
        </row>
        <row r="184">
          <cell r="C184" t="str">
            <v>王新艳</v>
          </cell>
          <cell r="D184" t="str">
            <v>女</v>
          </cell>
          <cell r="E184">
            <v>31087</v>
          </cell>
          <cell r="F184" t="str">
            <v>610403198502092023</v>
          </cell>
        </row>
        <row r="185">
          <cell r="C185" t="str">
            <v>董小燕</v>
          </cell>
          <cell r="D185" t="str">
            <v>女</v>
          </cell>
          <cell r="E185">
            <v>31423</v>
          </cell>
          <cell r="F185" t="str">
            <v>340822198601110747</v>
          </cell>
        </row>
        <row r="186">
          <cell r="C186" t="str">
            <v>李芳</v>
          </cell>
          <cell r="D186" t="str">
            <v>女</v>
          </cell>
          <cell r="E186">
            <v>30144</v>
          </cell>
          <cell r="F186" t="str">
            <v>410203820712154</v>
          </cell>
        </row>
        <row r="187">
          <cell r="C187" t="str">
            <v>黄珊</v>
          </cell>
          <cell r="D187" t="str">
            <v>女</v>
          </cell>
          <cell r="E187">
            <v>31257</v>
          </cell>
          <cell r="F187" t="str">
            <v>420621198507298643</v>
          </cell>
        </row>
        <row r="188">
          <cell r="C188" t="str">
            <v>杨金凤</v>
          </cell>
          <cell r="D188" t="str">
            <v>女</v>
          </cell>
          <cell r="E188">
            <v>31367</v>
          </cell>
          <cell r="F188" t="str">
            <v>42112619851116474X</v>
          </cell>
        </row>
        <row r="189">
          <cell r="C189" t="str">
            <v>师小丹</v>
          </cell>
          <cell r="D189" t="str">
            <v>女</v>
          </cell>
          <cell r="E189">
            <v>31746</v>
          </cell>
          <cell r="F189" t="str">
            <v>410223198611308089</v>
          </cell>
        </row>
        <row r="190">
          <cell r="C190" t="str">
            <v>吉梅丽</v>
          </cell>
          <cell r="D190" t="str">
            <v>女</v>
          </cell>
          <cell r="E190">
            <v>30972</v>
          </cell>
          <cell r="F190" t="str">
            <v>420684198410171529</v>
          </cell>
        </row>
        <row r="191">
          <cell r="C191" t="str">
            <v>刘秀芳</v>
          </cell>
          <cell r="D191" t="str">
            <v>女</v>
          </cell>
          <cell r="E191">
            <v>31550</v>
          </cell>
          <cell r="F191" t="str">
            <v>410223198605180525</v>
          </cell>
        </row>
        <row r="192">
          <cell r="C192" t="str">
            <v>肖伟玲</v>
          </cell>
          <cell r="D192" t="str">
            <v>女</v>
          </cell>
          <cell r="E192">
            <v>31739</v>
          </cell>
          <cell r="F192" t="str">
            <v>410223198611238069</v>
          </cell>
        </row>
        <row r="193">
          <cell r="C193" t="str">
            <v>路丹</v>
          </cell>
          <cell r="D193" t="str">
            <v>女</v>
          </cell>
          <cell r="E193">
            <v>31322</v>
          </cell>
          <cell r="F193" t="str">
            <v>41022319851002006X</v>
          </cell>
        </row>
        <row r="194">
          <cell r="C194" t="str">
            <v>杨萍</v>
          </cell>
          <cell r="D194" t="str">
            <v>女</v>
          </cell>
          <cell r="E194">
            <v>31639</v>
          </cell>
          <cell r="F194" t="str">
            <v>340822198608150725</v>
          </cell>
        </row>
        <row r="195">
          <cell r="C195" t="str">
            <v>李艳</v>
          </cell>
          <cell r="D195" t="str">
            <v>女</v>
          </cell>
          <cell r="E195">
            <v>31649</v>
          </cell>
          <cell r="F195" t="str">
            <v>342923198608251220</v>
          </cell>
        </row>
        <row r="196">
          <cell r="C196" t="str">
            <v>陆加凤</v>
          </cell>
          <cell r="D196" t="str">
            <v>女</v>
          </cell>
          <cell r="E196">
            <v>31024</v>
          </cell>
          <cell r="F196" t="str">
            <v>430722198412082288</v>
          </cell>
        </row>
        <row r="197">
          <cell r="C197" t="str">
            <v>刘巧荣</v>
          </cell>
          <cell r="D197" t="str">
            <v>女</v>
          </cell>
          <cell r="E197">
            <v>29827</v>
          </cell>
          <cell r="F197" t="str">
            <v>410122810829472</v>
          </cell>
        </row>
        <row r="198">
          <cell r="C198" t="str">
            <v>杨艳霞</v>
          </cell>
          <cell r="D198" t="str">
            <v>女</v>
          </cell>
          <cell r="E198">
            <v>31590</v>
          </cell>
          <cell r="F198" t="str">
            <v>420621198606278920</v>
          </cell>
        </row>
        <row r="199">
          <cell r="C199" t="str">
            <v>王姣</v>
          </cell>
          <cell r="D199" t="str">
            <v>女</v>
          </cell>
          <cell r="E199">
            <v>31588</v>
          </cell>
          <cell r="F199" t="str">
            <v>420621198606258641</v>
          </cell>
        </row>
        <row r="200">
          <cell r="C200" t="str">
            <v>马小叶</v>
          </cell>
          <cell r="D200" t="str">
            <v>女</v>
          </cell>
          <cell r="E200">
            <v>30048</v>
          </cell>
          <cell r="F200" t="str">
            <v>410223820407052</v>
          </cell>
        </row>
        <row r="201">
          <cell r="C201" t="str">
            <v>史小珍</v>
          </cell>
          <cell r="D201" t="str">
            <v>女</v>
          </cell>
          <cell r="E201">
            <v>31486</v>
          </cell>
          <cell r="F201" t="str">
            <v>410223198603150541</v>
          </cell>
        </row>
        <row r="202">
          <cell r="C202" t="str">
            <v>孟洁</v>
          </cell>
          <cell r="D202" t="str">
            <v>女</v>
          </cell>
          <cell r="E202">
            <v>30759</v>
          </cell>
          <cell r="F202" t="str">
            <v>410122198403184729</v>
          </cell>
        </row>
        <row r="203">
          <cell r="C203" t="str">
            <v>师会霞</v>
          </cell>
          <cell r="D203" t="str">
            <v>女</v>
          </cell>
          <cell r="E203">
            <v>30405</v>
          </cell>
          <cell r="F203" t="str">
            <v>410223198303308028</v>
          </cell>
        </row>
        <row r="204">
          <cell r="C204" t="str">
            <v>曹静</v>
          </cell>
          <cell r="D204" t="str">
            <v>女</v>
          </cell>
          <cell r="E204">
            <v>30218</v>
          </cell>
          <cell r="F204" t="str">
            <v>420621198209248621</v>
          </cell>
        </row>
        <row r="205">
          <cell r="C205" t="str">
            <v>卢金兰</v>
          </cell>
          <cell r="D205" t="str">
            <v>女</v>
          </cell>
          <cell r="E205">
            <v>30618</v>
          </cell>
          <cell r="F205" t="str">
            <v>42062119831029864X</v>
          </cell>
        </row>
        <row r="206">
          <cell r="C206" t="str">
            <v>段文向</v>
          </cell>
          <cell r="D206" t="str">
            <v>女</v>
          </cell>
          <cell r="E206">
            <v>29080</v>
          </cell>
          <cell r="F206" t="str">
            <v>412921790813362</v>
          </cell>
        </row>
        <row r="207">
          <cell r="C207" t="str">
            <v>张利</v>
          </cell>
          <cell r="D207" t="str">
            <v>女</v>
          </cell>
          <cell r="E207">
            <v>30374</v>
          </cell>
          <cell r="F207" t="str">
            <v>410223198302276060</v>
          </cell>
        </row>
        <row r="208">
          <cell r="C208" t="str">
            <v>陈国云</v>
          </cell>
          <cell r="D208" t="str">
            <v>女</v>
          </cell>
          <cell r="E208">
            <v>30778</v>
          </cell>
          <cell r="F208" t="str">
            <v>420621198404068968</v>
          </cell>
        </row>
        <row r="209">
          <cell r="C209" t="str">
            <v>王秋菊</v>
          </cell>
          <cell r="D209" t="str">
            <v>女</v>
          </cell>
          <cell r="E209">
            <v>31638</v>
          </cell>
          <cell r="F209" t="str">
            <v>411326198608143629</v>
          </cell>
        </row>
        <row r="210">
          <cell r="C210" t="str">
            <v>黄杰</v>
          </cell>
          <cell r="D210" t="str">
            <v>女</v>
          </cell>
          <cell r="E210">
            <v>30552</v>
          </cell>
          <cell r="F210" t="str">
            <v>420623198308241524</v>
          </cell>
        </row>
        <row r="211">
          <cell r="C211" t="str">
            <v>张治华</v>
          </cell>
          <cell r="D211" t="str">
            <v>女</v>
          </cell>
          <cell r="E211">
            <v>31424</v>
          </cell>
          <cell r="F211" t="str">
            <v>410223198601126046</v>
          </cell>
        </row>
        <row r="212">
          <cell r="C212" t="str">
            <v>彭霞</v>
          </cell>
          <cell r="D212" t="str">
            <v>女</v>
          </cell>
          <cell r="E212">
            <v>29998</v>
          </cell>
          <cell r="F212" t="str">
            <v>430511820216752</v>
          </cell>
        </row>
        <row r="213">
          <cell r="C213" t="str">
            <v>易香燕</v>
          </cell>
          <cell r="D213" t="str">
            <v>女</v>
          </cell>
          <cell r="E213">
            <v>31072</v>
          </cell>
          <cell r="F213" t="str">
            <v>42068419850125504X</v>
          </cell>
        </row>
        <row r="214">
          <cell r="C214" t="str">
            <v>王春燕</v>
          </cell>
          <cell r="D214" t="str">
            <v>女</v>
          </cell>
          <cell r="E214">
            <v>31239</v>
          </cell>
          <cell r="F214" t="str">
            <v>420621198507118622</v>
          </cell>
        </row>
        <row r="215">
          <cell r="C215" t="str">
            <v>肖艳平</v>
          </cell>
          <cell r="D215" t="str">
            <v>女</v>
          </cell>
          <cell r="E215">
            <v>31211</v>
          </cell>
          <cell r="F215" t="str">
            <v>420621198506138920</v>
          </cell>
        </row>
        <row r="216">
          <cell r="C216" t="str">
            <v>赵永霞</v>
          </cell>
          <cell r="D216" t="str">
            <v>女</v>
          </cell>
          <cell r="E216">
            <v>30754</v>
          </cell>
          <cell r="F216" t="str">
            <v>410223198403136024</v>
          </cell>
        </row>
        <row r="217">
          <cell r="C217" t="str">
            <v>张艳丽</v>
          </cell>
          <cell r="D217" t="str">
            <v>女</v>
          </cell>
          <cell r="E217">
            <v>30871</v>
          </cell>
          <cell r="F217" t="str">
            <v>410223198407086044</v>
          </cell>
        </row>
        <row r="218">
          <cell r="C218" t="str">
            <v>张敏</v>
          </cell>
          <cell r="D218" t="str">
            <v>女</v>
          </cell>
          <cell r="E218">
            <v>31070</v>
          </cell>
          <cell r="F218" t="str">
            <v>410224198501230766</v>
          </cell>
        </row>
        <row r="219">
          <cell r="C219" t="str">
            <v>王舒婷</v>
          </cell>
          <cell r="D219" t="str">
            <v>女</v>
          </cell>
          <cell r="E219">
            <v>30435</v>
          </cell>
          <cell r="F219" t="str">
            <v>362233198304291627</v>
          </cell>
        </row>
        <row r="220">
          <cell r="C220" t="str">
            <v>刘小瑞</v>
          </cell>
          <cell r="D220" t="str">
            <v>女</v>
          </cell>
          <cell r="E220">
            <v>31495</v>
          </cell>
          <cell r="F220" t="str">
            <v>410223198603240520</v>
          </cell>
        </row>
        <row r="221">
          <cell r="C221" t="str">
            <v>何仙仙</v>
          </cell>
          <cell r="D221" t="str">
            <v>女</v>
          </cell>
          <cell r="E221">
            <v>31598</v>
          </cell>
          <cell r="F221" t="str">
            <v>420621198607058647</v>
          </cell>
        </row>
        <row r="222">
          <cell r="C222" t="str">
            <v>刘海霞</v>
          </cell>
          <cell r="D222" t="str">
            <v>女</v>
          </cell>
          <cell r="E222">
            <v>29849</v>
          </cell>
          <cell r="F222" t="str">
            <v>412721810920424</v>
          </cell>
        </row>
        <row r="223">
          <cell r="C223" t="str">
            <v>曾凡娇</v>
          </cell>
          <cell r="D223" t="str">
            <v>女</v>
          </cell>
          <cell r="E223">
            <v>31359</v>
          </cell>
          <cell r="F223" t="str">
            <v>420621198511088665</v>
          </cell>
        </row>
        <row r="224">
          <cell r="C224" t="str">
            <v xml:space="preserve">孙小娜 </v>
          </cell>
          <cell r="D224" t="str">
            <v>女</v>
          </cell>
          <cell r="E224">
            <v>31087</v>
          </cell>
          <cell r="F224" t="str">
            <v>410223198502091060</v>
          </cell>
        </row>
        <row r="225">
          <cell r="C225" t="str">
            <v>任玉娇</v>
          </cell>
          <cell r="D225" t="str">
            <v>女</v>
          </cell>
          <cell r="E225">
            <v>31683</v>
          </cell>
          <cell r="F225" t="str">
            <v>420621198609288665</v>
          </cell>
        </row>
        <row r="226">
          <cell r="C226" t="str">
            <v>师改平</v>
          </cell>
          <cell r="D226" t="str">
            <v>女</v>
          </cell>
          <cell r="E226">
            <v>31245</v>
          </cell>
          <cell r="F226" t="str">
            <v>410223198507178026</v>
          </cell>
        </row>
        <row r="227">
          <cell r="C227" t="str">
            <v>刘小霞</v>
          </cell>
          <cell r="D227" t="str">
            <v>女</v>
          </cell>
          <cell r="E227">
            <v>30814</v>
          </cell>
          <cell r="F227" t="str">
            <v>41012219840512472X</v>
          </cell>
        </row>
        <row r="228">
          <cell r="C228" t="str">
            <v>梁盈</v>
          </cell>
          <cell r="D228" t="str">
            <v>女</v>
          </cell>
          <cell r="E228">
            <v>31637</v>
          </cell>
          <cell r="F228" t="str">
            <v>420621198608138665</v>
          </cell>
        </row>
        <row r="229">
          <cell r="C229" t="str">
            <v>徐征</v>
          </cell>
          <cell r="D229" t="str">
            <v>女</v>
          </cell>
          <cell r="E229">
            <v>31433</v>
          </cell>
          <cell r="F229" t="str">
            <v>420621198601218646</v>
          </cell>
        </row>
        <row r="230">
          <cell r="C230" t="str">
            <v>尹娥</v>
          </cell>
          <cell r="D230" t="str">
            <v>女</v>
          </cell>
          <cell r="E230">
            <v>30401</v>
          </cell>
          <cell r="F230" t="str">
            <v>420621198303268645</v>
          </cell>
        </row>
        <row r="231">
          <cell r="C231" t="str">
            <v>李娟</v>
          </cell>
          <cell r="D231" t="str">
            <v>女</v>
          </cell>
          <cell r="E231">
            <v>31438</v>
          </cell>
          <cell r="F231" t="str">
            <v>612324198601264028</v>
          </cell>
        </row>
        <row r="232">
          <cell r="C232" t="str">
            <v>杨云霞</v>
          </cell>
          <cell r="D232" t="str">
            <v>女</v>
          </cell>
          <cell r="E232">
            <v>29986</v>
          </cell>
          <cell r="F232" t="str">
            <v>41102419820204324X</v>
          </cell>
        </row>
        <row r="233">
          <cell r="C233" t="str">
            <v>祁艳霞</v>
          </cell>
          <cell r="D233" t="str">
            <v>女</v>
          </cell>
          <cell r="E233">
            <v>30365</v>
          </cell>
          <cell r="F233" t="str">
            <v>412722830910492</v>
          </cell>
        </row>
        <row r="234">
          <cell r="C234" t="str">
            <v>张新华</v>
          </cell>
          <cell r="D234" t="str">
            <v>女</v>
          </cell>
          <cell r="E234">
            <v>27479</v>
          </cell>
          <cell r="F234" t="str">
            <v>341022750326432</v>
          </cell>
        </row>
        <row r="235">
          <cell r="C235" t="str">
            <v>郑爱琴</v>
          </cell>
          <cell r="D235" t="str">
            <v>女</v>
          </cell>
          <cell r="E235">
            <v>30012</v>
          </cell>
          <cell r="F235" t="str">
            <v>410503820302104</v>
          </cell>
        </row>
        <row r="236">
          <cell r="C236" t="str">
            <v>黄利琴</v>
          </cell>
          <cell r="D236" t="str">
            <v>女</v>
          </cell>
          <cell r="E236">
            <v>30398</v>
          </cell>
          <cell r="F236" t="str">
            <v>430181198303237428</v>
          </cell>
        </row>
        <row r="237">
          <cell r="C237" t="str">
            <v>耿慧娜</v>
          </cell>
          <cell r="D237" t="str">
            <v>女</v>
          </cell>
          <cell r="E237">
            <v>29445</v>
          </cell>
          <cell r="F237" t="str">
            <v>411024198008123289</v>
          </cell>
        </row>
        <row r="238">
          <cell r="C238" t="str">
            <v>田华</v>
          </cell>
          <cell r="D238" t="str">
            <v>女</v>
          </cell>
          <cell r="E238">
            <v>29857</v>
          </cell>
          <cell r="F238" t="str">
            <v>420623198109281523</v>
          </cell>
        </row>
        <row r="239">
          <cell r="C239" t="str">
            <v>李云霞</v>
          </cell>
          <cell r="D239" t="str">
            <v>男</v>
          </cell>
          <cell r="E239">
            <v>28299</v>
          </cell>
          <cell r="F239" t="str">
            <v>430602770623051</v>
          </cell>
        </row>
        <row r="240">
          <cell r="C240" t="str">
            <v>蒋维</v>
          </cell>
          <cell r="D240" t="str">
            <v>女</v>
          </cell>
          <cell r="E240">
            <v>30945</v>
          </cell>
          <cell r="F240" t="str">
            <v>450325198409201304</v>
          </cell>
        </row>
        <row r="241">
          <cell r="C241" t="str">
            <v>马丽霞</v>
          </cell>
          <cell r="D241" t="str">
            <v>女</v>
          </cell>
          <cell r="E241">
            <v>30818</v>
          </cell>
          <cell r="F241" t="str">
            <v>61232419840516402X</v>
          </cell>
        </row>
        <row r="242">
          <cell r="C242" t="str">
            <v>何卫华</v>
          </cell>
          <cell r="D242" t="str">
            <v>男</v>
          </cell>
          <cell r="E242">
            <v>28396</v>
          </cell>
          <cell r="F242" t="str">
            <v>430602770928151</v>
          </cell>
        </row>
        <row r="243">
          <cell r="C243" t="str">
            <v>崔淑娟</v>
          </cell>
          <cell r="D243" t="str">
            <v>女</v>
          </cell>
          <cell r="E243">
            <v>30056</v>
          </cell>
          <cell r="F243" t="str">
            <v>411024820415322</v>
          </cell>
        </row>
        <row r="244">
          <cell r="C244" t="str">
            <v>张艳芳</v>
          </cell>
          <cell r="D244" t="str">
            <v>女</v>
          </cell>
          <cell r="E244">
            <v>31168</v>
          </cell>
          <cell r="F244" t="str">
            <v>411024198505012547</v>
          </cell>
        </row>
        <row r="245">
          <cell r="C245" t="str">
            <v>陈永霞</v>
          </cell>
          <cell r="D245" t="str">
            <v>女</v>
          </cell>
          <cell r="E245">
            <v>29531</v>
          </cell>
          <cell r="F245" t="str">
            <v>411102198011060060</v>
          </cell>
        </row>
        <row r="246">
          <cell r="C246" t="str">
            <v>牛瑞瑞</v>
          </cell>
          <cell r="D246" t="str">
            <v>女</v>
          </cell>
          <cell r="E246">
            <v>30170</v>
          </cell>
          <cell r="F246" t="str">
            <v>410224198208071620</v>
          </cell>
        </row>
        <row r="247">
          <cell r="C247" t="str">
            <v>蒋连香</v>
          </cell>
          <cell r="D247" t="str">
            <v>女</v>
          </cell>
          <cell r="E247">
            <v>31174</v>
          </cell>
          <cell r="F247" t="str">
            <v>450325198505070324</v>
          </cell>
        </row>
        <row r="248">
          <cell r="C248" t="str">
            <v>唐妮琼</v>
          </cell>
          <cell r="D248" t="str">
            <v>女</v>
          </cell>
          <cell r="E248">
            <v>30067</v>
          </cell>
          <cell r="F248" t="str">
            <v>452324820426124</v>
          </cell>
        </row>
        <row r="249">
          <cell r="C249" t="str">
            <v>谢闫</v>
          </cell>
          <cell r="D249" t="str">
            <v>女</v>
          </cell>
          <cell r="E249">
            <v>31215</v>
          </cell>
          <cell r="F249" t="str">
            <v>421125198506176125</v>
          </cell>
        </row>
        <row r="250">
          <cell r="C250" t="str">
            <v>牛琳利</v>
          </cell>
          <cell r="D250" t="str">
            <v>女</v>
          </cell>
          <cell r="E250">
            <v>28693</v>
          </cell>
          <cell r="F250" t="str">
            <v>410224780722162</v>
          </cell>
        </row>
        <row r="251">
          <cell r="C251" t="str">
            <v>武艳</v>
          </cell>
          <cell r="D251" t="str">
            <v>女</v>
          </cell>
          <cell r="E251">
            <v>30855</v>
          </cell>
          <cell r="F251" t="str">
            <v>412722198406223548</v>
          </cell>
        </row>
        <row r="252">
          <cell r="C252" t="str">
            <v>武锦锦</v>
          </cell>
          <cell r="D252" t="str">
            <v>女</v>
          </cell>
          <cell r="E252">
            <v>30516</v>
          </cell>
          <cell r="F252" t="str">
            <v>412722830719352</v>
          </cell>
        </row>
        <row r="253">
          <cell r="C253" t="str">
            <v>牛兰芳</v>
          </cell>
          <cell r="D253" t="str">
            <v>女</v>
          </cell>
          <cell r="E253">
            <v>29531</v>
          </cell>
          <cell r="F253" t="str">
            <v>411024801106254</v>
          </cell>
        </row>
        <row r="254">
          <cell r="C254" t="str">
            <v>聂小红</v>
          </cell>
          <cell r="D254" t="str">
            <v>女</v>
          </cell>
          <cell r="E254">
            <v>31662</v>
          </cell>
          <cell r="F254" t="str">
            <v>362424198609076420</v>
          </cell>
        </row>
        <row r="255">
          <cell r="C255" t="str">
            <v>卓毓琴</v>
          </cell>
          <cell r="D255" t="str">
            <v>女</v>
          </cell>
          <cell r="E255">
            <v>29423</v>
          </cell>
          <cell r="F255" t="str">
            <v>362103800721002</v>
          </cell>
        </row>
        <row r="256">
          <cell r="C256" t="str">
            <v>孙彦红</v>
          </cell>
          <cell r="D256" t="str">
            <v>女</v>
          </cell>
          <cell r="E256">
            <v>31672</v>
          </cell>
          <cell r="F256" t="str">
            <v>412722198609171549</v>
          </cell>
        </row>
        <row r="257">
          <cell r="C257" t="str">
            <v>蔡昭晶</v>
          </cell>
          <cell r="D257" t="str">
            <v>女</v>
          </cell>
          <cell r="E257">
            <v>31248</v>
          </cell>
          <cell r="F257" t="str">
            <v>460200198507201403</v>
          </cell>
        </row>
        <row r="258">
          <cell r="C258" t="str">
            <v>王小莉</v>
          </cell>
          <cell r="D258" t="str">
            <v>女</v>
          </cell>
          <cell r="E258">
            <v>31532</v>
          </cell>
          <cell r="F258" t="str">
            <v>411024198604303227</v>
          </cell>
        </row>
        <row r="259">
          <cell r="C259" t="str">
            <v>李娟</v>
          </cell>
          <cell r="D259" t="str">
            <v>女</v>
          </cell>
          <cell r="E259">
            <v>31438</v>
          </cell>
          <cell r="F259" t="str">
            <v>612324198601264028</v>
          </cell>
        </row>
        <row r="260">
          <cell r="C260" t="str">
            <v>胡华勇</v>
          </cell>
          <cell r="D260" t="str">
            <v>男</v>
          </cell>
          <cell r="E260">
            <v>29114</v>
          </cell>
          <cell r="F260" t="str">
            <v>430602197909161015</v>
          </cell>
        </row>
        <row r="261">
          <cell r="C261" t="str">
            <v>滕娅敏</v>
          </cell>
          <cell r="D261" t="str">
            <v>女</v>
          </cell>
          <cell r="E261">
            <v>30209</v>
          </cell>
          <cell r="F261" t="str">
            <v>411024820915260</v>
          </cell>
        </row>
        <row r="262">
          <cell r="C262" t="str">
            <v>李艳芳</v>
          </cell>
          <cell r="D262" t="str">
            <v>女</v>
          </cell>
          <cell r="E262">
            <v>29922</v>
          </cell>
          <cell r="F262" t="str">
            <v>412722198112021545</v>
          </cell>
        </row>
        <row r="263">
          <cell r="C263" t="str">
            <v>曾苏远</v>
          </cell>
          <cell r="D263" t="str">
            <v>男</v>
          </cell>
          <cell r="E263">
            <v>31372</v>
          </cell>
          <cell r="F263" t="str">
            <v>441621198511215315</v>
          </cell>
        </row>
        <row r="264">
          <cell r="C264" t="str">
            <v>刘培</v>
          </cell>
          <cell r="D264" t="str">
            <v>女</v>
          </cell>
          <cell r="E264">
            <v>30696</v>
          </cell>
          <cell r="F264" t="str">
            <v>411024198401152529</v>
          </cell>
        </row>
        <row r="265">
          <cell r="C265" t="str">
            <v>刘侃</v>
          </cell>
          <cell r="D265" t="str">
            <v>男</v>
          </cell>
          <cell r="E265">
            <v>31481</v>
          </cell>
          <cell r="F265" t="str">
            <v>430681198603109337</v>
          </cell>
        </row>
        <row r="266">
          <cell r="C266" t="str">
            <v>蒋润秀</v>
          </cell>
          <cell r="D266" t="str">
            <v>女</v>
          </cell>
          <cell r="E266">
            <v>30980</v>
          </cell>
          <cell r="F266" t="str">
            <v>450325198410250402</v>
          </cell>
        </row>
        <row r="267">
          <cell r="C267" t="str">
            <v>易芳</v>
          </cell>
          <cell r="D267" t="str">
            <v>女</v>
          </cell>
          <cell r="E267">
            <v>30615</v>
          </cell>
          <cell r="F267" t="str">
            <v>430681198310269345</v>
          </cell>
        </row>
        <row r="268">
          <cell r="C268" t="str">
            <v>董辛欣</v>
          </cell>
          <cell r="D268" t="str">
            <v>女</v>
          </cell>
          <cell r="E268">
            <v>30717</v>
          </cell>
          <cell r="F268" t="str">
            <v>411303840205452</v>
          </cell>
        </row>
        <row r="269">
          <cell r="C269" t="str">
            <v>李香丽</v>
          </cell>
          <cell r="D269" t="str">
            <v>女</v>
          </cell>
          <cell r="E269">
            <v>31369</v>
          </cell>
          <cell r="F269" t="str">
            <v>411302198511181329</v>
          </cell>
        </row>
        <row r="270">
          <cell r="C270" t="str">
            <v>马兵</v>
          </cell>
          <cell r="D270" t="str">
            <v>女</v>
          </cell>
          <cell r="E270">
            <v>30901</v>
          </cell>
          <cell r="F270" t="str">
            <v>411324840807582</v>
          </cell>
        </row>
        <row r="271">
          <cell r="C271" t="str">
            <v>尚妍</v>
          </cell>
          <cell r="D271" t="str">
            <v>女</v>
          </cell>
          <cell r="E271">
            <v>30083</v>
          </cell>
          <cell r="F271" t="str">
            <v>411324820512112</v>
          </cell>
        </row>
        <row r="272">
          <cell r="C272" t="str">
            <v>陈波</v>
          </cell>
          <cell r="D272" t="str">
            <v>女</v>
          </cell>
          <cell r="E272">
            <v>28670</v>
          </cell>
          <cell r="F272" t="str">
            <v>430321780802355</v>
          </cell>
        </row>
        <row r="273">
          <cell r="C273" t="str">
            <v>王胜</v>
          </cell>
          <cell r="D273" t="str">
            <v>女</v>
          </cell>
          <cell r="E273">
            <v>30921</v>
          </cell>
          <cell r="F273" t="str">
            <v>421123198408270019</v>
          </cell>
        </row>
        <row r="274">
          <cell r="C274" t="str">
            <v>尧勇田</v>
          </cell>
          <cell r="D274" t="str">
            <v>男</v>
          </cell>
          <cell r="E274">
            <v>27330</v>
          </cell>
          <cell r="F274" t="str">
            <v>362502197410285834</v>
          </cell>
        </row>
        <row r="275">
          <cell r="C275" t="str">
            <v>王海霞</v>
          </cell>
          <cell r="D275" t="str">
            <v>女</v>
          </cell>
          <cell r="E275">
            <v>31481</v>
          </cell>
          <cell r="F275" t="str">
            <v>411324198603105903</v>
          </cell>
        </row>
        <row r="276">
          <cell r="C276" t="str">
            <v>彭耐选</v>
          </cell>
          <cell r="D276" t="str">
            <v>女</v>
          </cell>
          <cell r="E276">
            <v>30998</v>
          </cell>
          <cell r="F276" t="str">
            <v>41132419841112582X</v>
          </cell>
        </row>
        <row r="277">
          <cell r="C277" t="str">
            <v>肖永霞</v>
          </cell>
          <cell r="D277" t="str">
            <v>女</v>
          </cell>
          <cell r="E277">
            <v>29874</v>
          </cell>
          <cell r="F277" t="str">
            <v>412723811015294</v>
          </cell>
        </row>
        <row r="278">
          <cell r="C278" t="str">
            <v>陶林</v>
          </cell>
          <cell r="D278" t="str">
            <v>女</v>
          </cell>
          <cell r="E278">
            <v>31366</v>
          </cell>
          <cell r="F278" t="str">
            <v>430527198511154823</v>
          </cell>
        </row>
        <row r="279">
          <cell r="C279" t="str">
            <v>邓晓情</v>
          </cell>
          <cell r="D279" t="str">
            <v>女</v>
          </cell>
          <cell r="E279">
            <v>30590</v>
          </cell>
          <cell r="F279" t="str">
            <v>421181198310011725</v>
          </cell>
        </row>
        <row r="280">
          <cell r="C280" t="str">
            <v>刘慧娟</v>
          </cell>
          <cell r="D280" t="str">
            <v>女</v>
          </cell>
          <cell r="E280">
            <v>31772</v>
          </cell>
          <cell r="F280" t="str">
            <v>421181198612261324</v>
          </cell>
        </row>
        <row r="281">
          <cell r="C281" t="str">
            <v>石爱凤</v>
          </cell>
          <cell r="D281" t="str">
            <v>女</v>
          </cell>
          <cell r="E281">
            <v>30574</v>
          </cell>
          <cell r="F281" t="str">
            <v>452702198309152663</v>
          </cell>
        </row>
        <row r="282">
          <cell r="C282" t="str">
            <v>王世娥</v>
          </cell>
          <cell r="D282" t="str">
            <v>女</v>
          </cell>
          <cell r="E282">
            <v>29926</v>
          </cell>
          <cell r="F282" t="str">
            <v>411303811206428</v>
          </cell>
        </row>
        <row r="283">
          <cell r="C283" t="str">
            <v>罗丽华</v>
          </cell>
          <cell r="D283" t="str">
            <v>女</v>
          </cell>
          <cell r="E283">
            <v>30798</v>
          </cell>
          <cell r="F283" t="str">
            <v>430124198404261243</v>
          </cell>
        </row>
        <row r="284">
          <cell r="C284" t="str">
            <v>杨燕</v>
          </cell>
          <cell r="D284" t="str">
            <v>女</v>
          </cell>
          <cell r="E284">
            <v>31575</v>
          </cell>
          <cell r="F284" t="str">
            <v>411324198606120922</v>
          </cell>
        </row>
        <row r="285">
          <cell r="C285" t="str">
            <v>陆燕瑞</v>
          </cell>
          <cell r="D285" t="str">
            <v>女</v>
          </cell>
          <cell r="E285">
            <v>31505</v>
          </cell>
          <cell r="F285" t="str">
            <v>411324198604030966</v>
          </cell>
        </row>
        <row r="286">
          <cell r="C286" t="str">
            <v>张礼琼</v>
          </cell>
          <cell r="D286" t="str">
            <v>女</v>
          </cell>
          <cell r="E286">
            <v>29375</v>
          </cell>
          <cell r="F286" t="str">
            <v>510230800603232</v>
          </cell>
        </row>
        <row r="287">
          <cell r="C287" t="str">
            <v>胡营年</v>
          </cell>
          <cell r="D287" t="str">
            <v>女</v>
          </cell>
          <cell r="E287">
            <v>31110</v>
          </cell>
          <cell r="F287" t="str">
            <v>411303198503043547</v>
          </cell>
        </row>
        <row r="288">
          <cell r="C288" t="str">
            <v>樊光香</v>
          </cell>
          <cell r="D288" t="str">
            <v>女</v>
          </cell>
          <cell r="E288">
            <v>29544</v>
          </cell>
          <cell r="F288" t="str">
            <v>412924801119062</v>
          </cell>
        </row>
        <row r="289">
          <cell r="C289" t="str">
            <v>曾琼燕</v>
          </cell>
          <cell r="D289" t="str">
            <v>女</v>
          </cell>
          <cell r="E289">
            <v>31016</v>
          </cell>
          <cell r="F289" t="str">
            <v>440981198411301760</v>
          </cell>
        </row>
        <row r="290">
          <cell r="C290" t="str">
            <v>传永会</v>
          </cell>
          <cell r="D290" t="str">
            <v>女</v>
          </cell>
          <cell r="E290">
            <v>30838</v>
          </cell>
          <cell r="F290" t="str">
            <v>512301197406057223</v>
          </cell>
        </row>
        <row r="291">
          <cell r="C291" t="str">
            <v>常亚娟</v>
          </cell>
          <cell r="D291" t="str">
            <v>女</v>
          </cell>
          <cell r="E291">
            <v>31762</v>
          </cell>
          <cell r="F291" t="str">
            <v>411123198612166540</v>
          </cell>
        </row>
        <row r="292">
          <cell r="C292" t="str">
            <v>李海艳</v>
          </cell>
          <cell r="D292" t="str">
            <v>女</v>
          </cell>
          <cell r="E292">
            <v>29026</v>
          </cell>
          <cell r="F292" t="str">
            <v>429001790620742</v>
          </cell>
        </row>
        <row r="293">
          <cell r="C293" t="str">
            <v xml:space="preserve">李琼 </v>
          </cell>
          <cell r="D293" t="str">
            <v>女</v>
          </cell>
          <cell r="E293">
            <v>29203</v>
          </cell>
          <cell r="F293" t="str">
            <v>429001197912142824</v>
          </cell>
        </row>
        <row r="294">
          <cell r="C294" t="str">
            <v>苟婉娟</v>
          </cell>
          <cell r="D294" t="str">
            <v>女</v>
          </cell>
          <cell r="E294">
            <v>30221</v>
          </cell>
          <cell r="F294" t="str">
            <v>610426198209272927</v>
          </cell>
        </row>
        <row r="295">
          <cell r="C295" t="str">
            <v>顾燕</v>
          </cell>
          <cell r="D295" t="str">
            <v>女</v>
          </cell>
          <cell r="E295">
            <v>31312</v>
          </cell>
          <cell r="F295" t="str">
            <v>360426198509222022</v>
          </cell>
        </row>
        <row r="296">
          <cell r="C296" t="str">
            <v>闵茶秀</v>
          </cell>
          <cell r="D296" t="str">
            <v>女</v>
          </cell>
          <cell r="E296">
            <v>30961</v>
          </cell>
          <cell r="F296" t="str">
            <v>36220419841006336X</v>
          </cell>
        </row>
        <row r="297">
          <cell r="C297" t="str">
            <v>汪琴</v>
          </cell>
          <cell r="D297" t="str">
            <v>女</v>
          </cell>
          <cell r="E297">
            <v>30926</v>
          </cell>
          <cell r="F297" t="str">
            <v>429004198409013148</v>
          </cell>
        </row>
        <row r="298">
          <cell r="C298" t="str">
            <v>雷艳会</v>
          </cell>
          <cell r="D298" t="str">
            <v>女</v>
          </cell>
          <cell r="E298">
            <v>30371</v>
          </cell>
          <cell r="F298" t="str">
            <v>410324830224312</v>
          </cell>
        </row>
        <row r="299">
          <cell r="C299" t="str">
            <v>王世华</v>
          </cell>
          <cell r="D299" t="str">
            <v>女</v>
          </cell>
          <cell r="E299">
            <v>30239</v>
          </cell>
          <cell r="F299" t="str">
            <v>411303821015400</v>
          </cell>
        </row>
        <row r="300">
          <cell r="C300" t="str">
            <v>马其选</v>
          </cell>
          <cell r="D300" t="str">
            <v>女</v>
          </cell>
          <cell r="E300">
            <v>30257</v>
          </cell>
          <cell r="F300" t="str">
            <v>411324198211020927</v>
          </cell>
        </row>
        <row r="301">
          <cell r="C301" t="str">
            <v>柯纷红</v>
          </cell>
          <cell r="D301" t="str">
            <v>女</v>
          </cell>
          <cell r="E301">
            <v>30228</v>
          </cell>
          <cell r="F301" t="str">
            <v>420281821004244</v>
          </cell>
        </row>
        <row r="302">
          <cell r="C302" t="str">
            <v>王利娜</v>
          </cell>
          <cell r="D302" t="str">
            <v>女</v>
          </cell>
          <cell r="E302">
            <v>30930</v>
          </cell>
          <cell r="F302" t="str">
            <v>411002198409053527</v>
          </cell>
        </row>
        <row r="303">
          <cell r="C303" t="str">
            <v>王小丽</v>
          </cell>
          <cell r="D303" t="str">
            <v>女</v>
          </cell>
          <cell r="E303">
            <v>31340</v>
          </cell>
          <cell r="F303" t="str">
            <v>513022851020606</v>
          </cell>
        </row>
        <row r="304">
          <cell r="C304" t="str">
            <v>李兴芳</v>
          </cell>
          <cell r="D304" t="str">
            <v>女</v>
          </cell>
          <cell r="E304">
            <v>30166</v>
          </cell>
          <cell r="F304" t="str">
            <v>51302219820803606X</v>
          </cell>
        </row>
        <row r="305">
          <cell r="C305" t="str">
            <v>刘德湘</v>
          </cell>
          <cell r="D305" t="str">
            <v>女</v>
          </cell>
          <cell r="E305">
            <v>31157</v>
          </cell>
          <cell r="F305" t="str">
            <v>411303198504203522</v>
          </cell>
        </row>
        <row r="306">
          <cell r="C306" t="str">
            <v>杨利娟</v>
          </cell>
          <cell r="D306" t="str">
            <v>女</v>
          </cell>
          <cell r="E306">
            <v>29630</v>
          </cell>
          <cell r="F306" t="str">
            <v>430124810213916</v>
          </cell>
        </row>
        <row r="307">
          <cell r="C307" t="str">
            <v>欧慧</v>
          </cell>
          <cell r="D307" t="str">
            <v>女</v>
          </cell>
          <cell r="E307">
            <v>30594</v>
          </cell>
          <cell r="F307" t="str">
            <v>432924198310050109</v>
          </cell>
        </row>
        <row r="308">
          <cell r="C308" t="str">
            <v>赵华枝</v>
          </cell>
          <cell r="D308" t="str">
            <v>女</v>
          </cell>
          <cell r="E308">
            <v>30175</v>
          </cell>
          <cell r="F308" t="str">
            <v>412722820812492</v>
          </cell>
        </row>
        <row r="309">
          <cell r="C309" t="str">
            <v>覃小兰</v>
          </cell>
          <cell r="D309" t="str">
            <v>女</v>
          </cell>
          <cell r="E309">
            <v>30531</v>
          </cell>
          <cell r="F309" t="str">
            <v>452523830803352</v>
          </cell>
        </row>
        <row r="310">
          <cell r="C310" t="str">
            <v>申卫云</v>
          </cell>
          <cell r="D310" t="str">
            <v>女</v>
          </cell>
          <cell r="E310">
            <v>30816</v>
          </cell>
          <cell r="F310" t="str">
            <v>411123198405146520</v>
          </cell>
        </row>
        <row r="311">
          <cell r="C311" t="str">
            <v>杨芬</v>
          </cell>
          <cell r="D311" t="str">
            <v>女</v>
          </cell>
          <cell r="E311">
            <v>30563</v>
          </cell>
          <cell r="F311" t="str">
            <v>411303198309043922</v>
          </cell>
        </row>
        <row r="312">
          <cell r="C312" t="str">
            <v>张小灵</v>
          </cell>
          <cell r="D312" t="str">
            <v>女</v>
          </cell>
          <cell r="E312">
            <v>29863</v>
          </cell>
          <cell r="F312" t="str">
            <v>412723811004252</v>
          </cell>
        </row>
        <row r="313">
          <cell r="C313" t="str">
            <v>魏凡</v>
          </cell>
          <cell r="D313" t="str">
            <v>女</v>
          </cell>
          <cell r="E313">
            <v>31496</v>
          </cell>
          <cell r="F313" t="str">
            <v>411324198603255821</v>
          </cell>
        </row>
        <row r="314">
          <cell r="C314" t="str">
            <v>杜变变</v>
          </cell>
          <cell r="D314" t="str">
            <v>女</v>
          </cell>
          <cell r="E314">
            <v>31543</v>
          </cell>
          <cell r="F314" t="str">
            <v>411324198605115849</v>
          </cell>
        </row>
        <row r="315">
          <cell r="C315" t="str">
            <v>杨腊芝</v>
          </cell>
          <cell r="D315" t="str">
            <v>女</v>
          </cell>
          <cell r="E315">
            <v>30701</v>
          </cell>
          <cell r="F315" t="str">
            <v>429001198401206122</v>
          </cell>
        </row>
        <row r="316">
          <cell r="C316" t="str">
            <v>王娥</v>
          </cell>
          <cell r="D316" t="str">
            <v>女</v>
          </cell>
          <cell r="E316">
            <v>31636</v>
          </cell>
          <cell r="F316" t="str">
            <v>411324198608120926</v>
          </cell>
        </row>
        <row r="317">
          <cell r="C317" t="str">
            <v>龙任翠</v>
          </cell>
          <cell r="D317" t="str">
            <v>女</v>
          </cell>
          <cell r="E317">
            <v>28474</v>
          </cell>
          <cell r="F317" t="str">
            <v>432924771215563</v>
          </cell>
        </row>
        <row r="318">
          <cell r="C318" t="str">
            <v>王中原</v>
          </cell>
          <cell r="D318" t="str">
            <v>女</v>
          </cell>
          <cell r="E318">
            <v>30927</v>
          </cell>
          <cell r="F318" t="str">
            <v>411324840902092</v>
          </cell>
        </row>
        <row r="319">
          <cell r="C319" t="str">
            <v>黄华萍</v>
          </cell>
          <cell r="D319" t="str">
            <v>女</v>
          </cell>
          <cell r="E319">
            <v>30969</v>
          </cell>
          <cell r="F319" t="str">
            <v>420821198410142547</v>
          </cell>
        </row>
        <row r="320">
          <cell r="C320" t="str">
            <v>陆利娜</v>
          </cell>
          <cell r="D320" t="str">
            <v>女</v>
          </cell>
          <cell r="E320">
            <v>30244</v>
          </cell>
          <cell r="F320" t="str">
            <v>10224821020102</v>
          </cell>
        </row>
        <row r="321">
          <cell r="C321" t="str">
            <v>袁芳</v>
          </cell>
          <cell r="D321" t="str">
            <v>女</v>
          </cell>
          <cell r="E321">
            <v>30962</v>
          </cell>
          <cell r="F321" t="str">
            <v>430621198412075027</v>
          </cell>
        </row>
        <row r="322">
          <cell r="C322" t="str">
            <v>尹瑞</v>
          </cell>
          <cell r="D322" t="str">
            <v>女</v>
          </cell>
          <cell r="E322">
            <v>30849</v>
          </cell>
          <cell r="F322" t="str">
            <v>41272119840616182X</v>
          </cell>
        </row>
        <row r="323">
          <cell r="C323" t="str">
            <v>肖银凤</v>
          </cell>
          <cell r="D323" t="str">
            <v>女</v>
          </cell>
          <cell r="E323">
            <v>30403</v>
          </cell>
          <cell r="F323" t="str">
            <v>412722198303280080</v>
          </cell>
        </row>
        <row r="324">
          <cell r="C324" t="str">
            <v>严莉娜</v>
          </cell>
          <cell r="D324" t="str">
            <v>女</v>
          </cell>
          <cell r="E324">
            <v>30428</v>
          </cell>
          <cell r="F324" t="str">
            <v>412721830422182</v>
          </cell>
        </row>
        <row r="325">
          <cell r="C325" t="str">
            <v>蒲玉霞</v>
          </cell>
          <cell r="D325" t="str">
            <v>女</v>
          </cell>
          <cell r="E325">
            <v>29805</v>
          </cell>
          <cell r="F325" t="str">
            <v>412721810807182</v>
          </cell>
        </row>
        <row r="326">
          <cell r="C326" t="str">
            <v>许艳红</v>
          </cell>
          <cell r="D326" t="str">
            <v>女</v>
          </cell>
          <cell r="E326">
            <v>31209</v>
          </cell>
          <cell r="F326" t="str">
            <v>411024198506111643</v>
          </cell>
        </row>
        <row r="327">
          <cell r="C327" t="str">
            <v>胡英</v>
          </cell>
          <cell r="D327" t="str">
            <v>女</v>
          </cell>
          <cell r="E327">
            <v>29038</v>
          </cell>
          <cell r="F327" t="str">
            <v>430611197907025526</v>
          </cell>
        </row>
        <row r="328">
          <cell r="C328" t="str">
            <v>张会娜</v>
          </cell>
          <cell r="D328" t="str">
            <v>女</v>
          </cell>
          <cell r="E328">
            <v>30012</v>
          </cell>
          <cell r="F328" t="str">
            <v>412721198203022627</v>
          </cell>
        </row>
        <row r="329">
          <cell r="C329" t="str">
            <v>何星云</v>
          </cell>
          <cell r="D329" t="str">
            <v>女</v>
          </cell>
          <cell r="E329">
            <v>31009</v>
          </cell>
          <cell r="F329" t="str">
            <v>412721198411235424</v>
          </cell>
        </row>
        <row r="330">
          <cell r="C330" t="str">
            <v>彭春丽</v>
          </cell>
          <cell r="D330" t="str">
            <v>女</v>
          </cell>
          <cell r="E330">
            <v>28861</v>
          </cell>
          <cell r="F330" t="str">
            <v>412722790106104</v>
          </cell>
        </row>
        <row r="331">
          <cell r="C331" t="str">
            <v>满言兰</v>
          </cell>
          <cell r="D331" t="str">
            <v>女</v>
          </cell>
          <cell r="E331">
            <v>28544</v>
          </cell>
          <cell r="F331" t="str">
            <v>422828780223152</v>
          </cell>
        </row>
        <row r="332">
          <cell r="C332" t="str">
            <v>李秋颂</v>
          </cell>
          <cell r="D332" t="str">
            <v>女</v>
          </cell>
          <cell r="E332">
            <v>31144</v>
          </cell>
          <cell r="F332" t="str">
            <v>421125198504070343</v>
          </cell>
        </row>
        <row r="333">
          <cell r="C333" t="str">
            <v>徐可</v>
          </cell>
          <cell r="D333" t="str">
            <v>女</v>
          </cell>
          <cell r="E333">
            <v>30108</v>
          </cell>
          <cell r="F333" t="str">
            <v>421125198206068309</v>
          </cell>
        </row>
        <row r="334">
          <cell r="C334" t="str">
            <v>张艳</v>
          </cell>
          <cell r="D334" t="str">
            <v>女</v>
          </cell>
          <cell r="E334">
            <v>30848</v>
          </cell>
          <cell r="F334" t="str">
            <v>420322198406153963</v>
          </cell>
        </row>
        <row r="335">
          <cell r="C335" t="str">
            <v>龚利平</v>
          </cell>
          <cell r="D335" t="str">
            <v>女</v>
          </cell>
          <cell r="E335">
            <v>30376</v>
          </cell>
          <cell r="F335" t="str">
            <v>421125830301004</v>
          </cell>
        </row>
        <row r="336">
          <cell r="C336" t="str">
            <v>李多多</v>
          </cell>
          <cell r="D336" t="str">
            <v>女</v>
          </cell>
          <cell r="E336">
            <v>30968</v>
          </cell>
          <cell r="F336" t="str">
            <v>421125198410138263</v>
          </cell>
        </row>
        <row r="337">
          <cell r="C337" t="str">
            <v>李秀珍</v>
          </cell>
          <cell r="D337" t="str">
            <v>女</v>
          </cell>
          <cell r="E337">
            <v>28688</v>
          </cell>
          <cell r="F337" t="str">
            <v>422127780717008</v>
          </cell>
        </row>
        <row r="338">
          <cell r="C338" t="str">
            <v>康黎黎</v>
          </cell>
          <cell r="D338" t="str">
            <v>女</v>
          </cell>
          <cell r="E338">
            <v>31028</v>
          </cell>
          <cell r="F338" t="str">
            <v>420621198412128668</v>
          </cell>
        </row>
        <row r="339">
          <cell r="C339" t="str">
            <v>王玉姣</v>
          </cell>
          <cell r="D339" t="str">
            <v>女</v>
          </cell>
          <cell r="E339">
            <v>31179</v>
          </cell>
          <cell r="F339" t="str">
            <v>421125198505127022</v>
          </cell>
        </row>
        <row r="340">
          <cell r="C340" t="str">
            <v>张思雨</v>
          </cell>
          <cell r="D340" t="str">
            <v>女</v>
          </cell>
          <cell r="E340">
            <v>31684</v>
          </cell>
          <cell r="F340" t="str">
            <v>421125198609296488</v>
          </cell>
        </row>
        <row r="341">
          <cell r="C341" t="str">
            <v>张无霄</v>
          </cell>
          <cell r="D341" t="str">
            <v>女</v>
          </cell>
          <cell r="E341">
            <v>30696</v>
          </cell>
          <cell r="F341" t="str">
            <v>421125198401150084</v>
          </cell>
        </row>
        <row r="342">
          <cell r="C342" t="str">
            <v>王鹏丽</v>
          </cell>
          <cell r="D342" t="str">
            <v>女</v>
          </cell>
          <cell r="E342">
            <v>31274</v>
          </cell>
          <cell r="F342" t="str">
            <v>652722198508150241</v>
          </cell>
        </row>
        <row r="343">
          <cell r="C343" t="str">
            <v>董艳艳</v>
          </cell>
          <cell r="D343" t="str">
            <v>女</v>
          </cell>
          <cell r="E343">
            <v>31627</v>
          </cell>
          <cell r="F343" t="str">
            <v>412721198608031820</v>
          </cell>
        </row>
        <row r="344">
          <cell r="C344" t="str">
            <v>温剑方</v>
          </cell>
          <cell r="D344" t="str">
            <v>女</v>
          </cell>
          <cell r="E344">
            <v>30542</v>
          </cell>
          <cell r="F344" t="str">
            <v>441602198308140435</v>
          </cell>
        </row>
        <row r="345">
          <cell r="C345" t="str">
            <v>刘兰</v>
          </cell>
          <cell r="D345" t="str">
            <v>女</v>
          </cell>
          <cell r="E345">
            <v>30622</v>
          </cell>
          <cell r="F345" t="str">
            <v>410224831102102</v>
          </cell>
        </row>
        <row r="346">
          <cell r="C346" t="str">
            <v>吴思</v>
          </cell>
          <cell r="D346" t="str">
            <v>女</v>
          </cell>
          <cell r="E346">
            <v>31580</v>
          </cell>
          <cell r="F346" t="str">
            <v>43012119860617574X</v>
          </cell>
        </row>
        <row r="347">
          <cell r="C347" t="str">
            <v>苟转丽</v>
          </cell>
          <cell r="D347" t="str">
            <v>女</v>
          </cell>
          <cell r="E347">
            <v>30677</v>
          </cell>
          <cell r="F347" t="str">
            <v>610426198312272925</v>
          </cell>
        </row>
        <row r="348">
          <cell r="C348" t="str">
            <v>严金霞</v>
          </cell>
          <cell r="D348" t="str">
            <v>女</v>
          </cell>
          <cell r="E348">
            <v>30121</v>
          </cell>
          <cell r="F348" t="str">
            <v>412721820619184</v>
          </cell>
        </row>
        <row r="349">
          <cell r="C349" t="str">
            <v>王红娜</v>
          </cell>
          <cell r="D349" t="str">
            <v>女</v>
          </cell>
          <cell r="E349">
            <v>30972</v>
          </cell>
          <cell r="F349" t="str">
            <v>412722841017252</v>
          </cell>
        </row>
        <row r="350">
          <cell r="C350" t="str">
            <v>王娜</v>
          </cell>
          <cell r="D350" t="str">
            <v>女</v>
          </cell>
          <cell r="E350">
            <v>31502</v>
          </cell>
          <cell r="F350" t="str">
            <v>362201198603310620</v>
          </cell>
        </row>
        <row r="351">
          <cell r="C351" t="str">
            <v>李梅</v>
          </cell>
          <cell r="D351" t="str">
            <v>女</v>
          </cell>
          <cell r="E351">
            <v>31692</v>
          </cell>
          <cell r="F351" t="str">
            <v>612321198610070728</v>
          </cell>
        </row>
        <row r="352">
          <cell r="C352" t="str">
            <v>吴冬艳</v>
          </cell>
          <cell r="D352" t="str">
            <v>女</v>
          </cell>
          <cell r="E352">
            <v>31395</v>
          </cell>
          <cell r="F352" t="str">
            <v>362201198512142828</v>
          </cell>
        </row>
        <row r="353">
          <cell r="C353" t="str">
            <v>宋彩云</v>
          </cell>
          <cell r="D353" t="str">
            <v>女</v>
          </cell>
          <cell r="E353">
            <v>30308</v>
          </cell>
          <cell r="F353" t="str">
            <v>412722198212234046</v>
          </cell>
        </row>
        <row r="354">
          <cell r="C354" t="str">
            <v>王晓娟</v>
          </cell>
          <cell r="D354" t="str">
            <v>女</v>
          </cell>
          <cell r="E354">
            <v>30207</v>
          </cell>
          <cell r="F354" t="str">
            <v>410422820913654</v>
          </cell>
        </row>
        <row r="355">
          <cell r="C355" t="str">
            <v>周艳</v>
          </cell>
          <cell r="D355" t="str">
            <v>女</v>
          </cell>
          <cell r="E355">
            <v>29806</v>
          </cell>
          <cell r="F355" t="str">
            <v>429001198108087427</v>
          </cell>
        </row>
        <row r="356">
          <cell r="C356" t="str">
            <v>王瑞丽</v>
          </cell>
          <cell r="D356" t="str">
            <v>女</v>
          </cell>
          <cell r="E356">
            <v>29351</v>
          </cell>
          <cell r="F356" t="str">
            <v>412721800510182</v>
          </cell>
        </row>
        <row r="357">
          <cell r="C357" t="str">
            <v>贾应</v>
          </cell>
          <cell r="D357" t="str">
            <v>女</v>
          </cell>
          <cell r="E357">
            <v>31618</v>
          </cell>
          <cell r="F357" t="str">
            <v>412721198607251821</v>
          </cell>
        </row>
        <row r="358">
          <cell r="C358" t="str">
            <v>陈艳杰</v>
          </cell>
          <cell r="D358" t="str">
            <v>女</v>
          </cell>
          <cell r="E358">
            <v>31717</v>
          </cell>
          <cell r="F358" t="str">
            <v>412721198611011863</v>
          </cell>
        </row>
        <row r="359">
          <cell r="C359" t="str">
            <v>刘红云</v>
          </cell>
          <cell r="D359" t="str">
            <v>女</v>
          </cell>
          <cell r="E359">
            <v>28840</v>
          </cell>
          <cell r="F359" t="str">
            <v>430523197812168022</v>
          </cell>
        </row>
        <row r="360">
          <cell r="C360" t="str">
            <v xml:space="preserve">张立勤   </v>
          </cell>
          <cell r="D360" t="str">
            <v>女</v>
          </cell>
          <cell r="E360">
            <v>31151</v>
          </cell>
          <cell r="F360" t="str">
            <v>412724198504147043</v>
          </cell>
        </row>
        <row r="361">
          <cell r="C361" t="str">
            <v>王素停</v>
          </cell>
          <cell r="D361" t="str">
            <v>女</v>
          </cell>
          <cell r="E361">
            <v>30878</v>
          </cell>
          <cell r="F361" t="str">
            <v>410198407156049</v>
          </cell>
        </row>
        <row r="362">
          <cell r="C362" t="str">
            <v>姚美平</v>
          </cell>
          <cell r="D362" t="str">
            <v>女</v>
          </cell>
          <cell r="E362">
            <v>31719</v>
          </cell>
          <cell r="F362" t="str">
            <v>450330198611030781</v>
          </cell>
        </row>
        <row r="363">
          <cell r="C363" t="str">
            <v>黄惠梅</v>
          </cell>
          <cell r="D363" t="str">
            <v>女</v>
          </cell>
          <cell r="E363">
            <v>29492</v>
          </cell>
          <cell r="F363" t="str">
            <v>441827800928642</v>
          </cell>
        </row>
        <row r="364">
          <cell r="C364" t="str">
            <v>姚时梅</v>
          </cell>
          <cell r="D364" t="str">
            <v>女</v>
          </cell>
          <cell r="E364">
            <v>31183</v>
          </cell>
          <cell r="F364" t="str">
            <v>450330198505160726</v>
          </cell>
        </row>
        <row r="365">
          <cell r="C365" t="str">
            <v>王东美</v>
          </cell>
          <cell r="D365" t="str">
            <v>女</v>
          </cell>
          <cell r="E365">
            <v>31321</v>
          </cell>
          <cell r="F365" t="str">
            <v>412722198510011043</v>
          </cell>
        </row>
        <row r="366">
          <cell r="C366" t="str">
            <v>翟秀</v>
          </cell>
          <cell r="D366" t="str">
            <v>女</v>
          </cell>
          <cell r="E366">
            <v>30716</v>
          </cell>
          <cell r="F366" t="str">
            <v>421125198402040629</v>
          </cell>
        </row>
        <row r="367">
          <cell r="C367" t="str">
            <v>赵末春</v>
          </cell>
          <cell r="D367" t="str">
            <v>女</v>
          </cell>
          <cell r="E367">
            <v>27529</v>
          </cell>
          <cell r="F367" t="str">
            <v>430626197505152420</v>
          </cell>
        </row>
        <row r="368">
          <cell r="C368" t="str">
            <v>鲍丽荣</v>
          </cell>
          <cell r="D368" t="str">
            <v>女</v>
          </cell>
          <cell r="E368">
            <v>30995</v>
          </cell>
          <cell r="F368" t="str">
            <v>362227198411090049</v>
          </cell>
        </row>
        <row r="369">
          <cell r="C369" t="str">
            <v>苏亚娟</v>
          </cell>
          <cell r="D369" t="str">
            <v>女</v>
          </cell>
          <cell r="E369">
            <v>30425</v>
          </cell>
          <cell r="F369" t="str">
            <v>410222198404195564</v>
          </cell>
        </row>
        <row r="370">
          <cell r="C370" t="str">
            <v>王锦茹</v>
          </cell>
          <cell r="D370" t="str">
            <v>女</v>
          </cell>
          <cell r="E370">
            <v>31417</v>
          </cell>
          <cell r="F370" t="str">
            <v>610528198601055722</v>
          </cell>
        </row>
        <row r="371">
          <cell r="C371" t="str">
            <v>余灿</v>
          </cell>
          <cell r="D371" t="str">
            <v>女</v>
          </cell>
          <cell r="E371">
            <v>31403</v>
          </cell>
          <cell r="F371" t="str">
            <v>421125198512221367</v>
          </cell>
        </row>
        <row r="372">
          <cell r="C372" t="str">
            <v>杨雪</v>
          </cell>
          <cell r="D372" t="str">
            <v>女</v>
          </cell>
          <cell r="E372">
            <v>31696</v>
          </cell>
          <cell r="F372" t="str">
            <v>411224198610116429</v>
          </cell>
        </row>
        <row r="373">
          <cell r="C373" t="str">
            <v>邓素侠</v>
          </cell>
          <cell r="D373" t="str">
            <v>女</v>
          </cell>
          <cell r="E373">
            <v>30638</v>
          </cell>
          <cell r="F373" t="str">
            <v>340304198311181248</v>
          </cell>
        </row>
        <row r="374">
          <cell r="C374" t="str">
            <v>刘文飞</v>
          </cell>
          <cell r="D374" t="str">
            <v>女</v>
          </cell>
          <cell r="E374">
            <v>30456</v>
          </cell>
          <cell r="F374" t="str">
            <v>430181198305207409</v>
          </cell>
        </row>
        <row r="375">
          <cell r="C375" t="str">
            <v>张桂丽</v>
          </cell>
          <cell r="D375" t="str">
            <v>女</v>
          </cell>
          <cell r="E375">
            <v>30496</v>
          </cell>
          <cell r="F375" t="str">
            <v>411322198306295349</v>
          </cell>
        </row>
        <row r="376">
          <cell r="C376" t="str">
            <v>胡润萍</v>
          </cell>
          <cell r="D376" t="str">
            <v>女</v>
          </cell>
          <cell r="E376">
            <v>30983</v>
          </cell>
          <cell r="F376" t="str">
            <v>430181198410287367</v>
          </cell>
        </row>
        <row r="377">
          <cell r="C377" t="str">
            <v>孔秀清</v>
          </cell>
          <cell r="D377" t="str">
            <v>女</v>
          </cell>
          <cell r="E377">
            <v>30774</v>
          </cell>
          <cell r="F377" t="str">
            <v>350825198404021324</v>
          </cell>
        </row>
        <row r="378">
          <cell r="C378" t="str">
            <v>陈小平</v>
          </cell>
          <cell r="D378" t="str">
            <v>女</v>
          </cell>
          <cell r="E378">
            <v>31531</v>
          </cell>
          <cell r="F378" t="str">
            <v>362201198604295426</v>
          </cell>
        </row>
        <row r="379">
          <cell r="C379" t="str">
            <v>曾琪</v>
          </cell>
          <cell r="D379" t="str">
            <v>女</v>
          </cell>
          <cell r="E379">
            <v>30593</v>
          </cell>
          <cell r="F379" t="str">
            <v>422325198310043242</v>
          </cell>
        </row>
        <row r="380">
          <cell r="C380" t="str">
            <v>杨兰</v>
          </cell>
          <cell r="D380" t="str">
            <v>女</v>
          </cell>
          <cell r="E380">
            <v>31457</v>
          </cell>
          <cell r="F380" t="str">
            <v>610528198602148648</v>
          </cell>
        </row>
        <row r="381">
          <cell r="C381" t="str">
            <v>尚亚丽</v>
          </cell>
          <cell r="D381" t="str">
            <v>女</v>
          </cell>
          <cell r="E381">
            <v>29983</v>
          </cell>
          <cell r="F381" t="str">
            <v>411121198202013522</v>
          </cell>
        </row>
        <row r="382">
          <cell r="C382" t="str">
            <v>吕细贵</v>
          </cell>
          <cell r="D382" t="str">
            <v>女</v>
          </cell>
          <cell r="E382">
            <v>30402</v>
          </cell>
          <cell r="F382" t="str">
            <v>422127830327232</v>
          </cell>
        </row>
        <row r="383">
          <cell r="C383" t="str">
            <v>裴耐青</v>
          </cell>
          <cell r="D383" t="str">
            <v>女</v>
          </cell>
          <cell r="E383">
            <v>31062</v>
          </cell>
          <cell r="F383" t="str">
            <v>41102419850115162X</v>
          </cell>
        </row>
        <row r="384">
          <cell r="C384" t="str">
            <v>王文静</v>
          </cell>
          <cell r="D384" t="str">
            <v>女</v>
          </cell>
          <cell r="E384">
            <v>30881</v>
          </cell>
          <cell r="F384" t="str">
            <v>412721198407183860</v>
          </cell>
        </row>
        <row r="385">
          <cell r="C385" t="str">
            <v>甘信萍</v>
          </cell>
          <cell r="D385" t="str">
            <v>女</v>
          </cell>
          <cell r="E385">
            <v>28392</v>
          </cell>
          <cell r="F385" t="str">
            <v>360302770924301</v>
          </cell>
        </row>
        <row r="386">
          <cell r="C386" t="str">
            <v>白俊慧</v>
          </cell>
          <cell r="D386" t="str">
            <v>女</v>
          </cell>
          <cell r="E386">
            <v>31208</v>
          </cell>
          <cell r="F386" t="str">
            <v>412721198506103862</v>
          </cell>
        </row>
        <row r="387">
          <cell r="C387" t="str">
            <v>丁耀红</v>
          </cell>
          <cell r="D387" t="str">
            <v>女</v>
          </cell>
          <cell r="E387">
            <v>28974</v>
          </cell>
          <cell r="F387" t="str">
            <v>412721197904293820</v>
          </cell>
        </row>
        <row r="388">
          <cell r="C388" t="str">
            <v>周景娜</v>
          </cell>
          <cell r="D388" t="str">
            <v>女</v>
          </cell>
          <cell r="E388">
            <v>30756</v>
          </cell>
          <cell r="F388" t="str">
            <v>411024198403151669</v>
          </cell>
        </row>
        <row r="389">
          <cell r="C389" t="str">
            <v>王莉君</v>
          </cell>
          <cell r="D389" t="str">
            <v>女</v>
          </cell>
          <cell r="E389">
            <v>31374</v>
          </cell>
          <cell r="F389" t="str">
            <v>412721198511233821</v>
          </cell>
        </row>
        <row r="390">
          <cell r="C390" t="str">
            <v>魏红</v>
          </cell>
          <cell r="D390" t="str">
            <v>女</v>
          </cell>
          <cell r="E390">
            <v>30693</v>
          </cell>
          <cell r="F390" t="str">
            <v>421125198401123326</v>
          </cell>
        </row>
        <row r="391">
          <cell r="C391" t="str">
            <v>李善英</v>
          </cell>
          <cell r="D391" t="str">
            <v>女</v>
          </cell>
          <cell r="E391">
            <v>29871</v>
          </cell>
          <cell r="F391" t="str">
            <v>432925811012094</v>
          </cell>
        </row>
        <row r="392">
          <cell r="C392" t="str">
            <v>蒙娜秀</v>
          </cell>
          <cell r="D392" t="str">
            <v>女</v>
          </cell>
          <cell r="E392">
            <v>30168</v>
          </cell>
          <cell r="F392" t="str">
            <v>452628198208052725</v>
          </cell>
        </row>
        <row r="393">
          <cell r="C393" t="str">
            <v>潘敏</v>
          </cell>
          <cell r="D393" t="str">
            <v>女</v>
          </cell>
          <cell r="E393">
            <v>30865</v>
          </cell>
          <cell r="F393" t="str">
            <v>522422198407020469</v>
          </cell>
        </row>
        <row r="394">
          <cell r="C394" t="str">
            <v>钟练菊</v>
          </cell>
          <cell r="D394" t="str">
            <v>女</v>
          </cell>
          <cell r="E394">
            <v>28074</v>
          </cell>
          <cell r="F394" t="str">
            <v>430626197611102128</v>
          </cell>
        </row>
        <row r="395">
          <cell r="C395" t="str">
            <v>李丽</v>
          </cell>
          <cell r="D395" t="str">
            <v>女</v>
          </cell>
          <cell r="E395">
            <v>30253</v>
          </cell>
          <cell r="F395" t="str">
            <v>420281821029002</v>
          </cell>
        </row>
        <row r="396">
          <cell r="C396" t="str">
            <v>容芬兰</v>
          </cell>
          <cell r="D396" t="str">
            <v>女</v>
          </cell>
          <cell r="E396">
            <v>29743</v>
          </cell>
          <cell r="F396" t="str">
            <v>432923198106063424</v>
          </cell>
        </row>
        <row r="397">
          <cell r="C397" t="str">
            <v>陈小燕</v>
          </cell>
          <cell r="D397" t="str">
            <v>女</v>
          </cell>
          <cell r="E397">
            <v>30817</v>
          </cell>
          <cell r="F397" t="str">
            <v>362228198405150048</v>
          </cell>
        </row>
        <row r="398">
          <cell r="C398" t="str">
            <v>王红丽</v>
          </cell>
          <cell r="D398" t="str">
            <v>女</v>
          </cell>
          <cell r="E398">
            <v>31650</v>
          </cell>
          <cell r="F398" t="str">
            <v>412722198608261067</v>
          </cell>
        </row>
        <row r="399">
          <cell r="C399" t="str">
            <v>袁明</v>
          </cell>
          <cell r="D399" t="str">
            <v>女</v>
          </cell>
          <cell r="E399">
            <v>31380</v>
          </cell>
          <cell r="F399" t="str">
            <v>430527198511296020</v>
          </cell>
        </row>
        <row r="400">
          <cell r="C400" t="str">
            <v>胡满珍</v>
          </cell>
          <cell r="D400">
            <v>0</v>
          </cell>
          <cell r="E400">
            <v>30240</v>
          </cell>
          <cell r="F400" t="str">
            <v>430626821016364</v>
          </cell>
        </row>
        <row r="401">
          <cell r="C401" t="str">
            <v>陈超延</v>
          </cell>
          <cell r="D401">
            <v>0</v>
          </cell>
          <cell r="E401">
            <v>31261</v>
          </cell>
          <cell r="F401" t="str">
            <v>440221198508021912</v>
          </cell>
        </row>
        <row r="402">
          <cell r="C402" t="str">
            <v>赵化青</v>
          </cell>
          <cell r="D402">
            <v>0</v>
          </cell>
          <cell r="E402">
            <v>31734</v>
          </cell>
          <cell r="F402" t="str">
            <v>61052819861118662x</v>
          </cell>
        </row>
        <row r="403">
          <cell r="C403" t="str">
            <v>周芬芬</v>
          </cell>
          <cell r="D403">
            <v>0</v>
          </cell>
          <cell r="E403">
            <v>31297</v>
          </cell>
          <cell r="F403" t="str">
            <v>420881198509073728</v>
          </cell>
        </row>
        <row r="404">
          <cell r="C404" t="str">
            <v>罗菲菲</v>
          </cell>
          <cell r="D404">
            <v>0</v>
          </cell>
          <cell r="E404">
            <v>31695</v>
          </cell>
          <cell r="F404" t="str">
            <v>610528198610105744</v>
          </cell>
        </row>
        <row r="405">
          <cell r="C405" t="str">
            <v>王晓谊</v>
          </cell>
          <cell r="D405">
            <v>0</v>
          </cell>
          <cell r="E405">
            <v>30701</v>
          </cell>
          <cell r="F405" t="str">
            <v>610502198401208225</v>
          </cell>
        </row>
        <row r="406">
          <cell r="C406" t="str">
            <v>范亚娟</v>
          </cell>
          <cell r="D406">
            <v>0</v>
          </cell>
          <cell r="E406">
            <v>30324</v>
          </cell>
          <cell r="F406" t="str">
            <v>512324830108120</v>
          </cell>
        </row>
        <row r="407">
          <cell r="C407" t="str">
            <v>皮小霞</v>
          </cell>
          <cell r="D407">
            <v>0</v>
          </cell>
          <cell r="E407">
            <v>31117</v>
          </cell>
          <cell r="F407" t="str">
            <v>420821198503116065</v>
          </cell>
        </row>
        <row r="408">
          <cell r="C408" t="str">
            <v>王媛</v>
          </cell>
          <cell r="D408">
            <v>0</v>
          </cell>
          <cell r="E408">
            <v>30575</v>
          </cell>
          <cell r="F408" t="str">
            <v>610422198309161727</v>
          </cell>
        </row>
        <row r="409">
          <cell r="C409" t="str">
            <v>张生龙</v>
          </cell>
          <cell r="D409">
            <v>0</v>
          </cell>
          <cell r="E409">
            <v>30123</v>
          </cell>
          <cell r="F409" t="str">
            <v>420381198206214653</v>
          </cell>
        </row>
        <row r="410">
          <cell r="C410" t="str">
            <v>温其钊</v>
          </cell>
          <cell r="D410">
            <v>0</v>
          </cell>
          <cell r="E410">
            <v>31440</v>
          </cell>
          <cell r="F410" t="str">
            <v>450722198601280412</v>
          </cell>
        </row>
        <row r="411">
          <cell r="C411" t="str">
            <v>张锡伟</v>
          </cell>
          <cell r="D411">
            <v>0</v>
          </cell>
          <cell r="E411">
            <v>29160</v>
          </cell>
          <cell r="F411" t="str">
            <v>230123791101127</v>
          </cell>
        </row>
        <row r="412">
          <cell r="C412" t="str">
            <v>胡洪平</v>
          </cell>
          <cell r="D412">
            <v>0</v>
          </cell>
          <cell r="E412">
            <v>29212</v>
          </cell>
          <cell r="F412" t="str">
            <v>512926197912230738</v>
          </cell>
        </row>
        <row r="413">
          <cell r="C413" t="str">
            <v>刘振华</v>
          </cell>
          <cell r="D413">
            <v>0</v>
          </cell>
          <cell r="E413">
            <v>27337</v>
          </cell>
          <cell r="F413" t="str">
            <v>422128197411010079</v>
          </cell>
        </row>
        <row r="414">
          <cell r="C414" t="str">
            <v>孙香华</v>
          </cell>
          <cell r="D414">
            <v>0</v>
          </cell>
          <cell r="E414">
            <v>31257</v>
          </cell>
          <cell r="F414" t="str">
            <v>432522198507294065</v>
          </cell>
        </row>
        <row r="415">
          <cell r="C415" t="str">
            <v>曾凡平</v>
          </cell>
          <cell r="D415">
            <v>0</v>
          </cell>
          <cell r="E415">
            <v>31187</v>
          </cell>
          <cell r="F415" t="str">
            <v>432522198505204062</v>
          </cell>
        </row>
        <row r="416">
          <cell r="C416" t="str">
            <v>刘亚芬</v>
          </cell>
          <cell r="D416">
            <v>0</v>
          </cell>
          <cell r="E416">
            <v>29155</v>
          </cell>
          <cell r="F416" t="str">
            <v>612323791027284</v>
          </cell>
        </row>
        <row r="417">
          <cell r="C417" t="str">
            <v>陈莲花</v>
          </cell>
          <cell r="D417">
            <v>0</v>
          </cell>
          <cell r="E417">
            <v>31524</v>
          </cell>
          <cell r="F417" t="str">
            <v>430421198604227901</v>
          </cell>
        </row>
        <row r="418">
          <cell r="C418" t="str">
            <v>谭永红</v>
          </cell>
          <cell r="D418">
            <v>0</v>
          </cell>
          <cell r="E418">
            <v>31467</v>
          </cell>
          <cell r="F418" t="str">
            <v>43252219860224412X</v>
          </cell>
        </row>
        <row r="419">
          <cell r="C419" t="str">
            <v>邓佩</v>
          </cell>
          <cell r="D419">
            <v>0</v>
          </cell>
          <cell r="E419">
            <v>31749</v>
          </cell>
          <cell r="F419" t="str">
            <v>432522198612034062</v>
          </cell>
        </row>
        <row r="420">
          <cell r="C420" t="str">
            <v>彭红梅</v>
          </cell>
          <cell r="D420">
            <v>0</v>
          </cell>
          <cell r="E420">
            <v>29194</v>
          </cell>
          <cell r="F420" t="str">
            <v>430421791205788</v>
          </cell>
        </row>
        <row r="421">
          <cell r="C421" t="str">
            <v>陈彩葵</v>
          </cell>
          <cell r="D421">
            <v>0</v>
          </cell>
          <cell r="E421">
            <v>31615</v>
          </cell>
          <cell r="F421" t="str">
            <v>432522198607224064</v>
          </cell>
        </row>
        <row r="422">
          <cell r="C422" t="str">
            <v>彭志文</v>
          </cell>
          <cell r="D422">
            <v>0</v>
          </cell>
          <cell r="E422">
            <v>31404</v>
          </cell>
          <cell r="F422" t="str">
            <v>432522198512234067</v>
          </cell>
        </row>
        <row r="423">
          <cell r="C423" t="str">
            <v>曾梦丽</v>
          </cell>
          <cell r="D423">
            <v>0</v>
          </cell>
          <cell r="E423">
            <v>31287</v>
          </cell>
          <cell r="F423" t="str">
            <v>432522198508284061</v>
          </cell>
        </row>
        <row r="424">
          <cell r="C424" t="str">
            <v>朱巧云</v>
          </cell>
          <cell r="D424">
            <v>0</v>
          </cell>
          <cell r="E424">
            <v>30957</v>
          </cell>
          <cell r="F424" t="str">
            <v>432522198410024165</v>
          </cell>
        </row>
        <row r="425">
          <cell r="C425" t="str">
            <v>李书娜</v>
          </cell>
          <cell r="D425">
            <v>0</v>
          </cell>
          <cell r="E425">
            <v>30010</v>
          </cell>
          <cell r="F425" t="str">
            <v>411303820228424</v>
          </cell>
        </row>
        <row r="426">
          <cell r="C426" t="str">
            <v>冯艳云</v>
          </cell>
          <cell r="D426">
            <v>0</v>
          </cell>
          <cell r="E426">
            <v>28857</v>
          </cell>
          <cell r="F426" t="str">
            <v>422129790102132</v>
          </cell>
        </row>
        <row r="427">
          <cell r="C427" t="str">
            <v>赵全营</v>
          </cell>
          <cell r="D427">
            <v>0</v>
          </cell>
          <cell r="E427">
            <v>29044</v>
          </cell>
          <cell r="F427" t="str">
            <v>422101197907086054</v>
          </cell>
        </row>
        <row r="428">
          <cell r="C428" t="str">
            <v>杜文娟</v>
          </cell>
          <cell r="D428">
            <v>0</v>
          </cell>
          <cell r="E428">
            <v>30170</v>
          </cell>
          <cell r="F428" t="str">
            <v>421122198208076346</v>
          </cell>
        </row>
        <row r="429">
          <cell r="C429" t="str">
            <v>岳静静</v>
          </cell>
          <cell r="D429">
            <v>0</v>
          </cell>
          <cell r="E429">
            <v>31375</v>
          </cell>
          <cell r="F429" t="str">
            <v>610124198511244522</v>
          </cell>
        </row>
        <row r="430">
          <cell r="C430" t="str">
            <v>游学群</v>
          </cell>
          <cell r="D430">
            <v>0</v>
          </cell>
          <cell r="E430">
            <v>30032</v>
          </cell>
          <cell r="F430" t="str">
            <v>430621820322272</v>
          </cell>
        </row>
        <row r="431">
          <cell r="C431" t="str">
            <v>周小英</v>
          </cell>
          <cell r="D431">
            <v>0</v>
          </cell>
          <cell r="E431">
            <v>30209</v>
          </cell>
          <cell r="F431" t="str">
            <v>511221820915716</v>
          </cell>
        </row>
        <row r="432">
          <cell r="C432" t="str">
            <v>彭双</v>
          </cell>
          <cell r="D432">
            <v>0</v>
          </cell>
          <cell r="E432">
            <v>31734</v>
          </cell>
          <cell r="F432" t="str">
            <v>430281198611186285</v>
          </cell>
        </row>
        <row r="433">
          <cell r="C433" t="str">
            <v>王岚</v>
          </cell>
          <cell r="D433">
            <v>0</v>
          </cell>
          <cell r="E433">
            <v>31362</v>
          </cell>
          <cell r="F433" t="str">
            <v>432522198511117424</v>
          </cell>
        </row>
        <row r="434">
          <cell r="C434" t="str">
            <v>张二花</v>
          </cell>
          <cell r="D434">
            <v>0</v>
          </cell>
          <cell r="E434">
            <v>30707</v>
          </cell>
          <cell r="F434" t="str">
            <v>372523840126842</v>
          </cell>
        </row>
        <row r="435">
          <cell r="C435" t="str">
            <v>杨梅</v>
          </cell>
          <cell r="D435">
            <v>0</v>
          </cell>
          <cell r="E435">
            <v>30857</v>
          </cell>
          <cell r="F435" t="str">
            <v>420526198406240828</v>
          </cell>
        </row>
        <row r="436">
          <cell r="C436" t="str">
            <v>杨春彦</v>
          </cell>
          <cell r="D436">
            <v>0</v>
          </cell>
          <cell r="E436">
            <v>31577</v>
          </cell>
          <cell r="F436" t="str">
            <v>411324198606140923</v>
          </cell>
        </row>
        <row r="437">
          <cell r="C437" t="str">
            <v>李兵</v>
          </cell>
          <cell r="D437">
            <v>0</v>
          </cell>
          <cell r="E437">
            <v>31744</v>
          </cell>
          <cell r="F437" t="str">
            <v>411303198611284225</v>
          </cell>
        </row>
        <row r="438">
          <cell r="C438" t="str">
            <v>孟小艳</v>
          </cell>
          <cell r="D438">
            <v>0</v>
          </cell>
          <cell r="E438">
            <v>30968</v>
          </cell>
          <cell r="F438" t="str">
            <v>610124198410132740</v>
          </cell>
        </row>
        <row r="439">
          <cell r="C439" t="str">
            <v>马小转</v>
          </cell>
          <cell r="D439">
            <v>0</v>
          </cell>
          <cell r="E439">
            <v>31275</v>
          </cell>
          <cell r="F439" t="str">
            <v>411324198508160920</v>
          </cell>
        </row>
        <row r="440">
          <cell r="C440" t="str">
            <v>任娟</v>
          </cell>
          <cell r="D440">
            <v>0</v>
          </cell>
          <cell r="E440">
            <v>31010</v>
          </cell>
          <cell r="F440" t="str">
            <v>410222198411244520</v>
          </cell>
        </row>
        <row r="441">
          <cell r="C441" t="str">
            <v>李明兰</v>
          </cell>
          <cell r="D441">
            <v>0</v>
          </cell>
          <cell r="E441">
            <v>29035</v>
          </cell>
          <cell r="F441" t="str">
            <v>513030790629722</v>
          </cell>
        </row>
        <row r="442">
          <cell r="C442" t="str">
            <v>厉红丽</v>
          </cell>
          <cell r="D442">
            <v>0</v>
          </cell>
          <cell r="E442">
            <v>30364</v>
          </cell>
          <cell r="F442" t="str">
            <v>410222830217602</v>
          </cell>
        </row>
        <row r="443">
          <cell r="C443" t="str">
            <v>苗珊</v>
          </cell>
          <cell r="D443">
            <v>0</v>
          </cell>
          <cell r="E443">
            <v>31279</v>
          </cell>
          <cell r="F443" t="str">
            <v>411324198508200929</v>
          </cell>
        </row>
        <row r="444">
          <cell r="C444" t="str">
            <v>刘敏莉</v>
          </cell>
          <cell r="D444">
            <v>0</v>
          </cell>
          <cell r="E444">
            <v>31394</v>
          </cell>
          <cell r="F444" t="str">
            <v>610124198512134544</v>
          </cell>
        </row>
        <row r="445">
          <cell r="C445" t="str">
            <v>李静平</v>
          </cell>
          <cell r="D445">
            <v>0</v>
          </cell>
          <cell r="E445">
            <v>31224</v>
          </cell>
          <cell r="F445" t="str">
            <v>610124198506263921</v>
          </cell>
        </row>
        <row r="446">
          <cell r="C446" t="str">
            <v>李士雯</v>
          </cell>
          <cell r="D446">
            <v>0</v>
          </cell>
          <cell r="E446">
            <v>31670</v>
          </cell>
          <cell r="F446" t="str">
            <v>411303198609156769</v>
          </cell>
        </row>
        <row r="447">
          <cell r="C447" t="str">
            <v>吴颜</v>
          </cell>
          <cell r="D447">
            <v>0</v>
          </cell>
          <cell r="E447">
            <v>29110</v>
          </cell>
          <cell r="F447" t="str">
            <v>412924197909124225</v>
          </cell>
        </row>
        <row r="448">
          <cell r="C448" t="str">
            <v>李萍</v>
          </cell>
          <cell r="D448">
            <v>0</v>
          </cell>
          <cell r="E448">
            <v>29953</v>
          </cell>
          <cell r="F448" t="str">
            <v>360312820102001</v>
          </cell>
        </row>
        <row r="449">
          <cell r="C449" t="str">
            <v>潘成坤</v>
          </cell>
          <cell r="D449">
            <v>0</v>
          </cell>
          <cell r="E449">
            <v>28555</v>
          </cell>
          <cell r="F449" t="str">
            <v>522624780306001</v>
          </cell>
        </row>
        <row r="450">
          <cell r="C450" t="str">
            <v>王仕伟</v>
          </cell>
          <cell r="D450">
            <v>0</v>
          </cell>
          <cell r="E450">
            <v>31400</v>
          </cell>
          <cell r="F450" t="str">
            <v>430524198512196671</v>
          </cell>
        </row>
        <row r="451">
          <cell r="C451" t="str">
            <v>刘娟娟</v>
          </cell>
          <cell r="D451">
            <v>0</v>
          </cell>
          <cell r="E451">
            <v>31691</v>
          </cell>
          <cell r="F451" t="str">
            <v>610426198610060023</v>
          </cell>
        </row>
        <row r="452">
          <cell r="C452" t="str">
            <v>杨岁利</v>
          </cell>
          <cell r="D452">
            <v>0</v>
          </cell>
          <cell r="E452">
            <v>28860</v>
          </cell>
          <cell r="F452" t="str">
            <v>610324197901052848</v>
          </cell>
        </row>
        <row r="453">
          <cell r="C453" t="str">
            <v>陈快快</v>
          </cell>
          <cell r="D453">
            <v>0</v>
          </cell>
          <cell r="E453">
            <v>31205</v>
          </cell>
          <cell r="F453" t="str">
            <v>610426198506070029</v>
          </cell>
        </row>
        <row r="454">
          <cell r="C454" t="str">
            <v>聂永霞</v>
          </cell>
          <cell r="D454">
            <v>0</v>
          </cell>
          <cell r="E454">
            <v>31400</v>
          </cell>
          <cell r="F454" t="str">
            <v>410222198512194526</v>
          </cell>
        </row>
        <row r="455">
          <cell r="C455" t="str">
            <v>于娜</v>
          </cell>
          <cell r="D455">
            <v>0</v>
          </cell>
          <cell r="E455">
            <v>30299</v>
          </cell>
          <cell r="F455" t="str">
            <v>410222821214402</v>
          </cell>
        </row>
        <row r="456">
          <cell r="C456" t="str">
            <v>李淑敏</v>
          </cell>
          <cell r="D456">
            <v>0</v>
          </cell>
          <cell r="E456">
            <v>30724</v>
          </cell>
          <cell r="F456" t="str">
            <v>61043119840212154X</v>
          </cell>
        </row>
        <row r="457">
          <cell r="C457" t="str">
            <v>孙海娟</v>
          </cell>
          <cell r="D457">
            <v>0</v>
          </cell>
          <cell r="E457">
            <v>29619</v>
          </cell>
          <cell r="F457" t="str">
            <v>610528810202122</v>
          </cell>
        </row>
        <row r="458">
          <cell r="C458" t="str">
            <v>成莉侠</v>
          </cell>
          <cell r="D458">
            <v>0</v>
          </cell>
          <cell r="E458">
            <v>29356</v>
          </cell>
          <cell r="F458" t="str">
            <v>610324198000515527</v>
          </cell>
        </row>
        <row r="459">
          <cell r="C459" t="str">
            <v>李翠平</v>
          </cell>
          <cell r="D459">
            <v>0</v>
          </cell>
          <cell r="E459">
            <v>29043</v>
          </cell>
          <cell r="F459" t="str">
            <v>412902790707454</v>
          </cell>
        </row>
        <row r="460">
          <cell r="C460" t="str">
            <v>吴晓花</v>
          </cell>
          <cell r="D460">
            <v>0</v>
          </cell>
          <cell r="E460">
            <v>30550</v>
          </cell>
          <cell r="F460" t="str">
            <v>511321198308222925</v>
          </cell>
        </row>
        <row r="461">
          <cell r="C461" t="str">
            <v>郑亚芹</v>
          </cell>
          <cell r="D461">
            <v>0</v>
          </cell>
          <cell r="E461">
            <v>30022</v>
          </cell>
          <cell r="F461" t="str">
            <v>410411198203125588</v>
          </cell>
        </row>
        <row r="462">
          <cell r="C462" t="str">
            <v>戚仁凤</v>
          </cell>
          <cell r="D462">
            <v>0</v>
          </cell>
          <cell r="E462">
            <v>30115</v>
          </cell>
          <cell r="F462" t="str">
            <v>420982198206132323</v>
          </cell>
        </row>
        <row r="463">
          <cell r="C463" t="str">
            <v>吴小曼</v>
          </cell>
          <cell r="D463">
            <v>0</v>
          </cell>
          <cell r="E463">
            <v>31695</v>
          </cell>
          <cell r="F463" t="str">
            <v>430626198610103027</v>
          </cell>
        </row>
        <row r="464">
          <cell r="C464" t="str">
            <v>杨小苗</v>
          </cell>
          <cell r="D464">
            <v>0</v>
          </cell>
          <cell r="E464">
            <v>30808</v>
          </cell>
          <cell r="F464" t="str">
            <v>411381840506482</v>
          </cell>
        </row>
        <row r="465">
          <cell r="C465" t="str">
            <v>艾忠燕</v>
          </cell>
          <cell r="D465">
            <v>0</v>
          </cell>
          <cell r="E465">
            <v>30812</v>
          </cell>
          <cell r="F465" t="str">
            <v>51302919840510314X</v>
          </cell>
        </row>
        <row r="466">
          <cell r="C466" t="str">
            <v>雷培焕</v>
          </cell>
          <cell r="D466">
            <v>0</v>
          </cell>
          <cell r="E466">
            <v>30651</v>
          </cell>
          <cell r="F466" t="str">
            <v>411023831201502</v>
          </cell>
        </row>
        <row r="467">
          <cell r="C467" t="str">
            <v>殷二梅</v>
          </cell>
          <cell r="D467">
            <v>0</v>
          </cell>
          <cell r="E467">
            <v>30873</v>
          </cell>
          <cell r="F467" t="str">
            <v>340123198407102626</v>
          </cell>
        </row>
        <row r="468">
          <cell r="C468" t="str">
            <v>王苹</v>
          </cell>
          <cell r="D468">
            <v>0</v>
          </cell>
          <cell r="E468">
            <v>31682</v>
          </cell>
          <cell r="F468" t="str">
            <v>61250119860927602X</v>
          </cell>
        </row>
        <row r="469">
          <cell r="C469" t="str">
            <v>唐相英</v>
          </cell>
          <cell r="D469">
            <v>0</v>
          </cell>
          <cell r="E469">
            <v>31372</v>
          </cell>
          <cell r="F469" t="str">
            <v>50023419851121924X</v>
          </cell>
        </row>
        <row r="470">
          <cell r="C470" t="str">
            <v>周海燕</v>
          </cell>
          <cell r="D470">
            <v>0</v>
          </cell>
          <cell r="E470">
            <v>30240</v>
          </cell>
          <cell r="F470" t="str">
            <v>513622821016580</v>
          </cell>
        </row>
        <row r="471">
          <cell r="C471" t="str">
            <v>李祥鹏</v>
          </cell>
          <cell r="D471">
            <v>0</v>
          </cell>
          <cell r="E471">
            <v>30963</v>
          </cell>
          <cell r="F471" t="str">
            <v>342923198410086020</v>
          </cell>
        </row>
        <row r="472">
          <cell r="C472" t="str">
            <v>吴丽香</v>
          </cell>
          <cell r="D472">
            <v>0</v>
          </cell>
          <cell r="E472">
            <v>29345</v>
          </cell>
          <cell r="F472" t="str">
            <v>460003800504182</v>
          </cell>
        </row>
        <row r="473">
          <cell r="C473" t="str">
            <v>蔡小梅</v>
          </cell>
          <cell r="D473">
            <v>0</v>
          </cell>
          <cell r="E473">
            <v>27274</v>
          </cell>
          <cell r="F473" t="str">
            <v>422130740402132</v>
          </cell>
        </row>
        <row r="474">
          <cell r="C474" t="str">
            <v>张培彪</v>
          </cell>
          <cell r="D474">
            <v>0</v>
          </cell>
          <cell r="E474">
            <v>29314</v>
          </cell>
          <cell r="F474" t="str">
            <v>500233198004035810</v>
          </cell>
        </row>
        <row r="475">
          <cell r="C475" t="str">
            <v>梅太宝</v>
          </cell>
          <cell r="D475">
            <v>0</v>
          </cell>
          <cell r="E475">
            <v>28671</v>
          </cell>
          <cell r="F475" t="str">
            <v>610114197806302016</v>
          </cell>
        </row>
        <row r="476">
          <cell r="C476" t="str">
            <v>黄燕琴</v>
          </cell>
          <cell r="D476">
            <v>0</v>
          </cell>
          <cell r="E476">
            <v>31400</v>
          </cell>
          <cell r="F476" t="str">
            <v>362502198512195826</v>
          </cell>
        </row>
        <row r="477">
          <cell r="C477" t="str">
            <v>侯翠云</v>
          </cell>
          <cell r="D477">
            <v>0</v>
          </cell>
          <cell r="E477">
            <v>30792</v>
          </cell>
          <cell r="F477" t="str">
            <v>513721198404201706</v>
          </cell>
        </row>
        <row r="478">
          <cell r="C478" t="str">
            <v>陈寿辉</v>
          </cell>
          <cell r="D478">
            <v>0</v>
          </cell>
          <cell r="E478">
            <v>31090</v>
          </cell>
          <cell r="F478" t="str">
            <v>440902198502122455</v>
          </cell>
        </row>
        <row r="479">
          <cell r="C479" t="str">
            <v>江淑英</v>
          </cell>
          <cell r="D479">
            <v>0</v>
          </cell>
          <cell r="E479">
            <v>30581</v>
          </cell>
          <cell r="F479" t="str">
            <v>431023198309228161</v>
          </cell>
        </row>
        <row r="480">
          <cell r="C480" t="str">
            <v>陈苗苗</v>
          </cell>
          <cell r="D480">
            <v>0</v>
          </cell>
          <cell r="E480">
            <v>31609</v>
          </cell>
          <cell r="F480" t="str">
            <v>610528198607166626</v>
          </cell>
        </row>
        <row r="481">
          <cell r="C481" t="str">
            <v>彭志红</v>
          </cell>
          <cell r="D481">
            <v>0</v>
          </cell>
          <cell r="E481">
            <v>30612</v>
          </cell>
          <cell r="F481" t="str">
            <v>430421198310237880</v>
          </cell>
        </row>
        <row r="482">
          <cell r="C482" t="str">
            <v>张珍</v>
          </cell>
          <cell r="D482">
            <v>0</v>
          </cell>
          <cell r="E482">
            <v>30792</v>
          </cell>
          <cell r="F482" t="str">
            <v>41022419840420032X</v>
          </cell>
        </row>
        <row r="483">
          <cell r="C483" t="str">
            <v>徐欠欠</v>
          </cell>
          <cell r="D483">
            <v>0</v>
          </cell>
          <cell r="E483">
            <v>31445</v>
          </cell>
          <cell r="F483" t="str">
            <v>410224198602021023</v>
          </cell>
        </row>
        <row r="484">
          <cell r="C484" t="str">
            <v>孙军华</v>
          </cell>
          <cell r="D484">
            <v>0</v>
          </cell>
          <cell r="E484">
            <v>30091</v>
          </cell>
          <cell r="F484" t="str">
            <v>410222198205203082</v>
          </cell>
        </row>
        <row r="485">
          <cell r="C485" t="str">
            <v>李苗苗</v>
          </cell>
          <cell r="D485">
            <v>0</v>
          </cell>
          <cell r="E485">
            <v>30826</v>
          </cell>
          <cell r="F485" t="str">
            <v>410311198405246024</v>
          </cell>
        </row>
        <row r="486">
          <cell r="C486" t="str">
            <v>张春花</v>
          </cell>
          <cell r="D486">
            <v>0</v>
          </cell>
          <cell r="E486">
            <v>31515</v>
          </cell>
          <cell r="F486" t="str">
            <v>513029198604134168</v>
          </cell>
        </row>
        <row r="487">
          <cell r="C487" t="str">
            <v>董贺丽</v>
          </cell>
          <cell r="D487">
            <v>0</v>
          </cell>
          <cell r="E487">
            <v>30428</v>
          </cell>
          <cell r="F487" t="str">
            <v>412821830422202</v>
          </cell>
        </row>
        <row r="488">
          <cell r="C488" t="str">
            <v>张红丽</v>
          </cell>
          <cell r="D488">
            <v>0</v>
          </cell>
          <cell r="E488">
            <v>29926</v>
          </cell>
          <cell r="F488" t="str">
            <v>410222811206458</v>
          </cell>
        </row>
        <row r="489">
          <cell r="C489" t="str">
            <v>马平</v>
          </cell>
          <cell r="D489">
            <v>0</v>
          </cell>
          <cell r="E489">
            <v>31454</v>
          </cell>
          <cell r="F489" t="str">
            <v>421022198602117665</v>
          </cell>
        </row>
        <row r="490">
          <cell r="C490" t="str">
            <v>江林林</v>
          </cell>
          <cell r="D490">
            <v>0</v>
          </cell>
          <cell r="E490">
            <v>31043</v>
          </cell>
          <cell r="F490" t="str">
            <v>420821198412276063</v>
          </cell>
        </row>
        <row r="491">
          <cell r="C491" t="str">
            <v>谭欣欣</v>
          </cell>
          <cell r="D491">
            <v>0</v>
          </cell>
          <cell r="E491">
            <v>31710</v>
          </cell>
          <cell r="F491" t="str">
            <v>432522198610254088</v>
          </cell>
        </row>
        <row r="492">
          <cell r="C492" t="str">
            <v>冯露菊</v>
          </cell>
          <cell r="D492">
            <v>0</v>
          </cell>
          <cell r="E492">
            <v>31384</v>
          </cell>
          <cell r="F492" t="str">
            <v>420683198512036129</v>
          </cell>
        </row>
        <row r="493">
          <cell r="C493" t="str">
            <v>肖兰</v>
          </cell>
          <cell r="D493">
            <v>0</v>
          </cell>
          <cell r="E493">
            <v>28704</v>
          </cell>
          <cell r="F493" t="str">
            <v>512924780802002</v>
          </cell>
        </row>
        <row r="494">
          <cell r="C494" t="str">
            <v>彭永红</v>
          </cell>
          <cell r="D494">
            <v>0</v>
          </cell>
          <cell r="E494">
            <v>31661</v>
          </cell>
          <cell r="F494" t="str">
            <v>432522198609064105</v>
          </cell>
        </row>
        <row r="495">
          <cell r="C495" t="str">
            <v>杨霞</v>
          </cell>
          <cell r="D495">
            <v>0</v>
          </cell>
          <cell r="E495">
            <v>31319</v>
          </cell>
          <cell r="F495" t="str">
            <v>429001198509293387</v>
          </cell>
        </row>
        <row r="496">
          <cell r="C496" t="str">
            <v>周书香</v>
          </cell>
          <cell r="D496">
            <v>0</v>
          </cell>
          <cell r="E496">
            <v>30901</v>
          </cell>
          <cell r="F496" t="str">
            <v>429001198408077247</v>
          </cell>
        </row>
        <row r="497">
          <cell r="C497" t="str">
            <v>王英</v>
          </cell>
          <cell r="D497">
            <v>0</v>
          </cell>
          <cell r="E497">
            <v>30399</v>
          </cell>
          <cell r="F497" t="str">
            <v>410222830324452</v>
          </cell>
        </row>
        <row r="498">
          <cell r="C498" t="str">
            <v>戴霞</v>
          </cell>
          <cell r="D498">
            <v>0</v>
          </cell>
          <cell r="E498">
            <v>30648</v>
          </cell>
          <cell r="F498" t="str">
            <v>610124198311283949</v>
          </cell>
        </row>
        <row r="499">
          <cell r="C499" t="str">
            <v>娄方方</v>
          </cell>
          <cell r="D499">
            <v>0</v>
          </cell>
          <cell r="E499">
            <v>30697</v>
          </cell>
          <cell r="F499" t="str">
            <v>410222198401164084</v>
          </cell>
        </row>
        <row r="500">
          <cell r="C500" t="str">
            <v>吴娟</v>
          </cell>
          <cell r="D500">
            <v>0</v>
          </cell>
          <cell r="E500">
            <v>28978</v>
          </cell>
          <cell r="F500" t="str">
            <v>43068119790503492X</v>
          </cell>
        </row>
        <row r="501">
          <cell r="C501" t="str">
            <v>张蕾</v>
          </cell>
          <cell r="D501">
            <v>0</v>
          </cell>
          <cell r="E501">
            <v>30566</v>
          </cell>
          <cell r="F501" t="str">
            <v>452324198309070947</v>
          </cell>
        </row>
        <row r="502">
          <cell r="C502" t="str">
            <v>张方方</v>
          </cell>
          <cell r="D502">
            <v>0</v>
          </cell>
          <cell r="E502">
            <v>30391</v>
          </cell>
          <cell r="F502" t="str">
            <v>410222830316402</v>
          </cell>
        </row>
        <row r="503">
          <cell r="C503" t="str">
            <v>苏雄枚</v>
          </cell>
          <cell r="D503">
            <v>0</v>
          </cell>
          <cell r="E503">
            <v>29358</v>
          </cell>
          <cell r="F503" t="str">
            <v>362201800517526</v>
          </cell>
        </row>
        <row r="504">
          <cell r="C504" t="str">
            <v>杨群</v>
          </cell>
          <cell r="D504">
            <v>0</v>
          </cell>
          <cell r="E504">
            <v>31189</v>
          </cell>
          <cell r="F504" t="str">
            <v>61232319850522832X</v>
          </cell>
        </row>
        <row r="505">
          <cell r="C505" t="str">
            <v>李艳琼</v>
          </cell>
          <cell r="D505">
            <v>0</v>
          </cell>
          <cell r="E505">
            <v>31616</v>
          </cell>
          <cell r="F505" t="str">
            <v>420527198607232644</v>
          </cell>
        </row>
        <row r="506">
          <cell r="C506" t="str">
            <v>刘溪娟</v>
          </cell>
          <cell r="D506">
            <v>0</v>
          </cell>
          <cell r="E506">
            <v>30737</v>
          </cell>
          <cell r="F506" t="str">
            <v>422322198402254865</v>
          </cell>
        </row>
        <row r="507">
          <cell r="C507" t="str">
            <v>张腊梅</v>
          </cell>
          <cell r="D507">
            <v>0</v>
          </cell>
          <cell r="E507">
            <v>29948</v>
          </cell>
          <cell r="F507" t="str">
            <v>612321811228262</v>
          </cell>
        </row>
        <row r="508">
          <cell r="C508" t="str">
            <v>文华丽</v>
          </cell>
          <cell r="D508">
            <v>0</v>
          </cell>
          <cell r="E508">
            <v>29710</v>
          </cell>
          <cell r="F508" t="str">
            <v>421002810504242</v>
          </cell>
        </row>
        <row r="509">
          <cell r="C509" t="str">
            <v>薛笋</v>
          </cell>
          <cell r="D509">
            <v>0</v>
          </cell>
          <cell r="E509">
            <v>30155</v>
          </cell>
          <cell r="F509" t="str">
            <v>411381820723046</v>
          </cell>
        </row>
        <row r="510">
          <cell r="C510" t="str">
            <v>曾琪琦</v>
          </cell>
          <cell r="D510">
            <v>0</v>
          </cell>
          <cell r="E510">
            <v>31604</v>
          </cell>
          <cell r="F510" t="str">
            <v>43250319860711638X</v>
          </cell>
        </row>
        <row r="511">
          <cell r="C511" t="str">
            <v>梁丽娟</v>
          </cell>
          <cell r="D511">
            <v>0</v>
          </cell>
          <cell r="E511">
            <v>30514</v>
          </cell>
          <cell r="F511" t="str">
            <v>452729198307170622</v>
          </cell>
        </row>
        <row r="512">
          <cell r="C512" t="str">
            <v>张引娟</v>
          </cell>
          <cell r="D512">
            <v>0</v>
          </cell>
          <cell r="E512">
            <v>29257</v>
          </cell>
          <cell r="F512" t="str">
            <v>612133800206242</v>
          </cell>
        </row>
        <row r="513">
          <cell r="C513" t="str">
            <v>赵光玮</v>
          </cell>
          <cell r="D513">
            <v>0</v>
          </cell>
          <cell r="E513">
            <v>30928</v>
          </cell>
          <cell r="F513" t="str">
            <v>341182198409031028</v>
          </cell>
        </row>
        <row r="514">
          <cell r="C514" t="str">
            <v>赵末春</v>
          </cell>
          <cell r="D514">
            <v>0</v>
          </cell>
          <cell r="E514">
            <v>27529</v>
          </cell>
          <cell r="F514" t="str">
            <v>430626197505152420</v>
          </cell>
        </row>
        <row r="515">
          <cell r="C515" t="str">
            <v>鲍丽荣</v>
          </cell>
          <cell r="D515">
            <v>0</v>
          </cell>
          <cell r="E515">
            <v>30995</v>
          </cell>
          <cell r="F515" t="str">
            <v>362227198411090049</v>
          </cell>
        </row>
        <row r="516">
          <cell r="C516" t="str">
            <v>苏亚娟</v>
          </cell>
          <cell r="D516">
            <v>0</v>
          </cell>
          <cell r="E516">
            <v>30425</v>
          </cell>
          <cell r="F516" t="str">
            <v>410222198404195564</v>
          </cell>
        </row>
        <row r="517">
          <cell r="C517" t="str">
            <v>王锦茹</v>
          </cell>
          <cell r="D517">
            <v>0</v>
          </cell>
          <cell r="E517">
            <v>31417</v>
          </cell>
          <cell r="F517" t="str">
            <v>610528198601055722</v>
          </cell>
        </row>
        <row r="518">
          <cell r="C518" t="str">
            <v>余灿</v>
          </cell>
          <cell r="D518">
            <v>0</v>
          </cell>
          <cell r="E518">
            <v>31403</v>
          </cell>
          <cell r="F518" t="str">
            <v>421125198512221367</v>
          </cell>
        </row>
        <row r="519">
          <cell r="C519" t="str">
            <v>杨雪</v>
          </cell>
          <cell r="D519">
            <v>0</v>
          </cell>
          <cell r="E519">
            <v>31696</v>
          </cell>
          <cell r="F519" t="str">
            <v>411224198610116429</v>
          </cell>
        </row>
        <row r="520">
          <cell r="C520" t="str">
            <v>邓素侠</v>
          </cell>
          <cell r="D520">
            <v>0</v>
          </cell>
          <cell r="E520">
            <v>30638</v>
          </cell>
          <cell r="F520" t="str">
            <v>340304198311181248</v>
          </cell>
        </row>
        <row r="521">
          <cell r="C521" t="str">
            <v>刘文飞</v>
          </cell>
          <cell r="D521">
            <v>0</v>
          </cell>
          <cell r="E521">
            <v>30456</v>
          </cell>
          <cell r="F521" t="str">
            <v>430181198305207409</v>
          </cell>
        </row>
        <row r="522">
          <cell r="C522" t="str">
            <v>张桂丽</v>
          </cell>
          <cell r="D522">
            <v>0</v>
          </cell>
          <cell r="E522">
            <v>30496</v>
          </cell>
          <cell r="F522" t="str">
            <v>411322198306295349</v>
          </cell>
        </row>
        <row r="523">
          <cell r="C523" t="str">
            <v>胡润萍</v>
          </cell>
          <cell r="D523">
            <v>0</v>
          </cell>
          <cell r="E523">
            <v>30983</v>
          </cell>
          <cell r="F523" t="str">
            <v>430181198410287367</v>
          </cell>
        </row>
        <row r="524">
          <cell r="C524" t="str">
            <v>孔秀清</v>
          </cell>
          <cell r="D524">
            <v>0</v>
          </cell>
          <cell r="E524">
            <v>30774</v>
          </cell>
          <cell r="F524" t="str">
            <v>350825198404021324</v>
          </cell>
        </row>
        <row r="525">
          <cell r="C525" t="str">
            <v>陈小平</v>
          </cell>
          <cell r="D525">
            <v>0</v>
          </cell>
          <cell r="E525">
            <v>31531</v>
          </cell>
          <cell r="F525" t="str">
            <v>362201198604295426</v>
          </cell>
        </row>
        <row r="526">
          <cell r="C526" t="str">
            <v>曾琪</v>
          </cell>
          <cell r="D526">
            <v>0</v>
          </cell>
          <cell r="E526">
            <v>30593</v>
          </cell>
          <cell r="F526" t="str">
            <v>422325198310043242</v>
          </cell>
        </row>
        <row r="527">
          <cell r="C527" t="str">
            <v>杨兰</v>
          </cell>
          <cell r="D527">
            <v>0</v>
          </cell>
          <cell r="E527">
            <v>31457</v>
          </cell>
          <cell r="F527" t="str">
            <v>610528198602148648</v>
          </cell>
        </row>
        <row r="528">
          <cell r="C528" t="str">
            <v>尚亚丽</v>
          </cell>
          <cell r="D528">
            <v>0</v>
          </cell>
          <cell r="E528">
            <v>29983</v>
          </cell>
          <cell r="F528" t="str">
            <v>411121198202013522</v>
          </cell>
        </row>
        <row r="529">
          <cell r="C529" t="str">
            <v>吕细贵</v>
          </cell>
          <cell r="D529">
            <v>0</v>
          </cell>
          <cell r="E529">
            <v>30402</v>
          </cell>
          <cell r="F529" t="str">
            <v>422127830327232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同区"/>
      <sheetName val="Raw date"/>
      <sheetName val="DTS data"/>
      <sheetName val="同批电芯PC"/>
      <sheetName val="IC"/>
      <sheetName val="DTS"/>
      <sheetName val="CellName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DEVICENO</v>
          </cell>
          <cell r="B1" t="str">
            <v>CELLNO</v>
          </cell>
          <cell r="C1" t="str">
            <v>CELLNAME</v>
          </cell>
          <cell r="D1" t="str">
            <v>BACKUPNO</v>
          </cell>
        </row>
        <row r="2">
          <cell r="A2">
            <v>1</v>
          </cell>
          <cell r="B2">
            <v>1</v>
          </cell>
          <cell r="C2" t="str">
            <v>805724140172</v>
          </cell>
          <cell r="D2" t="str">
            <v>398</v>
          </cell>
        </row>
        <row r="3">
          <cell r="A3">
            <v>1</v>
          </cell>
          <cell r="B3">
            <v>2</v>
          </cell>
          <cell r="C3" t="str">
            <v>805724060628</v>
          </cell>
          <cell r="D3" t="str">
            <v>397</v>
          </cell>
        </row>
        <row r="4">
          <cell r="A4">
            <v>1</v>
          </cell>
          <cell r="B4">
            <v>3</v>
          </cell>
          <cell r="C4" t="str">
            <v>805724090621</v>
          </cell>
          <cell r="D4" t="str">
            <v>393</v>
          </cell>
        </row>
        <row r="5">
          <cell r="A5">
            <v>1</v>
          </cell>
          <cell r="B5">
            <v>4</v>
          </cell>
          <cell r="C5" t="str">
            <v>805724025727</v>
          </cell>
          <cell r="D5" t="str">
            <v>398</v>
          </cell>
        </row>
        <row r="6">
          <cell r="A6">
            <v>1</v>
          </cell>
          <cell r="B6">
            <v>5</v>
          </cell>
          <cell r="C6">
            <v>805724024841</v>
          </cell>
          <cell r="D6" t="str">
            <v>396</v>
          </cell>
        </row>
        <row r="7">
          <cell r="A7">
            <v>1</v>
          </cell>
          <cell r="B7">
            <v>6</v>
          </cell>
          <cell r="C7" t="str">
            <v>805724026250</v>
          </cell>
          <cell r="D7" t="str">
            <v>392</v>
          </cell>
        </row>
        <row r="8">
          <cell r="A8">
            <v>1</v>
          </cell>
          <cell r="B8">
            <v>7</v>
          </cell>
          <cell r="C8" t="str">
            <v>805724092813</v>
          </cell>
          <cell r="D8" t="str">
            <v>395</v>
          </cell>
        </row>
        <row r="9">
          <cell r="A9">
            <v>1</v>
          </cell>
          <cell r="B9">
            <v>8</v>
          </cell>
          <cell r="C9" t="str">
            <v>805724144048</v>
          </cell>
          <cell r="D9" t="str">
            <v>389</v>
          </cell>
        </row>
        <row r="10">
          <cell r="A10">
            <v>1</v>
          </cell>
          <cell r="B10">
            <v>9</v>
          </cell>
          <cell r="C10" t="str">
            <v>805723559538</v>
          </cell>
          <cell r="D10" t="str">
            <v>395</v>
          </cell>
        </row>
        <row r="11">
          <cell r="A11">
            <v>1</v>
          </cell>
          <cell r="B11">
            <v>10</v>
          </cell>
          <cell r="C11" t="str">
            <v>805723559104</v>
          </cell>
          <cell r="D11" t="str">
            <v>57</v>
          </cell>
        </row>
        <row r="12">
          <cell r="A12">
            <v>1</v>
          </cell>
          <cell r="B12">
            <v>11</v>
          </cell>
          <cell r="C12" t="str">
            <v>805724024826</v>
          </cell>
          <cell r="D12" t="str">
            <v>382</v>
          </cell>
        </row>
        <row r="13">
          <cell r="A13">
            <v>1</v>
          </cell>
          <cell r="B13">
            <v>12</v>
          </cell>
          <cell r="C13" t="str">
            <v>805724090582</v>
          </cell>
          <cell r="D13" t="str">
            <v>396</v>
          </cell>
        </row>
        <row r="14">
          <cell r="A14">
            <v>1</v>
          </cell>
          <cell r="B14">
            <v>13</v>
          </cell>
          <cell r="C14" t="str">
            <v>805724090595</v>
          </cell>
          <cell r="D14" t="str">
            <v>397</v>
          </cell>
        </row>
        <row r="15">
          <cell r="A15">
            <v>1</v>
          </cell>
          <cell r="B15">
            <v>14</v>
          </cell>
          <cell r="C15" t="str">
            <v>805724019581</v>
          </cell>
          <cell r="D15" t="str">
            <v>397</v>
          </cell>
        </row>
        <row r="16">
          <cell r="A16">
            <v>1</v>
          </cell>
          <cell r="B16">
            <v>15</v>
          </cell>
          <cell r="C16" t="str">
            <v>805724058880</v>
          </cell>
          <cell r="D16" t="str">
            <v>389</v>
          </cell>
        </row>
        <row r="17">
          <cell r="A17">
            <v>1</v>
          </cell>
          <cell r="B17">
            <v>16</v>
          </cell>
          <cell r="C17" t="str">
            <v>805724070666</v>
          </cell>
          <cell r="D17" t="str">
            <v>391</v>
          </cell>
        </row>
        <row r="18">
          <cell r="A18">
            <v>1</v>
          </cell>
          <cell r="B18">
            <v>17</v>
          </cell>
          <cell r="C18" t="str">
            <v>805724019604</v>
          </cell>
          <cell r="D18" t="str">
            <v>391</v>
          </cell>
        </row>
        <row r="19">
          <cell r="A19">
            <v>1</v>
          </cell>
          <cell r="B19">
            <v>18</v>
          </cell>
          <cell r="D19" t="str">
            <v>0</v>
          </cell>
        </row>
        <row r="20">
          <cell r="A20">
            <v>1</v>
          </cell>
          <cell r="B20">
            <v>19</v>
          </cell>
          <cell r="C20" t="str">
            <v>805724027559</v>
          </cell>
          <cell r="D20" t="str">
            <v>393</v>
          </cell>
        </row>
        <row r="21">
          <cell r="A21">
            <v>1</v>
          </cell>
          <cell r="B21">
            <v>20</v>
          </cell>
          <cell r="D21" t="str">
            <v>0</v>
          </cell>
        </row>
        <row r="22">
          <cell r="A22">
            <v>1</v>
          </cell>
          <cell r="B22">
            <v>21</v>
          </cell>
          <cell r="C22" t="str">
            <v>805724027478</v>
          </cell>
          <cell r="D22" t="str">
            <v>389</v>
          </cell>
        </row>
        <row r="23">
          <cell r="A23">
            <v>1</v>
          </cell>
          <cell r="B23">
            <v>22</v>
          </cell>
          <cell r="C23" t="str">
            <v>805724028048</v>
          </cell>
          <cell r="D23" t="str">
            <v>390</v>
          </cell>
        </row>
        <row r="24">
          <cell r="A24">
            <v>1</v>
          </cell>
          <cell r="B24">
            <v>23</v>
          </cell>
          <cell r="C24" t="str">
            <v>805724144152</v>
          </cell>
          <cell r="D24" t="str">
            <v>390</v>
          </cell>
        </row>
        <row r="25">
          <cell r="A25">
            <v>1</v>
          </cell>
          <cell r="B25">
            <v>24</v>
          </cell>
          <cell r="C25" t="str">
            <v>805724089421</v>
          </cell>
          <cell r="D25" t="str">
            <v>395</v>
          </cell>
        </row>
        <row r="26">
          <cell r="A26">
            <v>1</v>
          </cell>
          <cell r="B26">
            <v>25</v>
          </cell>
          <cell r="C26" t="str">
            <v>805723564500</v>
          </cell>
          <cell r="D26" t="str">
            <v>392</v>
          </cell>
        </row>
        <row r="27">
          <cell r="A27">
            <v>1</v>
          </cell>
          <cell r="B27">
            <v>26</v>
          </cell>
          <cell r="C27" t="str">
            <v>805724091560</v>
          </cell>
          <cell r="D27" t="str">
            <v>396</v>
          </cell>
        </row>
        <row r="28">
          <cell r="A28">
            <v>1</v>
          </cell>
          <cell r="B28">
            <v>27</v>
          </cell>
          <cell r="C28" t="str">
            <v>805724088817</v>
          </cell>
          <cell r="D28" t="str">
            <v>392</v>
          </cell>
        </row>
        <row r="29">
          <cell r="A29">
            <v>1</v>
          </cell>
          <cell r="B29">
            <v>28</v>
          </cell>
          <cell r="C29" t="str">
            <v>805724092784</v>
          </cell>
          <cell r="D29" t="str">
            <v>396</v>
          </cell>
        </row>
        <row r="30">
          <cell r="A30">
            <v>1</v>
          </cell>
          <cell r="B30">
            <v>29</v>
          </cell>
          <cell r="C30" t="str">
            <v>805724071104</v>
          </cell>
          <cell r="D30" t="str">
            <v>394</v>
          </cell>
        </row>
        <row r="31">
          <cell r="A31">
            <v>1</v>
          </cell>
          <cell r="B31">
            <v>30</v>
          </cell>
          <cell r="C31" t="str">
            <v>805724028697</v>
          </cell>
          <cell r="D31" t="str">
            <v>395</v>
          </cell>
        </row>
        <row r="32">
          <cell r="A32">
            <v>1</v>
          </cell>
          <cell r="B32">
            <v>31</v>
          </cell>
          <cell r="C32" t="str">
            <v>805724026149</v>
          </cell>
          <cell r="D32" t="str">
            <v>394</v>
          </cell>
        </row>
        <row r="33">
          <cell r="A33">
            <v>1</v>
          </cell>
          <cell r="B33">
            <v>32</v>
          </cell>
          <cell r="C33" t="str">
            <v>805724026375</v>
          </cell>
          <cell r="D33" t="str">
            <v>390</v>
          </cell>
        </row>
        <row r="34">
          <cell r="A34">
            <v>1</v>
          </cell>
          <cell r="B34">
            <v>33</v>
          </cell>
          <cell r="C34" t="str">
            <v>805724089031</v>
          </cell>
          <cell r="D34" t="str">
            <v>384</v>
          </cell>
        </row>
        <row r="35">
          <cell r="A35">
            <v>1</v>
          </cell>
          <cell r="B35">
            <v>34</v>
          </cell>
          <cell r="C35" t="str">
            <v>805724067364</v>
          </cell>
          <cell r="D35" t="str">
            <v>395</v>
          </cell>
        </row>
        <row r="36">
          <cell r="A36">
            <v>1</v>
          </cell>
          <cell r="B36">
            <v>35</v>
          </cell>
          <cell r="C36" t="str">
            <v>805724019833</v>
          </cell>
          <cell r="D36" t="str">
            <v>393</v>
          </cell>
        </row>
        <row r="37">
          <cell r="A37">
            <v>1</v>
          </cell>
          <cell r="B37">
            <v>36</v>
          </cell>
          <cell r="C37" t="str">
            <v>805724023279</v>
          </cell>
          <cell r="D37" t="str">
            <v>393</v>
          </cell>
        </row>
        <row r="38">
          <cell r="A38">
            <v>1</v>
          </cell>
          <cell r="B38">
            <v>37</v>
          </cell>
          <cell r="C38" t="str">
            <v>805723601786</v>
          </cell>
          <cell r="D38" t="str">
            <v>394</v>
          </cell>
        </row>
        <row r="39">
          <cell r="A39">
            <v>1</v>
          </cell>
          <cell r="B39">
            <v>38</v>
          </cell>
          <cell r="C39" t="str">
            <v>805724017564</v>
          </cell>
          <cell r="D39" t="str">
            <v>391</v>
          </cell>
        </row>
        <row r="40">
          <cell r="A40">
            <v>1</v>
          </cell>
          <cell r="B40">
            <v>39</v>
          </cell>
          <cell r="C40" t="str">
            <v>805724025898</v>
          </cell>
          <cell r="D40" t="str">
            <v>393</v>
          </cell>
        </row>
        <row r="41">
          <cell r="A41">
            <v>1</v>
          </cell>
          <cell r="B41">
            <v>40</v>
          </cell>
          <cell r="C41" t="str">
            <v>805723602907</v>
          </cell>
          <cell r="D41" t="str">
            <v>393</v>
          </cell>
        </row>
        <row r="42">
          <cell r="A42">
            <v>1</v>
          </cell>
          <cell r="B42">
            <v>41</v>
          </cell>
          <cell r="C42" t="str">
            <v>805724089435</v>
          </cell>
          <cell r="D42" t="str">
            <v>392</v>
          </cell>
        </row>
        <row r="43">
          <cell r="A43">
            <v>1</v>
          </cell>
          <cell r="B43">
            <v>42</v>
          </cell>
          <cell r="C43" t="str">
            <v>805724071326</v>
          </cell>
          <cell r="D43" t="str">
            <v>392</v>
          </cell>
        </row>
        <row r="44">
          <cell r="A44">
            <v>1</v>
          </cell>
          <cell r="B44">
            <v>43</v>
          </cell>
          <cell r="C44" t="str">
            <v>805724027244</v>
          </cell>
          <cell r="D44" t="str">
            <v>391</v>
          </cell>
        </row>
        <row r="45">
          <cell r="A45">
            <v>1</v>
          </cell>
          <cell r="B45">
            <v>44</v>
          </cell>
          <cell r="C45" t="str">
            <v>805724018999</v>
          </cell>
          <cell r="D45" t="str">
            <v>396</v>
          </cell>
        </row>
        <row r="46">
          <cell r="A46">
            <v>1</v>
          </cell>
          <cell r="B46">
            <v>45</v>
          </cell>
          <cell r="C46" t="str">
            <v>805724018507</v>
          </cell>
          <cell r="D46" t="str">
            <v>393</v>
          </cell>
        </row>
        <row r="47">
          <cell r="A47">
            <v>1</v>
          </cell>
          <cell r="B47">
            <v>46</v>
          </cell>
          <cell r="C47" t="str">
            <v>805724144146</v>
          </cell>
          <cell r="D47" t="str">
            <v>393</v>
          </cell>
        </row>
        <row r="48">
          <cell r="A48">
            <v>1</v>
          </cell>
          <cell r="B48">
            <v>47</v>
          </cell>
          <cell r="C48" t="str">
            <v>805724021600</v>
          </cell>
          <cell r="D48" t="str">
            <v>394</v>
          </cell>
        </row>
        <row r="49">
          <cell r="A49">
            <v>1</v>
          </cell>
          <cell r="B49">
            <v>48</v>
          </cell>
          <cell r="C49" t="str">
            <v>805724027263</v>
          </cell>
          <cell r="D49" t="str">
            <v>393</v>
          </cell>
        </row>
        <row r="50">
          <cell r="A50">
            <v>1</v>
          </cell>
          <cell r="B50">
            <v>49</v>
          </cell>
          <cell r="C50" t="str">
            <v>805724028781</v>
          </cell>
          <cell r="D50" t="str">
            <v>394</v>
          </cell>
        </row>
        <row r="51">
          <cell r="A51">
            <v>1</v>
          </cell>
          <cell r="B51">
            <v>50</v>
          </cell>
          <cell r="C51" t="str">
            <v>805724067999</v>
          </cell>
          <cell r="D51" t="str">
            <v>388</v>
          </cell>
        </row>
        <row r="52">
          <cell r="A52">
            <v>1</v>
          </cell>
          <cell r="B52">
            <v>51</v>
          </cell>
          <cell r="C52" t="str">
            <v>805724017692</v>
          </cell>
          <cell r="D52" t="str">
            <v>391</v>
          </cell>
        </row>
        <row r="53">
          <cell r="A53">
            <v>1</v>
          </cell>
          <cell r="B53">
            <v>52</v>
          </cell>
          <cell r="C53" t="str">
            <v>805724028506</v>
          </cell>
          <cell r="D53" t="str">
            <v>394</v>
          </cell>
        </row>
        <row r="54">
          <cell r="A54">
            <v>1</v>
          </cell>
          <cell r="B54">
            <v>53</v>
          </cell>
          <cell r="C54" t="str">
            <v>805724085263</v>
          </cell>
          <cell r="D54" t="str">
            <v>387</v>
          </cell>
        </row>
        <row r="55">
          <cell r="A55">
            <v>1</v>
          </cell>
          <cell r="B55">
            <v>54</v>
          </cell>
          <cell r="C55" t="str">
            <v>805724015917</v>
          </cell>
          <cell r="D55" t="str">
            <v>392</v>
          </cell>
        </row>
        <row r="56">
          <cell r="A56">
            <v>1</v>
          </cell>
          <cell r="B56">
            <v>55</v>
          </cell>
          <cell r="C56" t="str">
            <v>805724024930</v>
          </cell>
          <cell r="D56" t="str">
            <v>393</v>
          </cell>
        </row>
        <row r="57">
          <cell r="A57">
            <v>1</v>
          </cell>
          <cell r="B57">
            <v>56</v>
          </cell>
          <cell r="C57" t="str">
            <v>805724028137</v>
          </cell>
          <cell r="D57" t="str">
            <v>391</v>
          </cell>
        </row>
        <row r="58">
          <cell r="A58">
            <v>1</v>
          </cell>
          <cell r="B58">
            <v>57</v>
          </cell>
          <cell r="C58" t="str">
            <v>805724016740</v>
          </cell>
          <cell r="D58" t="str">
            <v>394</v>
          </cell>
        </row>
        <row r="59">
          <cell r="A59">
            <v>1</v>
          </cell>
          <cell r="B59">
            <v>58</v>
          </cell>
          <cell r="C59" t="str">
            <v>805724092804</v>
          </cell>
          <cell r="D59" t="str">
            <v>393</v>
          </cell>
        </row>
        <row r="60">
          <cell r="A60">
            <v>1</v>
          </cell>
          <cell r="B60">
            <v>59</v>
          </cell>
          <cell r="C60" t="str">
            <v>805724085248</v>
          </cell>
          <cell r="D60" t="str">
            <v>395</v>
          </cell>
        </row>
        <row r="61">
          <cell r="A61">
            <v>1</v>
          </cell>
          <cell r="B61">
            <v>60</v>
          </cell>
          <cell r="C61" t="str">
            <v>805724070837</v>
          </cell>
          <cell r="D61" t="str">
            <v>388</v>
          </cell>
        </row>
        <row r="62">
          <cell r="A62">
            <v>1</v>
          </cell>
          <cell r="B62">
            <v>61</v>
          </cell>
          <cell r="C62" t="str">
            <v>805724012101</v>
          </cell>
          <cell r="D62" t="str">
            <v>396</v>
          </cell>
        </row>
        <row r="63">
          <cell r="A63">
            <v>1</v>
          </cell>
          <cell r="B63">
            <v>62</v>
          </cell>
          <cell r="C63" t="str">
            <v>805724088812</v>
          </cell>
          <cell r="D63" t="str">
            <v>394</v>
          </cell>
        </row>
        <row r="64">
          <cell r="A64">
            <v>1</v>
          </cell>
          <cell r="B64">
            <v>63</v>
          </cell>
          <cell r="C64" t="str">
            <v>805724049408</v>
          </cell>
          <cell r="D64" t="str">
            <v>391</v>
          </cell>
        </row>
        <row r="65">
          <cell r="A65">
            <v>1</v>
          </cell>
          <cell r="B65">
            <v>64</v>
          </cell>
          <cell r="C65" t="str">
            <v>805724019618</v>
          </cell>
          <cell r="D65" t="str">
            <v>397</v>
          </cell>
        </row>
        <row r="66">
          <cell r="A66">
            <v>1</v>
          </cell>
          <cell r="B66">
            <v>65</v>
          </cell>
          <cell r="C66" t="str">
            <v>805724059727</v>
          </cell>
          <cell r="D66" t="str">
            <v>2</v>
          </cell>
        </row>
        <row r="67">
          <cell r="A67">
            <v>1</v>
          </cell>
          <cell r="B67">
            <v>66</v>
          </cell>
          <cell r="C67" t="str">
            <v>805724011689</v>
          </cell>
          <cell r="D67" t="str">
            <v>394</v>
          </cell>
        </row>
        <row r="68">
          <cell r="A68">
            <v>1</v>
          </cell>
          <cell r="B68">
            <v>67</v>
          </cell>
          <cell r="C68" t="str">
            <v>805723565452</v>
          </cell>
          <cell r="D68" t="str">
            <v>392</v>
          </cell>
        </row>
        <row r="69">
          <cell r="A69">
            <v>1</v>
          </cell>
          <cell r="B69">
            <v>68</v>
          </cell>
          <cell r="C69" t="str">
            <v>805723607311</v>
          </cell>
          <cell r="D69" t="str">
            <v>394</v>
          </cell>
        </row>
        <row r="70">
          <cell r="A70">
            <v>1</v>
          </cell>
          <cell r="B70">
            <v>69</v>
          </cell>
          <cell r="C70" t="str">
            <v>805724058767</v>
          </cell>
          <cell r="D70" t="str">
            <v>388</v>
          </cell>
        </row>
        <row r="71">
          <cell r="A71">
            <v>1</v>
          </cell>
          <cell r="B71">
            <v>70</v>
          </cell>
          <cell r="C71" t="str">
            <v>805723570555</v>
          </cell>
          <cell r="D71" t="str">
            <v>395</v>
          </cell>
        </row>
        <row r="72">
          <cell r="A72">
            <v>1</v>
          </cell>
          <cell r="B72">
            <v>71</v>
          </cell>
          <cell r="C72" t="str">
            <v>805724071318</v>
          </cell>
          <cell r="D72" t="str">
            <v>396</v>
          </cell>
        </row>
        <row r="73">
          <cell r="A73">
            <v>1</v>
          </cell>
          <cell r="B73">
            <v>72</v>
          </cell>
          <cell r="C73" t="str">
            <v>805724019025</v>
          </cell>
          <cell r="D73" t="str">
            <v>391</v>
          </cell>
        </row>
        <row r="74">
          <cell r="A74">
            <v>1</v>
          </cell>
          <cell r="B74">
            <v>73</v>
          </cell>
          <cell r="C74" t="str">
            <v>805724049434</v>
          </cell>
          <cell r="D74" t="str">
            <v>393</v>
          </cell>
        </row>
        <row r="75">
          <cell r="A75">
            <v>1</v>
          </cell>
          <cell r="B75">
            <v>74</v>
          </cell>
          <cell r="C75" t="str">
            <v>805724088997</v>
          </cell>
          <cell r="D75" t="str">
            <v>398</v>
          </cell>
        </row>
        <row r="76">
          <cell r="A76">
            <v>1</v>
          </cell>
          <cell r="B76">
            <v>75</v>
          </cell>
          <cell r="C76" t="str">
            <v>805724071335</v>
          </cell>
          <cell r="D76" t="str">
            <v>392</v>
          </cell>
        </row>
        <row r="77">
          <cell r="A77">
            <v>1</v>
          </cell>
          <cell r="B77">
            <v>76</v>
          </cell>
          <cell r="C77" t="str">
            <v>805724027177</v>
          </cell>
          <cell r="D77" t="str">
            <v>391</v>
          </cell>
        </row>
        <row r="78">
          <cell r="A78">
            <v>1</v>
          </cell>
          <cell r="B78">
            <v>77</v>
          </cell>
          <cell r="C78" t="str">
            <v>805724029083</v>
          </cell>
          <cell r="D78" t="str">
            <v>394</v>
          </cell>
        </row>
        <row r="79">
          <cell r="A79">
            <v>1</v>
          </cell>
          <cell r="B79">
            <v>78</v>
          </cell>
          <cell r="C79" t="str">
            <v>805724029084</v>
          </cell>
          <cell r="D79" t="str">
            <v>392</v>
          </cell>
        </row>
        <row r="80">
          <cell r="A80">
            <v>1</v>
          </cell>
          <cell r="B80">
            <v>79</v>
          </cell>
          <cell r="C80" t="str">
            <v>805724017094</v>
          </cell>
          <cell r="D80" t="str">
            <v>392</v>
          </cell>
        </row>
        <row r="81">
          <cell r="A81">
            <v>1</v>
          </cell>
          <cell r="B81">
            <v>80</v>
          </cell>
          <cell r="C81" t="str">
            <v>805724024366</v>
          </cell>
          <cell r="D81" t="str">
            <v>397</v>
          </cell>
        </row>
        <row r="82">
          <cell r="A82">
            <v>1</v>
          </cell>
          <cell r="B82">
            <v>81</v>
          </cell>
          <cell r="C82" t="str">
            <v>805724017383</v>
          </cell>
          <cell r="D82" t="str">
            <v>386</v>
          </cell>
        </row>
        <row r="83">
          <cell r="A83">
            <v>1</v>
          </cell>
          <cell r="B83">
            <v>82</v>
          </cell>
          <cell r="C83" t="str">
            <v>805724027230</v>
          </cell>
          <cell r="D83" t="str">
            <v>388</v>
          </cell>
        </row>
        <row r="84">
          <cell r="A84">
            <v>1</v>
          </cell>
          <cell r="B84">
            <v>83</v>
          </cell>
          <cell r="C84" t="str">
            <v>805724143221</v>
          </cell>
          <cell r="D84" t="str">
            <v>386</v>
          </cell>
        </row>
        <row r="85">
          <cell r="A85">
            <v>1</v>
          </cell>
          <cell r="B85">
            <v>84</v>
          </cell>
          <cell r="C85" t="str">
            <v>805724008889</v>
          </cell>
          <cell r="D85" t="str">
            <v>384</v>
          </cell>
        </row>
        <row r="86">
          <cell r="A86">
            <v>1</v>
          </cell>
          <cell r="B86">
            <v>85</v>
          </cell>
          <cell r="C86" t="str">
            <v>805723601698</v>
          </cell>
          <cell r="D86" t="str">
            <v>385</v>
          </cell>
        </row>
        <row r="87">
          <cell r="A87">
            <v>1</v>
          </cell>
          <cell r="B87">
            <v>86</v>
          </cell>
          <cell r="C87" t="str">
            <v>805724066696</v>
          </cell>
          <cell r="D87" t="str">
            <v>387</v>
          </cell>
        </row>
        <row r="88">
          <cell r="A88">
            <v>1</v>
          </cell>
          <cell r="B88">
            <v>87</v>
          </cell>
          <cell r="C88" t="str">
            <v>805724024788</v>
          </cell>
          <cell r="D88" t="str">
            <v>387</v>
          </cell>
        </row>
        <row r="89">
          <cell r="A89">
            <v>1</v>
          </cell>
          <cell r="B89">
            <v>88</v>
          </cell>
          <cell r="C89" t="str">
            <v>805724027809</v>
          </cell>
          <cell r="D89" t="str">
            <v>391</v>
          </cell>
        </row>
        <row r="90">
          <cell r="A90">
            <v>1</v>
          </cell>
          <cell r="B90">
            <v>89</v>
          </cell>
          <cell r="C90" t="str">
            <v>805723602666</v>
          </cell>
          <cell r="D90" t="str">
            <v>389</v>
          </cell>
        </row>
        <row r="91">
          <cell r="A91">
            <v>1</v>
          </cell>
          <cell r="B91">
            <v>90</v>
          </cell>
          <cell r="C91" t="str">
            <v>805723571124</v>
          </cell>
          <cell r="D91" t="str">
            <v>436</v>
          </cell>
        </row>
        <row r="92">
          <cell r="A92">
            <v>1</v>
          </cell>
          <cell r="B92">
            <v>91</v>
          </cell>
          <cell r="C92" t="str">
            <v>805723652268</v>
          </cell>
          <cell r="D92" t="str">
            <v>386</v>
          </cell>
        </row>
        <row r="93">
          <cell r="A93">
            <v>1</v>
          </cell>
          <cell r="B93">
            <v>92</v>
          </cell>
          <cell r="C93" t="str">
            <v>805723604781</v>
          </cell>
          <cell r="D93" t="str">
            <v>395</v>
          </cell>
        </row>
        <row r="94">
          <cell r="A94">
            <v>1</v>
          </cell>
          <cell r="B94">
            <v>93</v>
          </cell>
          <cell r="C94" t="str">
            <v>805724027619</v>
          </cell>
          <cell r="D94" t="str">
            <v>392</v>
          </cell>
        </row>
        <row r="95">
          <cell r="A95">
            <v>1</v>
          </cell>
          <cell r="B95">
            <v>94</v>
          </cell>
          <cell r="C95" t="str">
            <v>805724021535</v>
          </cell>
          <cell r="D95" t="str">
            <v>399</v>
          </cell>
        </row>
        <row r="96">
          <cell r="A96">
            <v>1</v>
          </cell>
          <cell r="B96">
            <v>95</v>
          </cell>
          <cell r="C96" t="str">
            <v>805723607131</v>
          </cell>
          <cell r="D96" t="str">
            <v>389</v>
          </cell>
        </row>
        <row r="97">
          <cell r="A97">
            <v>1</v>
          </cell>
          <cell r="B97">
            <v>96</v>
          </cell>
          <cell r="C97" t="str">
            <v>805723606263</v>
          </cell>
          <cell r="D97" t="str">
            <v>385</v>
          </cell>
        </row>
        <row r="98">
          <cell r="A98">
            <v>1</v>
          </cell>
          <cell r="B98">
            <v>97</v>
          </cell>
          <cell r="C98" t="str">
            <v>805724024996</v>
          </cell>
          <cell r="D98" t="str">
            <v>395</v>
          </cell>
        </row>
        <row r="99">
          <cell r="A99">
            <v>1</v>
          </cell>
          <cell r="B99">
            <v>98</v>
          </cell>
          <cell r="C99" t="str">
            <v>805724025162</v>
          </cell>
          <cell r="D99" t="str">
            <v>395</v>
          </cell>
        </row>
        <row r="100">
          <cell r="A100">
            <v>1</v>
          </cell>
          <cell r="B100">
            <v>99</v>
          </cell>
          <cell r="C100" t="str">
            <v>805723653831</v>
          </cell>
          <cell r="D100" t="str">
            <v>392</v>
          </cell>
        </row>
        <row r="101">
          <cell r="A101">
            <v>1</v>
          </cell>
          <cell r="B101">
            <v>100</v>
          </cell>
          <cell r="C101" t="str">
            <v>805724017100</v>
          </cell>
          <cell r="D101" t="str">
            <v>390</v>
          </cell>
        </row>
        <row r="102">
          <cell r="A102">
            <v>1</v>
          </cell>
          <cell r="B102">
            <v>101</v>
          </cell>
          <cell r="C102" t="str">
            <v>805723605023</v>
          </cell>
          <cell r="D102" t="str">
            <v>391</v>
          </cell>
        </row>
        <row r="103">
          <cell r="A103">
            <v>1</v>
          </cell>
          <cell r="B103">
            <v>102</v>
          </cell>
          <cell r="C103" t="str">
            <v>805723526735</v>
          </cell>
          <cell r="D103" t="str">
            <v>391</v>
          </cell>
        </row>
        <row r="104">
          <cell r="A104">
            <v>1</v>
          </cell>
          <cell r="B104">
            <v>103</v>
          </cell>
          <cell r="C104" t="str">
            <v>805724025317</v>
          </cell>
          <cell r="D104" t="str">
            <v>391</v>
          </cell>
        </row>
        <row r="105">
          <cell r="A105">
            <v>1</v>
          </cell>
          <cell r="B105">
            <v>104</v>
          </cell>
          <cell r="C105" t="str">
            <v>805724084743</v>
          </cell>
          <cell r="D105" t="str">
            <v>430</v>
          </cell>
        </row>
        <row r="106">
          <cell r="A106">
            <v>1</v>
          </cell>
          <cell r="B106">
            <v>105</v>
          </cell>
          <cell r="C106" t="str">
            <v>805723525890</v>
          </cell>
          <cell r="D106" t="str">
            <v>388</v>
          </cell>
        </row>
        <row r="107">
          <cell r="A107">
            <v>1</v>
          </cell>
          <cell r="B107">
            <v>106</v>
          </cell>
          <cell r="D107" t="str">
            <v>0</v>
          </cell>
        </row>
        <row r="108">
          <cell r="A108">
            <v>1</v>
          </cell>
          <cell r="B108">
            <v>107</v>
          </cell>
          <cell r="C108" t="str">
            <v>805723525880</v>
          </cell>
          <cell r="D108" t="str">
            <v>393</v>
          </cell>
        </row>
        <row r="109">
          <cell r="A109">
            <v>1</v>
          </cell>
          <cell r="B109">
            <v>108</v>
          </cell>
          <cell r="C109" t="str">
            <v>805724089062</v>
          </cell>
          <cell r="D109" t="str">
            <v>393</v>
          </cell>
        </row>
        <row r="110">
          <cell r="A110">
            <v>1</v>
          </cell>
          <cell r="B110">
            <v>109</v>
          </cell>
          <cell r="C110" t="str">
            <v>805724027623</v>
          </cell>
          <cell r="D110" t="str">
            <v>391</v>
          </cell>
        </row>
        <row r="111">
          <cell r="A111">
            <v>1</v>
          </cell>
          <cell r="B111">
            <v>110</v>
          </cell>
          <cell r="C111" t="str">
            <v>805724071417</v>
          </cell>
          <cell r="D111" t="str">
            <v>391</v>
          </cell>
        </row>
        <row r="112">
          <cell r="A112">
            <v>1</v>
          </cell>
          <cell r="B112">
            <v>111</v>
          </cell>
          <cell r="C112" t="str">
            <v>805723612558</v>
          </cell>
          <cell r="D112" t="str">
            <v>389</v>
          </cell>
        </row>
        <row r="113">
          <cell r="A113">
            <v>1</v>
          </cell>
          <cell r="B113">
            <v>112</v>
          </cell>
          <cell r="C113" t="str">
            <v>805724025836</v>
          </cell>
          <cell r="D113" t="str">
            <v>391</v>
          </cell>
        </row>
        <row r="114">
          <cell r="A114">
            <v>1</v>
          </cell>
          <cell r="B114">
            <v>113</v>
          </cell>
          <cell r="C114" t="str">
            <v>805724143212</v>
          </cell>
          <cell r="D114" t="str">
            <v>389</v>
          </cell>
        </row>
        <row r="115">
          <cell r="A115">
            <v>1</v>
          </cell>
          <cell r="B115">
            <v>114</v>
          </cell>
          <cell r="C115" t="str">
            <v>805723571166</v>
          </cell>
          <cell r="D115" t="str">
            <v>392</v>
          </cell>
        </row>
        <row r="116">
          <cell r="A116">
            <v>1</v>
          </cell>
          <cell r="B116">
            <v>115</v>
          </cell>
          <cell r="C116" t="str">
            <v>805724028460</v>
          </cell>
          <cell r="D116" t="str">
            <v>389</v>
          </cell>
        </row>
        <row r="117">
          <cell r="A117">
            <v>1</v>
          </cell>
          <cell r="B117">
            <v>116</v>
          </cell>
          <cell r="C117" t="str">
            <v>805724025434</v>
          </cell>
          <cell r="D117" t="str">
            <v>390</v>
          </cell>
        </row>
        <row r="118">
          <cell r="A118">
            <v>1</v>
          </cell>
          <cell r="B118">
            <v>117</v>
          </cell>
          <cell r="C118" t="str">
            <v>805724025894</v>
          </cell>
          <cell r="D118" t="str">
            <v>391</v>
          </cell>
        </row>
        <row r="119">
          <cell r="A119">
            <v>1</v>
          </cell>
          <cell r="B119">
            <v>118</v>
          </cell>
          <cell r="C119" t="str">
            <v>805724086139</v>
          </cell>
          <cell r="D119" t="str">
            <v>392</v>
          </cell>
        </row>
        <row r="120">
          <cell r="A120">
            <v>1</v>
          </cell>
          <cell r="B120">
            <v>119</v>
          </cell>
          <cell r="C120" t="str">
            <v>805724026297</v>
          </cell>
          <cell r="D120" t="str">
            <v>394</v>
          </cell>
        </row>
        <row r="121">
          <cell r="A121">
            <v>1</v>
          </cell>
          <cell r="B121">
            <v>120</v>
          </cell>
          <cell r="C121" t="str">
            <v>805724086279</v>
          </cell>
          <cell r="D121" t="str">
            <v>392</v>
          </cell>
        </row>
        <row r="122">
          <cell r="A122">
            <v>1</v>
          </cell>
          <cell r="B122">
            <v>121</v>
          </cell>
          <cell r="C122" t="str">
            <v>805723604537</v>
          </cell>
          <cell r="D122" t="str">
            <v>392</v>
          </cell>
        </row>
        <row r="123">
          <cell r="A123">
            <v>1</v>
          </cell>
          <cell r="B123">
            <v>122</v>
          </cell>
          <cell r="C123" t="str">
            <v>805723653725</v>
          </cell>
          <cell r="D123" t="str">
            <v>387</v>
          </cell>
        </row>
        <row r="124">
          <cell r="A124">
            <v>1</v>
          </cell>
          <cell r="B124">
            <v>123</v>
          </cell>
          <cell r="C124" t="str">
            <v>805723571564</v>
          </cell>
          <cell r="D124" t="str">
            <v>390</v>
          </cell>
        </row>
        <row r="125">
          <cell r="A125">
            <v>1</v>
          </cell>
          <cell r="B125">
            <v>124</v>
          </cell>
          <cell r="C125" t="str">
            <v>805723571595</v>
          </cell>
          <cell r="D125" t="str">
            <v>387</v>
          </cell>
        </row>
        <row r="126">
          <cell r="A126">
            <v>1</v>
          </cell>
          <cell r="B126">
            <v>125</v>
          </cell>
          <cell r="C126" t="str">
            <v>805724027330</v>
          </cell>
          <cell r="D126" t="str">
            <v>393</v>
          </cell>
        </row>
        <row r="127">
          <cell r="A127">
            <v>1</v>
          </cell>
          <cell r="B127">
            <v>126</v>
          </cell>
          <cell r="C127" t="str">
            <v>805724027333</v>
          </cell>
          <cell r="D127" t="str">
            <v>392</v>
          </cell>
        </row>
        <row r="128">
          <cell r="A128">
            <v>1</v>
          </cell>
          <cell r="B128">
            <v>127</v>
          </cell>
          <cell r="C128" t="str">
            <v>805723650497</v>
          </cell>
          <cell r="D128" t="str">
            <v>393</v>
          </cell>
        </row>
        <row r="129">
          <cell r="A129">
            <v>1</v>
          </cell>
          <cell r="B129">
            <v>128</v>
          </cell>
          <cell r="C129" t="str">
            <v>805724018709</v>
          </cell>
          <cell r="D129" t="str">
            <v>393</v>
          </cell>
        </row>
        <row r="130">
          <cell r="A130">
            <v>2</v>
          </cell>
          <cell r="B130">
            <v>1</v>
          </cell>
          <cell r="C130" t="str">
            <v>805724017531</v>
          </cell>
          <cell r="D130" t="str">
            <v>245</v>
          </cell>
        </row>
        <row r="131">
          <cell r="A131">
            <v>2</v>
          </cell>
          <cell r="B131">
            <v>2</v>
          </cell>
          <cell r="C131" t="str">
            <v>805724017091</v>
          </cell>
          <cell r="D131" t="str">
            <v>374</v>
          </cell>
        </row>
        <row r="132">
          <cell r="A132">
            <v>2</v>
          </cell>
          <cell r="B132">
            <v>3</v>
          </cell>
          <cell r="C132" t="str">
            <v>805724015827</v>
          </cell>
          <cell r="D132" t="str">
            <v>393</v>
          </cell>
        </row>
        <row r="133">
          <cell r="A133">
            <v>2</v>
          </cell>
          <cell r="B133">
            <v>4</v>
          </cell>
          <cell r="C133" t="str">
            <v>805724016782</v>
          </cell>
          <cell r="D133" t="str">
            <v>393</v>
          </cell>
        </row>
        <row r="134">
          <cell r="A134">
            <v>2</v>
          </cell>
          <cell r="B134">
            <v>5</v>
          </cell>
          <cell r="C134" t="str">
            <v>805724027808</v>
          </cell>
          <cell r="D134" t="str">
            <v>396</v>
          </cell>
        </row>
        <row r="135">
          <cell r="A135">
            <v>2</v>
          </cell>
          <cell r="B135">
            <v>6</v>
          </cell>
          <cell r="C135" t="str">
            <v>805724028259</v>
          </cell>
          <cell r="D135" t="str">
            <v>385</v>
          </cell>
        </row>
        <row r="136">
          <cell r="A136">
            <v>2</v>
          </cell>
          <cell r="B136">
            <v>7</v>
          </cell>
          <cell r="C136" t="str">
            <v>805724024783</v>
          </cell>
          <cell r="D136" t="str">
            <v>393</v>
          </cell>
        </row>
        <row r="137">
          <cell r="A137">
            <v>2</v>
          </cell>
          <cell r="B137">
            <v>8</v>
          </cell>
          <cell r="C137" t="str">
            <v>805724026319</v>
          </cell>
          <cell r="D137" t="str">
            <v>394</v>
          </cell>
        </row>
        <row r="138">
          <cell r="A138">
            <v>2</v>
          </cell>
          <cell r="B138">
            <v>9</v>
          </cell>
          <cell r="C138" t="str">
            <v>805723602380</v>
          </cell>
          <cell r="D138" t="str">
            <v>391</v>
          </cell>
        </row>
        <row r="139">
          <cell r="A139">
            <v>2</v>
          </cell>
          <cell r="B139">
            <v>10</v>
          </cell>
          <cell r="C139" t="str">
            <v>805724018690</v>
          </cell>
          <cell r="D139" t="str">
            <v>397</v>
          </cell>
        </row>
        <row r="140">
          <cell r="A140">
            <v>2</v>
          </cell>
          <cell r="B140">
            <v>11</v>
          </cell>
          <cell r="C140" t="str">
            <v>805723652687</v>
          </cell>
          <cell r="D140" t="str">
            <v>393</v>
          </cell>
        </row>
        <row r="141">
          <cell r="A141">
            <v>2</v>
          </cell>
          <cell r="B141">
            <v>12</v>
          </cell>
          <cell r="C141" t="str">
            <v>805724070840</v>
          </cell>
          <cell r="D141" t="str">
            <v>55</v>
          </cell>
        </row>
        <row r="142">
          <cell r="A142">
            <v>2</v>
          </cell>
          <cell r="B142">
            <v>13</v>
          </cell>
          <cell r="C142" t="str">
            <v>805724067105</v>
          </cell>
          <cell r="D142" t="str">
            <v>396</v>
          </cell>
        </row>
        <row r="143">
          <cell r="A143">
            <v>2</v>
          </cell>
          <cell r="B143">
            <v>14</v>
          </cell>
          <cell r="C143" t="str">
            <v>805724049820</v>
          </cell>
          <cell r="D143" t="str">
            <v>393</v>
          </cell>
        </row>
        <row r="144">
          <cell r="A144">
            <v>2</v>
          </cell>
          <cell r="B144">
            <v>15</v>
          </cell>
          <cell r="C144" t="str">
            <v>805723569894</v>
          </cell>
          <cell r="D144" t="str">
            <v>391</v>
          </cell>
        </row>
        <row r="145">
          <cell r="A145">
            <v>2</v>
          </cell>
          <cell r="B145">
            <v>16</v>
          </cell>
          <cell r="C145" t="str">
            <v>805724001063</v>
          </cell>
          <cell r="D145" t="str">
            <v>394</v>
          </cell>
        </row>
        <row r="146">
          <cell r="A146">
            <v>2</v>
          </cell>
          <cell r="B146">
            <v>17</v>
          </cell>
          <cell r="C146" t="str">
            <v>805724028396</v>
          </cell>
          <cell r="D146" t="str">
            <v>396</v>
          </cell>
        </row>
        <row r="147">
          <cell r="A147">
            <v>2</v>
          </cell>
          <cell r="B147">
            <v>18</v>
          </cell>
          <cell r="C147" t="str">
            <v>805724019808</v>
          </cell>
          <cell r="D147" t="str">
            <v>394</v>
          </cell>
        </row>
        <row r="148">
          <cell r="A148">
            <v>2</v>
          </cell>
          <cell r="B148">
            <v>19</v>
          </cell>
          <cell r="C148" t="str">
            <v>805724023293</v>
          </cell>
          <cell r="D148" t="str">
            <v>394</v>
          </cell>
        </row>
        <row r="149">
          <cell r="A149">
            <v>2</v>
          </cell>
          <cell r="B149">
            <v>20</v>
          </cell>
          <cell r="C149" t="str">
            <v>805724066767</v>
          </cell>
          <cell r="D149" t="str">
            <v>2</v>
          </cell>
        </row>
        <row r="150">
          <cell r="A150">
            <v>2</v>
          </cell>
          <cell r="B150">
            <v>21</v>
          </cell>
          <cell r="C150" t="str">
            <v>805724014111</v>
          </cell>
          <cell r="D150" t="str">
            <v>394</v>
          </cell>
        </row>
        <row r="151">
          <cell r="A151">
            <v>2</v>
          </cell>
          <cell r="B151">
            <v>22</v>
          </cell>
          <cell r="C151" t="str">
            <v>805724024923</v>
          </cell>
          <cell r="D151" t="str">
            <v>394</v>
          </cell>
        </row>
        <row r="152">
          <cell r="A152">
            <v>2</v>
          </cell>
          <cell r="B152">
            <v>23</v>
          </cell>
          <cell r="C152" t="str">
            <v>805723570352</v>
          </cell>
          <cell r="D152" t="str">
            <v>392</v>
          </cell>
        </row>
        <row r="153">
          <cell r="A153">
            <v>2</v>
          </cell>
          <cell r="B153">
            <v>24</v>
          </cell>
          <cell r="C153" t="str">
            <v>805724059888</v>
          </cell>
          <cell r="D153" t="str">
            <v>395</v>
          </cell>
        </row>
        <row r="154">
          <cell r="A154">
            <v>2</v>
          </cell>
          <cell r="B154">
            <v>25</v>
          </cell>
          <cell r="C154" t="str">
            <v>805723604117</v>
          </cell>
          <cell r="D154" t="str">
            <v>393</v>
          </cell>
        </row>
        <row r="155">
          <cell r="A155">
            <v>2</v>
          </cell>
          <cell r="B155">
            <v>26</v>
          </cell>
          <cell r="C155" t="str">
            <v>805724061513</v>
          </cell>
          <cell r="D155" t="str">
            <v>396</v>
          </cell>
        </row>
        <row r="156">
          <cell r="A156">
            <v>2</v>
          </cell>
          <cell r="B156">
            <v>27</v>
          </cell>
          <cell r="C156" t="str">
            <v>805723527872</v>
          </cell>
          <cell r="D156" t="str">
            <v>392</v>
          </cell>
        </row>
        <row r="157">
          <cell r="A157">
            <v>2</v>
          </cell>
          <cell r="B157">
            <v>28</v>
          </cell>
          <cell r="C157" t="str">
            <v>805724071533</v>
          </cell>
          <cell r="D157" t="str">
            <v>395</v>
          </cell>
        </row>
        <row r="158">
          <cell r="A158">
            <v>2</v>
          </cell>
          <cell r="B158">
            <v>29</v>
          </cell>
          <cell r="C158" t="str">
            <v>805724071526</v>
          </cell>
          <cell r="D158" t="str">
            <v>396</v>
          </cell>
        </row>
        <row r="159">
          <cell r="A159">
            <v>2</v>
          </cell>
          <cell r="B159">
            <v>30</v>
          </cell>
          <cell r="C159" t="str">
            <v>805724024855</v>
          </cell>
          <cell r="D159" t="str">
            <v>394</v>
          </cell>
        </row>
        <row r="160">
          <cell r="A160">
            <v>2</v>
          </cell>
          <cell r="B160">
            <v>31</v>
          </cell>
          <cell r="C160" t="str">
            <v>805724088644</v>
          </cell>
          <cell r="D160" t="str">
            <v>393</v>
          </cell>
        </row>
        <row r="161">
          <cell r="A161">
            <v>2</v>
          </cell>
          <cell r="B161">
            <v>32</v>
          </cell>
          <cell r="C161" t="str">
            <v>805724071520</v>
          </cell>
          <cell r="D161" t="str">
            <v>396</v>
          </cell>
        </row>
        <row r="162">
          <cell r="A162">
            <v>2</v>
          </cell>
          <cell r="B162">
            <v>33</v>
          </cell>
          <cell r="C162" t="str">
            <v>805724018783</v>
          </cell>
          <cell r="D162" t="str">
            <v>387</v>
          </cell>
        </row>
        <row r="163">
          <cell r="A163">
            <v>2</v>
          </cell>
          <cell r="B163">
            <v>34</v>
          </cell>
          <cell r="C163" t="str">
            <v>805724025734</v>
          </cell>
          <cell r="D163" t="str">
            <v>396</v>
          </cell>
        </row>
        <row r="164">
          <cell r="A164">
            <v>2</v>
          </cell>
          <cell r="B164">
            <v>35</v>
          </cell>
          <cell r="C164" t="str">
            <v>805724143240</v>
          </cell>
          <cell r="D164" t="str">
            <v>394</v>
          </cell>
        </row>
        <row r="165">
          <cell r="A165">
            <v>2</v>
          </cell>
          <cell r="B165">
            <v>36</v>
          </cell>
          <cell r="C165" t="str">
            <v>805724025886</v>
          </cell>
          <cell r="D165" t="str">
            <v>395</v>
          </cell>
        </row>
        <row r="166">
          <cell r="A166">
            <v>2</v>
          </cell>
          <cell r="B166">
            <v>37</v>
          </cell>
          <cell r="C166" t="str">
            <v>805724027525</v>
          </cell>
          <cell r="D166" t="str">
            <v>397</v>
          </cell>
        </row>
        <row r="167">
          <cell r="A167">
            <v>2</v>
          </cell>
          <cell r="B167">
            <v>38</v>
          </cell>
          <cell r="C167" t="str">
            <v>805724067823</v>
          </cell>
          <cell r="D167" t="str">
            <v>390</v>
          </cell>
        </row>
        <row r="168">
          <cell r="A168">
            <v>2</v>
          </cell>
          <cell r="B168">
            <v>39</v>
          </cell>
          <cell r="C168" t="str">
            <v>805724023277</v>
          </cell>
          <cell r="D168" t="str">
            <v>392</v>
          </cell>
        </row>
        <row r="169">
          <cell r="A169">
            <v>2</v>
          </cell>
          <cell r="B169">
            <v>40</v>
          </cell>
          <cell r="C169" t="str">
            <v>805724025721</v>
          </cell>
          <cell r="D169" t="str">
            <v>395</v>
          </cell>
        </row>
        <row r="170">
          <cell r="A170">
            <v>2</v>
          </cell>
          <cell r="B170">
            <v>41</v>
          </cell>
          <cell r="C170" t="str">
            <v>805723571130</v>
          </cell>
          <cell r="D170" t="str">
            <v>391</v>
          </cell>
        </row>
        <row r="171">
          <cell r="A171">
            <v>2</v>
          </cell>
          <cell r="B171">
            <v>42</v>
          </cell>
          <cell r="C171" t="str">
            <v>805723526014</v>
          </cell>
          <cell r="D171" t="str">
            <v>394</v>
          </cell>
        </row>
        <row r="172">
          <cell r="A172">
            <v>2</v>
          </cell>
          <cell r="B172">
            <v>43</v>
          </cell>
          <cell r="C172" t="str">
            <v>805723571126</v>
          </cell>
          <cell r="D172" t="str">
            <v>392</v>
          </cell>
        </row>
        <row r="173">
          <cell r="A173">
            <v>2</v>
          </cell>
          <cell r="B173">
            <v>44</v>
          </cell>
          <cell r="C173" t="str">
            <v>805723601432</v>
          </cell>
          <cell r="D173" t="str">
            <v>393</v>
          </cell>
        </row>
        <row r="174">
          <cell r="A174">
            <v>2</v>
          </cell>
          <cell r="B174">
            <v>45</v>
          </cell>
          <cell r="C174" t="str">
            <v>805723611040</v>
          </cell>
          <cell r="D174" t="str">
            <v>395</v>
          </cell>
        </row>
        <row r="175">
          <cell r="A175">
            <v>2</v>
          </cell>
          <cell r="B175">
            <v>46</v>
          </cell>
          <cell r="C175" t="str">
            <v>805724017380</v>
          </cell>
          <cell r="D175" t="str">
            <v>395</v>
          </cell>
        </row>
        <row r="176">
          <cell r="A176">
            <v>2</v>
          </cell>
          <cell r="B176">
            <v>47</v>
          </cell>
          <cell r="C176" t="str">
            <v>805723522837</v>
          </cell>
          <cell r="D176" t="str">
            <v>391</v>
          </cell>
        </row>
        <row r="177">
          <cell r="A177">
            <v>2</v>
          </cell>
          <cell r="B177">
            <v>48</v>
          </cell>
          <cell r="C177" t="str">
            <v>805724089290</v>
          </cell>
          <cell r="D177" t="str">
            <v>392</v>
          </cell>
        </row>
        <row r="178">
          <cell r="A178">
            <v>2</v>
          </cell>
          <cell r="B178">
            <v>49</v>
          </cell>
          <cell r="C178" t="str">
            <v>805723414412</v>
          </cell>
          <cell r="D178" t="str">
            <v>395</v>
          </cell>
        </row>
        <row r="179">
          <cell r="A179">
            <v>2</v>
          </cell>
          <cell r="B179">
            <v>50</v>
          </cell>
          <cell r="C179" t="str">
            <v>805723653590</v>
          </cell>
          <cell r="D179" t="str">
            <v>395</v>
          </cell>
        </row>
        <row r="180">
          <cell r="A180">
            <v>2</v>
          </cell>
          <cell r="B180">
            <v>51</v>
          </cell>
          <cell r="C180" t="str">
            <v>805724024917</v>
          </cell>
          <cell r="D180" t="str">
            <v>396</v>
          </cell>
        </row>
        <row r="181">
          <cell r="A181">
            <v>2</v>
          </cell>
          <cell r="B181">
            <v>52</v>
          </cell>
          <cell r="C181" t="str">
            <v>805724025163</v>
          </cell>
          <cell r="D181" t="str">
            <v>55</v>
          </cell>
        </row>
        <row r="182">
          <cell r="A182">
            <v>2</v>
          </cell>
          <cell r="B182">
            <v>53</v>
          </cell>
          <cell r="C182" t="str">
            <v>805724019855</v>
          </cell>
          <cell r="D182" t="str">
            <v>58</v>
          </cell>
        </row>
        <row r="183">
          <cell r="A183">
            <v>2</v>
          </cell>
          <cell r="B183">
            <v>54</v>
          </cell>
          <cell r="C183" t="str">
            <v>805724088980</v>
          </cell>
          <cell r="D183" t="str">
            <v>395</v>
          </cell>
        </row>
        <row r="184">
          <cell r="A184">
            <v>2</v>
          </cell>
          <cell r="B184">
            <v>55</v>
          </cell>
          <cell r="C184" t="str">
            <v>805724068036</v>
          </cell>
          <cell r="D184" t="str">
            <v>393</v>
          </cell>
        </row>
        <row r="185">
          <cell r="A185">
            <v>2</v>
          </cell>
          <cell r="B185">
            <v>56</v>
          </cell>
          <cell r="C185" t="str">
            <v>805724071490</v>
          </cell>
          <cell r="D185" t="str">
            <v>393</v>
          </cell>
        </row>
        <row r="186">
          <cell r="A186">
            <v>2</v>
          </cell>
          <cell r="B186">
            <v>57</v>
          </cell>
          <cell r="C186" t="str">
            <v>805723571704</v>
          </cell>
          <cell r="D186" t="str">
            <v>394</v>
          </cell>
        </row>
        <row r="187">
          <cell r="A187">
            <v>2</v>
          </cell>
          <cell r="B187">
            <v>58</v>
          </cell>
          <cell r="C187" t="str">
            <v>805723571562</v>
          </cell>
          <cell r="D187" t="str">
            <v>391</v>
          </cell>
        </row>
        <row r="188">
          <cell r="A188">
            <v>2</v>
          </cell>
          <cell r="B188">
            <v>59</v>
          </cell>
          <cell r="C188" t="str">
            <v>805723602374</v>
          </cell>
          <cell r="D188" t="str">
            <v>397</v>
          </cell>
        </row>
        <row r="189">
          <cell r="A189">
            <v>2</v>
          </cell>
          <cell r="B189">
            <v>60</v>
          </cell>
          <cell r="C189" t="str">
            <v>805723604120</v>
          </cell>
          <cell r="D189" t="str">
            <v>392</v>
          </cell>
        </row>
        <row r="190">
          <cell r="A190">
            <v>2</v>
          </cell>
          <cell r="B190">
            <v>61</v>
          </cell>
          <cell r="C190" t="str">
            <v>805723605025</v>
          </cell>
          <cell r="D190" t="str">
            <v>395</v>
          </cell>
        </row>
        <row r="191">
          <cell r="A191">
            <v>2</v>
          </cell>
          <cell r="B191">
            <v>62</v>
          </cell>
          <cell r="C191" t="str">
            <v>805724027174</v>
          </cell>
          <cell r="D191" t="str">
            <v>395</v>
          </cell>
        </row>
        <row r="192">
          <cell r="A192">
            <v>2</v>
          </cell>
          <cell r="B192">
            <v>63</v>
          </cell>
          <cell r="C192" t="str">
            <v>805723566682</v>
          </cell>
          <cell r="D192" t="str">
            <v>384</v>
          </cell>
        </row>
        <row r="193">
          <cell r="A193">
            <v>2</v>
          </cell>
          <cell r="B193">
            <v>64</v>
          </cell>
          <cell r="C193" t="str">
            <v>805723644065</v>
          </cell>
          <cell r="D193" t="str">
            <v>397</v>
          </cell>
        </row>
        <row r="194">
          <cell r="A194">
            <v>2</v>
          </cell>
          <cell r="B194">
            <v>65</v>
          </cell>
          <cell r="C194" t="str">
            <v>805724089444</v>
          </cell>
          <cell r="D194" t="str">
            <v>35</v>
          </cell>
        </row>
        <row r="195">
          <cell r="A195">
            <v>2</v>
          </cell>
          <cell r="B195">
            <v>66</v>
          </cell>
          <cell r="C195" t="str">
            <v>805723602528</v>
          </cell>
          <cell r="D195" t="str">
            <v>35</v>
          </cell>
        </row>
        <row r="196">
          <cell r="A196">
            <v>2</v>
          </cell>
          <cell r="B196">
            <v>67</v>
          </cell>
          <cell r="C196" t="str">
            <v>805723569865</v>
          </cell>
          <cell r="D196" t="str">
            <v>35</v>
          </cell>
        </row>
        <row r="197">
          <cell r="A197">
            <v>2</v>
          </cell>
          <cell r="B197">
            <v>68</v>
          </cell>
          <cell r="C197" t="str">
            <v>805723571641</v>
          </cell>
          <cell r="D197" t="str">
            <v>35</v>
          </cell>
        </row>
        <row r="198">
          <cell r="A198">
            <v>2</v>
          </cell>
          <cell r="B198">
            <v>69</v>
          </cell>
          <cell r="C198" t="str">
            <v>805724011174</v>
          </cell>
          <cell r="D198" t="str">
            <v>35</v>
          </cell>
        </row>
        <row r="199">
          <cell r="A199">
            <v>2</v>
          </cell>
          <cell r="B199">
            <v>70</v>
          </cell>
          <cell r="C199" t="str">
            <v>805724061135</v>
          </cell>
          <cell r="D199" t="str">
            <v>35</v>
          </cell>
        </row>
        <row r="200">
          <cell r="A200">
            <v>2</v>
          </cell>
          <cell r="B200">
            <v>71</v>
          </cell>
          <cell r="C200" t="str">
            <v>805724027198</v>
          </cell>
          <cell r="D200" t="str">
            <v>35</v>
          </cell>
        </row>
        <row r="201">
          <cell r="A201">
            <v>2</v>
          </cell>
          <cell r="B201">
            <v>72</v>
          </cell>
          <cell r="C201" t="str">
            <v>805724016169</v>
          </cell>
          <cell r="D201" t="str">
            <v>35</v>
          </cell>
        </row>
        <row r="202">
          <cell r="A202">
            <v>2</v>
          </cell>
          <cell r="B202">
            <v>73</v>
          </cell>
          <cell r="C202" t="str">
            <v>805724025411</v>
          </cell>
          <cell r="D202" t="str">
            <v>35</v>
          </cell>
        </row>
        <row r="203">
          <cell r="A203">
            <v>2</v>
          </cell>
          <cell r="B203">
            <v>74</v>
          </cell>
          <cell r="C203" t="str">
            <v>805723604104</v>
          </cell>
          <cell r="D203" t="str">
            <v>35</v>
          </cell>
        </row>
        <row r="204">
          <cell r="A204">
            <v>2</v>
          </cell>
          <cell r="B204">
            <v>75</v>
          </cell>
          <cell r="C204" t="str">
            <v>805723602379</v>
          </cell>
          <cell r="D204" t="str">
            <v>35</v>
          </cell>
        </row>
        <row r="205">
          <cell r="A205">
            <v>2</v>
          </cell>
          <cell r="B205">
            <v>76</v>
          </cell>
          <cell r="C205" t="str">
            <v>805723578785</v>
          </cell>
          <cell r="D205" t="str">
            <v>35</v>
          </cell>
        </row>
        <row r="206">
          <cell r="A206">
            <v>2</v>
          </cell>
          <cell r="B206">
            <v>77</v>
          </cell>
          <cell r="C206" t="str">
            <v>805723653553</v>
          </cell>
          <cell r="D206" t="str">
            <v>35</v>
          </cell>
        </row>
        <row r="207">
          <cell r="A207">
            <v>2</v>
          </cell>
          <cell r="B207">
            <v>78</v>
          </cell>
          <cell r="C207" t="str">
            <v>805723363384</v>
          </cell>
          <cell r="D207" t="str">
            <v>35</v>
          </cell>
        </row>
        <row r="208">
          <cell r="A208">
            <v>2</v>
          </cell>
          <cell r="B208">
            <v>79</v>
          </cell>
          <cell r="C208" t="str">
            <v>805724018512</v>
          </cell>
          <cell r="D208" t="str">
            <v>35</v>
          </cell>
        </row>
        <row r="209">
          <cell r="A209">
            <v>2</v>
          </cell>
          <cell r="B209">
            <v>80</v>
          </cell>
          <cell r="C209" t="str">
            <v>805723458416</v>
          </cell>
          <cell r="D209" t="str">
            <v>35</v>
          </cell>
        </row>
        <row r="210">
          <cell r="A210">
            <v>2</v>
          </cell>
          <cell r="B210">
            <v>81</v>
          </cell>
          <cell r="C210" t="str">
            <v>805724011686</v>
          </cell>
          <cell r="D210" t="str">
            <v>35</v>
          </cell>
        </row>
        <row r="211">
          <cell r="A211">
            <v>2</v>
          </cell>
          <cell r="B211">
            <v>82</v>
          </cell>
          <cell r="C211" t="str">
            <v>805724088600</v>
          </cell>
          <cell r="D211" t="str">
            <v>35</v>
          </cell>
        </row>
        <row r="212">
          <cell r="A212">
            <v>2</v>
          </cell>
          <cell r="B212">
            <v>83</v>
          </cell>
          <cell r="C212" t="str">
            <v>805724025736</v>
          </cell>
          <cell r="D212" t="str">
            <v>35</v>
          </cell>
        </row>
        <row r="213">
          <cell r="A213">
            <v>2</v>
          </cell>
          <cell r="B213">
            <v>84</v>
          </cell>
          <cell r="C213" t="str">
            <v>805724028793</v>
          </cell>
          <cell r="D213" t="str">
            <v>35</v>
          </cell>
        </row>
        <row r="214">
          <cell r="A214">
            <v>2</v>
          </cell>
          <cell r="B214">
            <v>85</v>
          </cell>
          <cell r="C214" t="str">
            <v>805724024765</v>
          </cell>
          <cell r="D214" t="str">
            <v>35</v>
          </cell>
        </row>
        <row r="215">
          <cell r="A215">
            <v>2</v>
          </cell>
          <cell r="B215">
            <v>86</v>
          </cell>
          <cell r="C215" t="str">
            <v>805724088572</v>
          </cell>
          <cell r="D215" t="str">
            <v>35</v>
          </cell>
        </row>
        <row r="216">
          <cell r="A216">
            <v>2</v>
          </cell>
          <cell r="B216">
            <v>87</v>
          </cell>
          <cell r="C216" t="str">
            <v>805724018293</v>
          </cell>
          <cell r="D216" t="str">
            <v>35</v>
          </cell>
        </row>
        <row r="217">
          <cell r="A217">
            <v>2</v>
          </cell>
          <cell r="B217">
            <v>88</v>
          </cell>
          <cell r="C217" t="str">
            <v>805724017711</v>
          </cell>
          <cell r="D217" t="str">
            <v>35</v>
          </cell>
        </row>
        <row r="218">
          <cell r="A218">
            <v>2</v>
          </cell>
          <cell r="B218">
            <v>89</v>
          </cell>
          <cell r="C218" t="str">
            <v>805724020834</v>
          </cell>
          <cell r="D218" t="str">
            <v>35</v>
          </cell>
        </row>
        <row r="219">
          <cell r="A219">
            <v>2</v>
          </cell>
          <cell r="B219">
            <v>90</v>
          </cell>
          <cell r="C219" t="str">
            <v>805723566614</v>
          </cell>
          <cell r="D219" t="str">
            <v>35</v>
          </cell>
        </row>
        <row r="220">
          <cell r="A220">
            <v>2</v>
          </cell>
          <cell r="B220">
            <v>91</v>
          </cell>
          <cell r="C220" t="str">
            <v>805723601615</v>
          </cell>
          <cell r="D220" t="str">
            <v>35</v>
          </cell>
        </row>
        <row r="221">
          <cell r="A221">
            <v>2</v>
          </cell>
          <cell r="B221">
            <v>92</v>
          </cell>
          <cell r="C221" t="str">
            <v>805724024364</v>
          </cell>
          <cell r="D221" t="str">
            <v>35</v>
          </cell>
        </row>
        <row r="222">
          <cell r="A222">
            <v>2</v>
          </cell>
          <cell r="B222">
            <v>93</v>
          </cell>
          <cell r="C222" t="str">
            <v>805723641979</v>
          </cell>
          <cell r="D222" t="str">
            <v>35</v>
          </cell>
        </row>
        <row r="223">
          <cell r="A223">
            <v>2</v>
          </cell>
          <cell r="B223">
            <v>94</v>
          </cell>
          <cell r="C223" t="str">
            <v>805724008893</v>
          </cell>
          <cell r="D223" t="str">
            <v>35</v>
          </cell>
        </row>
        <row r="224">
          <cell r="A224">
            <v>2</v>
          </cell>
          <cell r="B224">
            <v>95</v>
          </cell>
          <cell r="C224" t="str">
            <v>805724016961</v>
          </cell>
          <cell r="D224" t="str">
            <v>35</v>
          </cell>
        </row>
        <row r="225">
          <cell r="A225">
            <v>2</v>
          </cell>
          <cell r="B225">
            <v>96</v>
          </cell>
          <cell r="C225" t="str">
            <v>805724091539</v>
          </cell>
          <cell r="D225" t="str">
            <v>35</v>
          </cell>
        </row>
        <row r="226">
          <cell r="A226">
            <v>2</v>
          </cell>
          <cell r="B226">
            <v>97</v>
          </cell>
          <cell r="C226" t="str">
            <v>805723605026</v>
          </cell>
          <cell r="D226" t="str">
            <v>360</v>
          </cell>
        </row>
        <row r="227">
          <cell r="A227">
            <v>2</v>
          </cell>
          <cell r="B227">
            <v>98</v>
          </cell>
          <cell r="C227" t="str">
            <v>805724026341</v>
          </cell>
          <cell r="D227" t="str">
            <v>339</v>
          </cell>
        </row>
        <row r="228">
          <cell r="A228">
            <v>2</v>
          </cell>
          <cell r="B228">
            <v>99</v>
          </cell>
          <cell r="C228" t="str">
            <v>805724017935</v>
          </cell>
          <cell r="D228" t="str">
            <v>395</v>
          </cell>
        </row>
        <row r="229">
          <cell r="A229">
            <v>2</v>
          </cell>
          <cell r="B229">
            <v>100</v>
          </cell>
          <cell r="C229" t="str">
            <v>805723566066</v>
          </cell>
          <cell r="D229" t="str">
            <v>395</v>
          </cell>
        </row>
        <row r="230">
          <cell r="A230">
            <v>2</v>
          </cell>
          <cell r="B230">
            <v>101</v>
          </cell>
          <cell r="C230" t="str">
            <v>805724143216</v>
          </cell>
          <cell r="D230" t="str">
            <v>391</v>
          </cell>
        </row>
        <row r="231">
          <cell r="A231">
            <v>2</v>
          </cell>
          <cell r="B231">
            <v>102</v>
          </cell>
          <cell r="C231" t="str">
            <v>805724084744</v>
          </cell>
          <cell r="D231" t="str">
            <v>393</v>
          </cell>
        </row>
        <row r="232">
          <cell r="A232">
            <v>2</v>
          </cell>
          <cell r="B232">
            <v>103</v>
          </cell>
          <cell r="C232" t="str">
            <v>805724025328</v>
          </cell>
          <cell r="D232" t="str">
            <v>394</v>
          </cell>
        </row>
        <row r="233">
          <cell r="A233">
            <v>2</v>
          </cell>
          <cell r="B233">
            <v>104</v>
          </cell>
          <cell r="C233" t="str">
            <v>805724019816</v>
          </cell>
          <cell r="D233" t="str">
            <v>389</v>
          </cell>
        </row>
        <row r="234">
          <cell r="A234">
            <v>2</v>
          </cell>
          <cell r="B234">
            <v>105</v>
          </cell>
          <cell r="C234" t="str">
            <v>805723604099</v>
          </cell>
          <cell r="D234" t="str">
            <v>390</v>
          </cell>
        </row>
        <row r="235">
          <cell r="A235">
            <v>2</v>
          </cell>
          <cell r="B235">
            <v>106</v>
          </cell>
          <cell r="C235" t="str">
            <v>805723571296</v>
          </cell>
          <cell r="D235" t="str">
            <v>390</v>
          </cell>
        </row>
        <row r="236">
          <cell r="A236">
            <v>2</v>
          </cell>
          <cell r="B236">
            <v>107</v>
          </cell>
          <cell r="C236" t="str">
            <v>805723565378</v>
          </cell>
          <cell r="D236" t="str">
            <v>389</v>
          </cell>
        </row>
        <row r="237">
          <cell r="A237">
            <v>2</v>
          </cell>
          <cell r="B237">
            <v>108</v>
          </cell>
          <cell r="D237" t="str">
            <v>0</v>
          </cell>
        </row>
        <row r="238">
          <cell r="A238">
            <v>2</v>
          </cell>
          <cell r="B238">
            <v>109</v>
          </cell>
          <cell r="C238" t="str">
            <v>805724026363</v>
          </cell>
          <cell r="D238" t="str">
            <v>388</v>
          </cell>
        </row>
        <row r="239">
          <cell r="A239">
            <v>2</v>
          </cell>
          <cell r="B239">
            <v>110</v>
          </cell>
          <cell r="C239" t="str">
            <v>805723605045</v>
          </cell>
          <cell r="D239" t="str">
            <v>393</v>
          </cell>
        </row>
        <row r="240">
          <cell r="A240">
            <v>2</v>
          </cell>
          <cell r="B240">
            <v>111</v>
          </cell>
          <cell r="C240" t="str">
            <v>805724028981</v>
          </cell>
          <cell r="D240" t="str">
            <v>395</v>
          </cell>
        </row>
        <row r="241">
          <cell r="A241">
            <v>2</v>
          </cell>
          <cell r="B241">
            <v>112</v>
          </cell>
          <cell r="C241" t="str">
            <v>805723526709</v>
          </cell>
          <cell r="D241" t="str">
            <v>394</v>
          </cell>
        </row>
        <row r="242">
          <cell r="A242">
            <v>2</v>
          </cell>
          <cell r="B242">
            <v>113</v>
          </cell>
          <cell r="C242" t="str">
            <v>805724026278</v>
          </cell>
          <cell r="D242" t="str">
            <v>389</v>
          </cell>
        </row>
        <row r="243">
          <cell r="A243">
            <v>2</v>
          </cell>
          <cell r="B243">
            <v>114</v>
          </cell>
          <cell r="C243" t="str">
            <v>805724026240</v>
          </cell>
          <cell r="D243" t="str">
            <v>396</v>
          </cell>
        </row>
        <row r="244">
          <cell r="A244">
            <v>2</v>
          </cell>
          <cell r="B244">
            <v>115</v>
          </cell>
          <cell r="C244" t="str">
            <v>805724090262</v>
          </cell>
          <cell r="D244" t="str">
            <v>386</v>
          </cell>
        </row>
        <row r="245">
          <cell r="A245">
            <v>2</v>
          </cell>
          <cell r="B245">
            <v>116</v>
          </cell>
          <cell r="C245" t="str">
            <v>805724088783</v>
          </cell>
          <cell r="D245" t="str">
            <v>378</v>
          </cell>
        </row>
        <row r="246">
          <cell r="A246">
            <v>2</v>
          </cell>
          <cell r="B246">
            <v>117</v>
          </cell>
          <cell r="C246" t="str">
            <v>805724025373</v>
          </cell>
          <cell r="D246" t="str">
            <v>330</v>
          </cell>
        </row>
        <row r="247">
          <cell r="A247">
            <v>2</v>
          </cell>
          <cell r="B247">
            <v>118</v>
          </cell>
          <cell r="C247" t="str">
            <v>805724027649</v>
          </cell>
          <cell r="D247" t="str">
            <v>36</v>
          </cell>
        </row>
        <row r="248">
          <cell r="A248">
            <v>2</v>
          </cell>
          <cell r="B248">
            <v>119</v>
          </cell>
          <cell r="C248" t="str">
            <v>805724021410</v>
          </cell>
          <cell r="D248" t="str">
            <v>389</v>
          </cell>
        </row>
        <row r="249">
          <cell r="A249">
            <v>2</v>
          </cell>
          <cell r="B249">
            <v>120</v>
          </cell>
          <cell r="C249" t="str">
            <v>805724089196</v>
          </cell>
          <cell r="D249" t="str">
            <v>389</v>
          </cell>
        </row>
        <row r="250">
          <cell r="A250">
            <v>2</v>
          </cell>
          <cell r="B250">
            <v>121</v>
          </cell>
          <cell r="C250" t="str">
            <v>805724067596</v>
          </cell>
          <cell r="D250" t="str">
            <v>388</v>
          </cell>
        </row>
        <row r="251">
          <cell r="A251">
            <v>2</v>
          </cell>
          <cell r="B251">
            <v>122</v>
          </cell>
          <cell r="C251" t="str">
            <v>805724068849</v>
          </cell>
          <cell r="D251" t="str">
            <v>391</v>
          </cell>
        </row>
        <row r="252">
          <cell r="A252">
            <v>2</v>
          </cell>
          <cell r="B252">
            <v>123</v>
          </cell>
          <cell r="C252" t="str">
            <v>805724011280</v>
          </cell>
          <cell r="D252" t="str">
            <v>390</v>
          </cell>
        </row>
        <row r="253">
          <cell r="A253">
            <v>2</v>
          </cell>
          <cell r="B253">
            <v>124</v>
          </cell>
          <cell r="C253" t="str">
            <v>805724068041</v>
          </cell>
          <cell r="D253" t="str">
            <v>392</v>
          </cell>
        </row>
        <row r="254">
          <cell r="A254">
            <v>2</v>
          </cell>
          <cell r="B254">
            <v>125</v>
          </cell>
          <cell r="C254" t="str">
            <v>805724088800</v>
          </cell>
          <cell r="D254" t="str">
            <v>393</v>
          </cell>
        </row>
        <row r="255">
          <cell r="A255">
            <v>2</v>
          </cell>
          <cell r="B255">
            <v>126</v>
          </cell>
          <cell r="C255" t="str">
            <v>805724068824</v>
          </cell>
          <cell r="D255" t="str">
            <v>390</v>
          </cell>
        </row>
        <row r="256">
          <cell r="A256">
            <v>2</v>
          </cell>
          <cell r="B256">
            <v>127</v>
          </cell>
          <cell r="C256" t="str">
            <v>805724084751</v>
          </cell>
          <cell r="D256" t="str">
            <v>388</v>
          </cell>
        </row>
        <row r="257">
          <cell r="A257">
            <v>2</v>
          </cell>
          <cell r="B257">
            <v>128</v>
          </cell>
          <cell r="C257" t="str">
            <v>805724058748</v>
          </cell>
          <cell r="D257" t="str">
            <v>395</v>
          </cell>
        </row>
        <row r="258">
          <cell r="A258">
            <v>3</v>
          </cell>
          <cell r="B258">
            <v>1</v>
          </cell>
          <cell r="D258" t="str">
            <v>0</v>
          </cell>
        </row>
        <row r="259">
          <cell r="A259">
            <v>3</v>
          </cell>
          <cell r="B259">
            <v>2</v>
          </cell>
          <cell r="D259" t="str">
            <v>0</v>
          </cell>
        </row>
        <row r="260">
          <cell r="A260">
            <v>3</v>
          </cell>
          <cell r="B260">
            <v>3</v>
          </cell>
          <cell r="D260" t="str">
            <v>0</v>
          </cell>
        </row>
        <row r="261">
          <cell r="A261">
            <v>3</v>
          </cell>
          <cell r="B261">
            <v>4</v>
          </cell>
          <cell r="D261" t="str">
            <v>0</v>
          </cell>
        </row>
        <row r="262">
          <cell r="A262">
            <v>3</v>
          </cell>
          <cell r="B262">
            <v>5</v>
          </cell>
          <cell r="D262" t="str">
            <v>0</v>
          </cell>
        </row>
        <row r="263">
          <cell r="A263">
            <v>3</v>
          </cell>
          <cell r="B263">
            <v>6</v>
          </cell>
          <cell r="D263" t="str">
            <v>0</v>
          </cell>
        </row>
        <row r="264">
          <cell r="A264">
            <v>3</v>
          </cell>
          <cell r="B264">
            <v>7</v>
          </cell>
          <cell r="D264" t="str">
            <v>0</v>
          </cell>
        </row>
        <row r="265">
          <cell r="A265">
            <v>3</v>
          </cell>
          <cell r="B265">
            <v>8</v>
          </cell>
          <cell r="D265" t="str">
            <v>0</v>
          </cell>
        </row>
        <row r="266">
          <cell r="A266">
            <v>3</v>
          </cell>
          <cell r="B266">
            <v>9</v>
          </cell>
          <cell r="D266" t="str">
            <v>0</v>
          </cell>
        </row>
        <row r="267">
          <cell r="A267">
            <v>3</v>
          </cell>
          <cell r="B267">
            <v>10</v>
          </cell>
          <cell r="D267" t="str">
            <v>0</v>
          </cell>
        </row>
        <row r="268">
          <cell r="A268">
            <v>3</v>
          </cell>
          <cell r="B268">
            <v>11</v>
          </cell>
          <cell r="D268" t="str">
            <v>0</v>
          </cell>
        </row>
        <row r="269">
          <cell r="A269">
            <v>3</v>
          </cell>
          <cell r="B269">
            <v>12</v>
          </cell>
          <cell r="D269" t="str">
            <v>0</v>
          </cell>
        </row>
        <row r="270">
          <cell r="A270">
            <v>3</v>
          </cell>
          <cell r="B270">
            <v>13</v>
          </cell>
          <cell r="D270" t="str">
            <v>0</v>
          </cell>
        </row>
        <row r="271">
          <cell r="A271">
            <v>3</v>
          </cell>
          <cell r="B271">
            <v>14</v>
          </cell>
          <cell r="D271" t="str">
            <v>0</v>
          </cell>
        </row>
        <row r="272">
          <cell r="A272">
            <v>3</v>
          </cell>
          <cell r="B272">
            <v>15</v>
          </cell>
          <cell r="D272" t="str">
            <v>0</v>
          </cell>
        </row>
        <row r="273">
          <cell r="A273">
            <v>3</v>
          </cell>
          <cell r="B273">
            <v>16</v>
          </cell>
          <cell r="D273" t="str">
            <v>0</v>
          </cell>
        </row>
        <row r="274">
          <cell r="A274">
            <v>3</v>
          </cell>
          <cell r="B274">
            <v>17</v>
          </cell>
          <cell r="C274" t="str">
            <v>805724088769</v>
          </cell>
          <cell r="D274" t="str">
            <v>371</v>
          </cell>
        </row>
        <row r="275">
          <cell r="A275">
            <v>3</v>
          </cell>
          <cell r="B275">
            <v>18</v>
          </cell>
          <cell r="C275" t="str">
            <v>805724016474</v>
          </cell>
          <cell r="D275" t="str">
            <v>391</v>
          </cell>
        </row>
        <row r="276">
          <cell r="A276">
            <v>3</v>
          </cell>
          <cell r="B276">
            <v>19</v>
          </cell>
          <cell r="C276" t="str">
            <v>805724019609</v>
          </cell>
          <cell r="D276" t="str">
            <v>362</v>
          </cell>
        </row>
        <row r="277">
          <cell r="A277">
            <v>3</v>
          </cell>
          <cell r="B277">
            <v>20</v>
          </cell>
          <cell r="C277" t="str">
            <v>805724027448</v>
          </cell>
          <cell r="D277" t="str">
            <v>393</v>
          </cell>
        </row>
        <row r="278">
          <cell r="A278">
            <v>3</v>
          </cell>
          <cell r="B278">
            <v>21</v>
          </cell>
          <cell r="C278" t="str">
            <v>805724018989</v>
          </cell>
          <cell r="D278" t="str">
            <v>392</v>
          </cell>
        </row>
        <row r="279">
          <cell r="A279">
            <v>3</v>
          </cell>
          <cell r="B279">
            <v>22</v>
          </cell>
          <cell r="C279" t="str">
            <v>805724024815</v>
          </cell>
          <cell r="D279" t="str">
            <v>394</v>
          </cell>
        </row>
        <row r="280">
          <cell r="A280">
            <v>3</v>
          </cell>
          <cell r="B280">
            <v>23</v>
          </cell>
          <cell r="C280" t="str">
            <v>805724019030</v>
          </cell>
          <cell r="D280" t="str">
            <v>370</v>
          </cell>
        </row>
        <row r="281">
          <cell r="A281">
            <v>3</v>
          </cell>
          <cell r="B281">
            <v>24</v>
          </cell>
          <cell r="C281" t="str">
            <v>805724088680</v>
          </cell>
          <cell r="D281" t="str">
            <v>391</v>
          </cell>
        </row>
        <row r="282">
          <cell r="A282">
            <v>3</v>
          </cell>
          <cell r="B282">
            <v>25</v>
          </cell>
          <cell r="C282" t="str">
            <v>805724011792</v>
          </cell>
          <cell r="D282" t="str">
            <v>392</v>
          </cell>
        </row>
        <row r="283">
          <cell r="A283">
            <v>3</v>
          </cell>
          <cell r="B283">
            <v>26</v>
          </cell>
          <cell r="C283" t="str">
            <v>805724071135</v>
          </cell>
          <cell r="D283" t="str">
            <v>392</v>
          </cell>
        </row>
        <row r="284">
          <cell r="A284">
            <v>3</v>
          </cell>
          <cell r="B284">
            <v>27</v>
          </cell>
          <cell r="C284" t="str">
            <v>805724070660</v>
          </cell>
          <cell r="D284" t="str">
            <v>390</v>
          </cell>
        </row>
        <row r="285">
          <cell r="A285">
            <v>3</v>
          </cell>
          <cell r="B285">
            <v>28</v>
          </cell>
          <cell r="C285" t="str">
            <v>805724071133</v>
          </cell>
          <cell r="D285" t="str">
            <v>394</v>
          </cell>
        </row>
        <row r="286">
          <cell r="A286">
            <v>3</v>
          </cell>
          <cell r="B286">
            <v>29</v>
          </cell>
          <cell r="C286" t="str">
            <v>805724054616</v>
          </cell>
          <cell r="D286" t="str">
            <v>393</v>
          </cell>
        </row>
        <row r="287">
          <cell r="A287">
            <v>3</v>
          </cell>
          <cell r="B287">
            <v>30</v>
          </cell>
          <cell r="C287" t="str">
            <v>805723603366</v>
          </cell>
          <cell r="D287" t="str">
            <v>394</v>
          </cell>
        </row>
        <row r="288">
          <cell r="A288">
            <v>3</v>
          </cell>
          <cell r="B288">
            <v>31</v>
          </cell>
          <cell r="C288" t="str">
            <v>805723570782</v>
          </cell>
          <cell r="D288" t="str">
            <v>387</v>
          </cell>
        </row>
        <row r="289">
          <cell r="A289">
            <v>3</v>
          </cell>
          <cell r="B289">
            <v>32</v>
          </cell>
          <cell r="C289" t="str">
            <v>805724055569</v>
          </cell>
          <cell r="D289" t="str">
            <v>391</v>
          </cell>
        </row>
        <row r="290">
          <cell r="A290">
            <v>3</v>
          </cell>
          <cell r="B290">
            <v>33</v>
          </cell>
          <cell r="C290" t="str">
            <v>805724058807</v>
          </cell>
          <cell r="D290" t="str">
            <v>396</v>
          </cell>
        </row>
        <row r="291">
          <cell r="A291">
            <v>3</v>
          </cell>
          <cell r="B291">
            <v>34</v>
          </cell>
          <cell r="C291" t="str">
            <v>805724088574</v>
          </cell>
          <cell r="D291" t="str">
            <v>395</v>
          </cell>
        </row>
        <row r="292">
          <cell r="A292">
            <v>3</v>
          </cell>
          <cell r="B292">
            <v>35</v>
          </cell>
          <cell r="C292" t="str">
            <v>805723607496</v>
          </cell>
          <cell r="D292" t="str">
            <v>404</v>
          </cell>
        </row>
        <row r="293">
          <cell r="A293">
            <v>3</v>
          </cell>
          <cell r="B293">
            <v>36</v>
          </cell>
          <cell r="C293" t="str">
            <v>805724065650</v>
          </cell>
          <cell r="D293" t="str">
            <v>390</v>
          </cell>
        </row>
        <row r="294">
          <cell r="A294">
            <v>3</v>
          </cell>
          <cell r="B294">
            <v>37</v>
          </cell>
          <cell r="C294" t="str">
            <v>805724055593</v>
          </cell>
          <cell r="D294" t="str">
            <v>396</v>
          </cell>
        </row>
        <row r="295">
          <cell r="A295">
            <v>3</v>
          </cell>
          <cell r="B295">
            <v>38</v>
          </cell>
          <cell r="C295" t="str">
            <v>805724024819</v>
          </cell>
          <cell r="D295" t="str">
            <v>391</v>
          </cell>
        </row>
        <row r="296">
          <cell r="A296">
            <v>3</v>
          </cell>
          <cell r="B296">
            <v>39</v>
          </cell>
          <cell r="C296" t="str">
            <v>805724089119</v>
          </cell>
          <cell r="D296" t="str">
            <v>396</v>
          </cell>
        </row>
        <row r="297">
          <cell r="A297">
            <v>3</v>
          </cell>
          <cell r="B297">
            <v>40</v>
          </cell>
          <cell r="C297" t="str">
            <v>805724064430</v>
          </cell>
          <cell r="D297" t="str">
            <v>438</v>
          </cell>
        </row>
        <row r="298">
          <cell r="A298">
            <v>3</v>
          </cell>
          <cell r="B298">
            <v>41</v>
          </cell>
          <cell r="C298" t="str">
            <v>805724019574</v>
          </cell>
          <cell r="D298" t="str">
            <v>164</v>
          </cell>
        </row>
        <row r="299">
          <cell r="A299">
            <v>3</v>
          </cell>
          <cell r="B299">
            <v>42</v>
          </cell>
          <cell r="C299" t="str">
            <v>805724028992</v>
          </cell>
          <cell r="D299" t="str">
            <v>394</v>
          </cell>
        </row>
        <row r="300">
          <cell r="A300">
            <v>3</v>
          </cell>
          <cell r="B300">
            <v>43</v>
          </cell>
          <cell r="C300" t="str">
            <v>805724089497</v>
          </cell>
          <cell r="D300" t="str">
            <v>10</v>
          </cell>
        </row>
        <row r="301">
          <cell r="A301">
            <v>3</v>
          </cell>
          <cell r="B301">
            <v>44</v>
          </cell>
          <cell r="C301">
            <v>805724089061</v>
          </cell>
          <cell r="D301" t="str">
            <v>382</v>
          </cell>
        </row>
        <row r="302">
          <cell r="A302">
            <v>3</v>
          </cell>
          <cell r="B302">
            <v>45</v>
          </cell>
          <cell r="C302" t="str">
            <v>805724011518</v>
          </cell>
          <cell r="D302" t="str">
            <v>377</v>
          </cell>
        </row>
        <row r="303">
          <cell r="A303">
            <v>3</v>
          </cell>
          <cell r="B303">
            <v>46</v>
          </cell>
          <cell r="C303" t="str">
            <v>805723570744</v>
          </cell>
          <cell r="D303" t="str">
            <v>396</v>
          </cell>
        </row>
        <row r="304">
          <cell r="A304">
            <v>3</v>
          </cell>
          <cell r="B304">
            <v>47</v>
          </cell>
          <cell r="C304" t="str">
            <v>805724058790</v>
          </cell>
          <cell r="D304" t="str">
            <v>387</v>
          </cell>
        </row>
        <row r="305">
          <cell r="A305">
            <v>3</v>
          </cell>
          <cell r="B305">
            <v>48</v>
          </cell>
          <cell r="C305" t="str">
            <v>805724059194</v>
          </cell>
          <cell r="D305" t="str">
            <v>24</v>
          </cell>
        </row>
        <row r="306">
          <cell r="A306">
            <v>3</v>
          </cell>
          <cell r="B306">
            <v>49</v>
          </cell>
          <cell r="C306" t="str">
            <v>805724021627</v>
          </cell>
          <cell r="D306" t="str">
            <v>391</v>
          </cell>
        </row>
        <row r="307">
          <cell r="A307">
            <v>3</v>
          </cell>
          <cell r="B307">
            <v>50</v>
          </cell>
          <cell r="C307" t="str">
            <v>805724027695</v>
          </cell>
          <cell r="D307" t="str">
            <v>384</v>
          </cell>
        </row>
        <row r="308">
          <cell r="A308">
            <v>3</v>
          </cell>
          <cell r="B308">
            <v>51</v>
          </cell>
          <cell r="C308" t="str">
            <v>805724144154</v>
          </cell>
          <cell r="D308" t="str">
            <v>393</v>
          </cell>
        </row>
        <row r="309">
          <cell r="A309">
            <v>3</v>
          </cell>
          <cell r="B309">
            <v>52</v>
          </cell>
          <cell r="C309" t="str">
            <v>805724065998</v>
          </cell>
          <cell r="D309" t="str">
            <v>391</v>
          </cell>
        </row>
        <row r="310">
          <cell r="A310">
            <v>3</v>
          </cell>
          <cell r="B310">
            <v>53</v>
          </cell>
          <cell r="C310" t="str">
            <v>805723608174</v>
          </cell>
          <cell r="D310" t="str">
            <v>393</v>
          </cell>
        </row>
        <row r="311">
          <cell r="A311">
            <v>3</v>
          </cell>
          <cell r="B311">
            <v>54</v>
          </cell>
          <cell r="C311" t="str">
            <v>805724041886</v>
          </cell>
          <cell r="D311" t="str">
            <v>391</v>
          </cell>
        </row>
        <row r="312">
          <cell r="A312">
            <v>3</v>
          </cell>
          <cell r="B312">
            <v>55</v>
          </cell>
          <cell r="C312" t="str">
            <v>805724020503</v>
          </cell>
          <cell r="D312" t="str">
            <v>385</v>
          </cell>
        </row>
        <row r="313">
          <cell r="A313">
            <v>3</v>
          </cell>
          <cell r="B313">
            <v>56</v>
          </cell>
          <cell r="C313" t="str">
            <v>805723611470</v>
          </cell>
          <cell r="D313" t="str">
            <v>388</v>
          </cell>
        </row>
        <row r="314">
          <cell r="A314">
            <v>3</v>
          </cell>
          <cell r="B314">
            <v>57</v>
          </cell>
          <cell r="C314" t="str">
            <v>805724088726</v>
          </cell>
          <cell r="D314" t="str">
            <v>388</v>
          </cell>
        </row>
        <row r="315">
          <cell r="A315">
            <v>3</v>
          </cell>
          <cell r="B315">
            <v>58</v>
          </cell>
          <cell r="C315" t="str">
            <v>805724027901</v>
          </cell>
          <cell r="D315" t="str">
            <v>398</v>
          </cell>
        </row>
        <row r="316">
          <cell r="A316">
            <v>3</v>
          </cell>
          <cell r="B316">
            <v>59</v>
          </cell>
          <cell r="C316" t="str">
            <v>805724071206</v>
          </cell>
          <cell r="D316" t="str">
            <v>390</v>
          </cell>
        </row>
        <row r="317">
          <cell r="A317">
            <v>3</v>
          </cell>
          <cell r="B317">
            <v>60</v>
          </cell>
          <cell r="C317" t="str">
            <v>805723605333</v>
          </cell>
          <cell r="D317" t="str">
            <v>391</v>
          </cell>
        </row>
        <row r="318">
          <cell r="A318">
            <v>3</v>
          </cell>
          <cell r="B318">
            <v>61</v>
          </cell>
          <cell r="C318" t="str">
            <v>805724015871</v>
          </cell>
          <cell r="D318" t="str">
            <v>394</v>
          </cell>
        </row>
        <row r="319">
          <cell r="A319">
            <v>3</v>
          </cell>
          <cell r="B319">
            <v>62</v>
          </cell>
          <cell r="C319" t="str">
            <v>805723519476</v>
          </cell>
          <cell r="D319" t="str">
            <v>387</v>
          </cell>
        </row>
        <row r="320">
          <cell r="A320">
            <v>3</v>
          </cell>
          <cell r="B320">
            <v>63</v>
          </cell>
          <cell r="C320" t="str">
            <v>805723566406</v>
          </cell>
          <cell r="D320" t="str">
            <v>395</v>
          </cell>
        </row>
        <row r="321">
          <cell r="A321">
            <v>3</v>
          </cell>
          <cell r="B321">
            <v>64</v>
          </cell>
          <cell r="C321" t="str">
            <v>805724062448</v>
          </cell>
          <cell r="D321" t="str">
            <v>388</v>
          </cell>
        </row>
        <row r="322">
          <cell r="A322">
            <v>3</v>
          </cell>
          <cell r="B322">
            <v>65</v>
          </cell>
          <cell r="C322" t="str">
            <v>805724060252</v>
          </cell>
          <cell r="D322" t="str">
            <v>394</v>
          </cell>
        </row>
        <row r="323">
          <cell r="A323">
            <v>3</v>
          </cell>
          <cell r="B323">
            <v>66</v>
          </cell>
          <cell r="C323" t="str">
            <v>805724055367</v>
          </cell>
          <cell r="D323" t="str">
            <v>394</v>
          </cell>
        </row>
        <row r="324">
          <cell r="A324">
            <v>3</v>
          </cell>
          <cell r="B324">
            <v>67</v>
          </cell>
          <cell r="C324" t="str">
            <v>805724059028</v>
          </cell>
          <cell r="D324" t="str">
            <v>391</v>
          </cell>
        </row>
        <row r="325">
          <cell r="A325">
            <v>3</v>
          </cell>
          <cell r="B325">
            <v>68</v>
          </cell>
          <cell r="C325" t="str">
            <v>805724060401</v>
          </cell>
          <cell r="D325" t="str">
            <v>391</v>
          </cell>
        </row>
        <row r="326">
          <cell r="A326">
            <v>3</v>
          </cell>
          <cell r="B326">
            <v>69</v>
          </cell>
          <cell r="C326" t="str">
            <v>805724056659</v>
          </cell>
          <cell r="D326" t="str">
            <v>395</v>
          </cell>
        </row>
        <row r="327">
          <cell r="A327">
            <v>3</v>
          </cell>
          <cell r="B327">
            <v>70</v>
          </cell>
          <cell r="C327" t="str">
            <v>805724006289</v>
          </cell>
          <cell r="D327" t="str">
            <v>392</v>
          </cell>
        </row>
        <row r="328">
          <cell r="A328">
            <v>3</v>
          </cell>
          <cell r="B328">
            <v>71</v>
          </cell>
          <cell r="C328" t="str">
            <v>805724006290</v>
          </cell>
          <cell r="D328" t="str">
            <v>393</v>
          </cell>
        </row>
        <row r="329">
          <cell r="A329">
            <v>3</v>
          </cell>
          <cell r="B329">
            <v>72</v>
          </cell>
          <cell r="C329" t="str">
            <v>805724059027</v>
          </cell>
          <cell r="D329" t="str">
            <v>391</v>
          </cell>
        </row>
        <row r="330">
          <cell r="A330">
            <v>3</v>
          </cell>
          <cell r="B330">
            <v>73</v>
          </cell>
          <cell r="C330" t="str">
            <v>805724083482</v>
          </cell>
          <cell r="D330" t="str">
            <v>390</v>
          </cell>
        </row>
        <row r="331">
          <cell r="A331">
            <v>3</v>
          </cell>
          <cell r="B331">
            <v>74</v>
          </cell>
          <cell r="C331" t="str">
            <v>805724062588</v>
          </cell>
          <cell r="D331" t="str">
            <v>392</v>
          </cell>
        </row>
        <row r="332">
          <cell r="A332">
            <v>3</v>
          </cell>
          <cell r="B332">
            <v>75</v>
          </cell>
          <cell r="C332" t="str">
            <v>805724011347</v>
          </cell>
          <cell r="D332" t="str">
            <v>385</v>
          </cell>
        </row>
        <row r="333">
          <cell r="A333">
            <v>3</v>
          </cell>
          <cell r="B333">
            <v>76</v>
          </cell>
          <cell r="C333" t="str">
            <v>805724015114</v>
          </cell>
          <cell r="D333" t="str">
            <v>390</v>
          </cell>
        </row>
        <row r="334">
          <cell r="A334">
            <v>3</v>
          </cell>
          <cell r="B334">
            <v>77</v>
          </cell>
          <cell r="C334" t="str">
            <v>805724061861</v>
          </cell>
          <cell r="D334" t="str">
            <v>394</v>
          </cell>
        </row>
        <row r="335">
          <cell r="A335">
            <v>3</v>
          </cell>
          <cell r="B335">
            <v>78</v>
          </cell>
          <cell r="C335" t="str">
            <v>805724015739</v>
          </cell>
          <cell r="D335" t="str">
            <v>394</v>
          </cell>
        </row>
        <row r="336">
          <cell r="A336">
            <v>3</v>
          </cell>
          <cell r="B336">
            <v>79</v>
          </cell>
          <cell r="C336" t="str">
            <v>805724006284</v>
          </cell>
          <cell r="D336" t="str">
            <v>394</v>
          </cell>
        </row>
        <row r="337">
          <cell r="A337">
            <v>3</v>
          </cell>
          <cell r="B337">
            <v>80</v>
          </cell>
          <cell r="C337" t="str">
            <v>805724062598</v>
          </cell>
          <cell r="D337" t="str">
            <v>392</v>
          </cell>
        </row>
        <row r="338">
          <cell r="A338">
            <v>3</v>
          </cell>
          <cell r="B338">
            <v>81</v>
          </cell>
          <cell r="C338" t="str">
            <v>805724028997</v>
          </cell>
          <cell r="D338" t="str">
            <v>392</v>
          </cell>
        </row>
        <row r="339">
          <cell r="A339">
            <v>3</v>
          </cell>
          <cell r="B339">
            <v>82</v>
          </cell>
          <cell r="C339" t="str">
            <v>805724049938</v>
          </cell>
          <cell r="D339" t="str">
            <v>390</v>
          </cell>
        </row>
        <row r="340">
          <cell r="A340">
            <v>3</v>
          </cell>
          <cell r="B340">
            <v>83</v>
          </cell>
          <cell r="C340" t="str">
            <v>805724011935</v>
          </cell>
          <cell r="D340" t="str">
            <v>385</v>
          </cell>
        </row>
        <row r="341">
          <cell r="A341">
            <v>3</v>
          </cell>
          <cell r="B341">
            <v>84</v>
          </cell>
          <cell r="C341" t="str">
            <v>805724027712</v>
          </cell>
          <cell r="D341" t="str">
            <v>394</v>
          </cell>
        </row>
        <row r="342">
          <cell r="A342">
            <v>3</v>
          </cell>
          <cell r="B342">
            <v>85</v>
          </cell>
          <cell r="C342" t="str">
            <v>805724071136</v>
          </cell>
          <cell r="D342" t="str">
            <v>372</v>
          </cell>
        </row>
        <row r="343">
          <cell r="A343">
            <v>3</v>
          </cell>
          <cell r="B343">
            <v>86</v>
          </cell>
          <cell r="C343" t="str">
            <v>805724088821</v>
          </cell>
          <cell r="D343" t="str">
            <v>387</v>
          </cell>
        </row>
        <row r="344">
          <cell r="A344">
            <v>3</v>
          </cell>
          <cell r="B344">
            <v>87</v>
          </cell>
          <cell r="C344" t="str">
            <v>805723570296</v>
          </cell>
          <cell r="D344" t="str">
            <v>327</v>
          </cell>
        </row>
        <row r="345">
          <cell r="A345">
            <v>3</v>
          </cell>
          <cell r="B345">
            <v>88</v>
          </cell>
          <cell r="C345" t="str">
            <v>805724027811</v>
          </cell>
          <cell r="D345" t="str">
            <v>388</v>
          </cell>
        </row>
        <row r="346">
          <cell r="A346">
            <v>3</v>
          </cell>
          <cell r="B346">
            <v>89</v>
          </cell>
          <cell r="C346" t="str">
            <v>805723578794</v>
          </cell>
          <cell r="D346" t="str">
            <v>391</v>
          </cell>
        </row>
        <row r="347">
          <cell r="A347">
            <v>3</v>
          </cell>
          <cell r="B347">
            <v>90</v>
          </cell>
          <cell r="C347" t="str">
            <v>805722455142</v>
          </cell>
          <cell r="D347" t="str">
            <v>387</v>
          </cell>
        </row>
        <row r="348">
          <cell r="A348">
            <v>3</v>
          </cell>
          <cell r="B348">
            <v>91</v>
          </cell>
          <cell r="D348" t="str">
            <v>0</v>
          </cell>
        </row>
        <row r="349">
          <cell r="A349">
            <v>3</v>
          </cell>
          <cell r="B349">
            <v>92</v>
          </cell>
          <cell r="C349" t="str">
            <v>805724070488</v>
          </cell>
          <cell r="D349" t="str">
            <v>393</v>
          </cell>
        </row>
        <row r="350">
          <cell r="A350">
            <v>3</v>
          </cell>
          <cell r="B350">
            <v>93</v>
          </cell>
          <cell r="C350" t="str">
            <v>805724017375</v>
          </cell>
          <cell r="D350" t="str">
            <v>312</v>
          </cell>
        </row>
        <row r="351">
          <cell r="A351">
            <v>3</v>
          </cell>
          <cell r="B351">
            <v>94</v>
          </cell>
          <cell r="C351" t="str">
            <v>805724140182</v>
          </cell>
          <cell r="D351" t="str">
            <v>393</v>
          </cell>
        </row>
        <row r="352">
          <cell r="A352">
            <v>3</v>
          </cell>
          <cell r="B352">
            <v>95</v>
          </cell>
          <cell r="C352" t="str">
            <v>805724026237</v>
          </cell>
          <cell r="D352" t="str">
            <v>394</v>
          </cell>
        </row>
        <row r="353">
          <cell r="A353">
            <v>3</v>
          </cell>
          <cell r="B353">
            <v>96</v>
          </cell>
          <cell r="C353" t="str">
            <v>805724028965</v>
          </cell>
          <cell r="D353" t="str">
            <v>393</v>
          </cell>
        </row>
        <row r="354">
          <cell r="A354">
            <v>3</v>
          </cell>
          <cell r="B354">
            <v>97</v>
          </cell>
          <cell r="C354" t="str">
            <v>805724089878</v>
          </cell>
          <cell r="D354" t="str">
            <v>390</v>
          </cell>
        </row>
        <row r="355">
          <cell r="A355">
            <v>3</v>
          </cell>
          <cell r="B355">
            <v>98</v>
          </cell>
          <cell r="C355" t="str">
            <v>805724028252</v>
          </cell>
          <cell r="D355" t="str">
            <v>381</v>
          </cell>
        </row>
        <row r="356">
          <cell r="A356">
            <v>3</v>
          </cell>
          <cell r="B356">
            <v>99</v>
          </cell>
          <cell r="C356" t="str">
            <v>805724092432</v>
          </cell>
          <cell r="D356" t="str">
            <v>379</v>
          </cell>
        </row>
        <row r="357">
          <cell r="A357">
            <v>3</v>
          </cell>
          <cell r="B357">
            <v>100</v>
          </cell>
          <cell r="C357" t="str">
            <v>805724026539</v>
          </cell>
          <cell r="D357" t="str">
            <v>388</v>
          </cell>
        </row>
        <row r="358">
          <cell r="A358">
            <v>3</v>
          </cell>
          <cell r="B358">
            <v>101</v>
          </cell>
          <cell r="C358" t="str">
            <v>805724071153</v>
          </cell>
          <cell r="D358" t="str">
            <v>382</v>
          </cell>
        </row>
        <row r="359">
          <cell r="A359">
            <v>3</v>
          </cell>
          <cell r="B359">
            <v>102</v>
          </cell>
          <cell r="C359" t="str">
            <v>805724055047</v>
          </cell>
          <cell r="D359" t="str">
            <v>386</v>
          </cell>
        </row>
        <row r="360">
          <cell r="A360">
            <v>3</v>
          </cell>
          <cell r="B360">
            <v>103</v>
          </cell>
          <cell r="C360" t="str">
            <v>805724089072</v>
          </cell>
          <cell r="D360" t="str">
            <v>395</v>
          </cell>
        </row>
        <row r="361">
          <cell r="A361">
            <v>3</v>
          </cell>
          <cell r="B361">
            <v>104</v>
          </cell>
          <cell r="C361" t="str">
            <v>805724144149</v>
          </cell>
          <cell r="D361" t="str">
            <v>387</v>
          </cell>
        </row>
        <row r="362">
          <cell r="A362">
            <v>3</v>
          </cell>
          <cell r="B362">
            <v>105</v>
          </cell>
          <cell r="C362" t="str">
            <v>805722583248</v>
          </cell>
          <cell r="D362" t="str">
            <v>381</v>
          </cell>
        </row>
        <row r="363">
          <cell r="A363">
            <v>3</v>
          </cell>
          <cell r="B363">
            <v>106</v>
          </cell>
          <cell r="C363" t="str">
            <v>805722516453</v>
          </cell>
          <cell r="D363" t="str">
            <v>382</v>
          </cell>
        </row>
        <row r="364">
          <cell r="A364">
            <v>3</v>
          </cell>
          <cell r="B364">
            <v>107</v>
          </cell>
          <cell r="D364" t="str">
            <v>0</v>
          </cell>
        </row>
        <row r="365">
          <cell r="A365">
            <v>3</v>
          </cell>
          <cell r="B365">
            <v>108</v>
          </cell>
          <cell r="C365" t="str">
            <v>805724028576</v>
          </cell>
          <cell r="D365" t="str">
            <v>389</v>
          </cell>
        </row>
        <row r="366">
          <cell r="A366">
            <v>3</v>
          </cell>
          <cell r="B366">
            <v>109</v>
          </cell>
          <cell r="C366" t="str">
            <v>805724028962</v>
          </cell>
          <cell r="D366" t="str">
            <v>394</v>
          </cell>
        </row>
        <row r="367">
          <cell r="A367">
            <v>3</v>
          </cell>
          <cell r="B367">
            <v>110</v>
          </cell>
          <cell r="C367" t="str">
            <v>805724026342</v>
          </cell>
          <cell r="D367" t="str">
            <v>391</v>
          </cell>
        </row>
        <row r="368">
          <cell r="A368">
            <v>3</v>
          </cell>
          <cell r="B368">
            <v>111</v>
          </cell>
          <cell r="C368" t="str">
            <v>805723355521</v>
          </cell>
          <cell r="D368" t="str">
            <v>383</v>
          </cell>
        </row>
        <row r="369">
          <cell r="A369">
            <v>3</v>
          </cell>
          <cell r="B369">
            <v>112</v>
          </cell>
          <cell r="C369" t="str">
            <v>805724009110</v>
          </cell>
          <cell r="D369" t="str">
            <v>393</v>
          </cell>
        </row>
        <row r="370">
          <cell r="A370">
            <v>3</v>
          </cell>
          <cell r="B370">
            <v>113</v>
          </cell>
          <cell r="C370" t="str">
            <v>805724025889</v>
          </cell>
          <cell r="D370" t="str">
            <v>390</v>
          </cell>
        </row>
        <row r="371">
          <cell r="A371">
            <v>3</v>
          </cell>
          <cell r="B371">
            <v>114</v>
          </cell>
          <cell r="C371" t="str">
            <v>805724022198</v>
          </cell>
          <cell r="D371" t="str">
            <v>383</v>
          </cell>
        </row>
        <row r="372">
          <cell r="A372">
            <v>3</v>
          </cell>
          <cell r="B372">
            <v>115</v>
          </cell>
          <cell r="C372" t="str">
            <v>805724024786</v>
          </cell>
          <cell r="D372" t="str">
            <v>388</v>
          </cell>
        </row>
        <row r="373">
          <cell r="A373">
            <v>3</v>
          </cell>
          <cell r="B373">
            <v>116</v>
          </cell>
          <cell r="C373" t="str">
            <v>805724071235</v>
          </cell>
          <cell r="D373" t="str">
            <v>390</v>
          </cell>
        </row>
        <row r="374">
          <cell r="A374">
            <v>3</v>
          </cell>
          <cell r="B374">
            <v>117</v>
          </cell>
          <cell r="C374" t="str">
            <v>805724026894</v>
          </cell>
          <cell r="D374" t="str">
            <v>10</v>
          </cell>
        </row>
        <row r="375">
          <cell r="A375">
            <v>3</v>
          </cell>
          <cell r="B375">
            <v>118</v>
          </cell>
          <cell r="C375" t="str">
            <v>805724015361</v>
          </cell>
          <cell r="D375" t="str">
            <v>393</v>
          </cell>
        </row>
        <row r="376">
          <cell r="A376">
            <v>3</v>
          </cell>
          <cell r="B376">
            <v>119</v>
          </cell>
          <cell r="C376" t="str">
            <v>805724144133</v>
          </cell>
          <cell r="D376" t="str">
            <v>390</v>
          </cell>
        </row>
        <row r="377">
          <cell r="A377">
            <v>3</v>
          </cell>
          <cell r="B377">
            <v>120</v>
          </cell>
          <cell r="C377" t="str">
            <v>805724071243</v>
          </cell>
          <cell r="D377" t="str">
            <v>387</v>
          </cell>
        </row>
        <row r="378">
          <cell r="A378">
            <v>3</v>
          </cell>
          <cell r="B378">
            <v>121</v>
          </cell>
          <cell r="C378" t="str">
            <v>805723604536</v>
          </cell>
          <cell r="D378" t="str">
            <v>388</v>
          </cell>
        </row>
        <row r="379">
          <cell r="A379">
            <v>3</v>
          </cell>
          <cell r="B379">
            <v>122</v>
          </cell>
          <cell r="C379" t="str">
            <v>805723645953</v>
          </cell>
          <cell r="D379" t="str">
            <v>345</v>
          </cell>
        </row>
        <row r="380">
          <cell r="A380">
            <v>3</v>
          </cell>
          <cell r="B380">
            <v>123</v>
          </cell>
          <cell r="D380" t="str">
            <v>0</v>
          </cell>
        </row>
        <row r="381">
          <cell r="A381">
            <v>3</v>
          </cell>
          <cell r="B381">
            <v>124</v>
          </cell>
          <cell r="C381" t="str">
            <v>805724016992</v>
          </cell>
          <cell r="D381" t="str">
            <v>386</v>
          </cell>
        </row>
        <row r="382">
          <cell r="A382">
            <v>3</v>
          </cell>
          <cell r="B382">
            <v>125</v>
          </cell>
          <cell r="C382" t="str">
            <v>805724083511</v>
          </cell>
          <cell r="D382" t="str">
            <v>391</v>
          </cell>
        </row>
        <row r="383">
          <cell r="A383">
            <v>3</v>
          </cell>
          <cell r="B383">
            <v>126</v>
          </cell>
          <cell r="C383" t="str">
            <v>805724061536</v>
          </cell>
          <cell r="D383" t="str">
            <v>393</v>
          </cell>
        </row>
        <row r="384">
          <cell r="A384">
            <v>3</v>
          </cell>
          <cell r="B384">
            <v>127</v>
          </cell>
          <cell r="C384" t="str">
            <v>805724089293</v>
          </cell>
          <cell r="D384" t="str">
            <v>392</v>
          </cell>
        </row>
        <row r="385">
          <cell r="A385">
            <v>3</v>
          </cell>
          <cell r="B385">
            <v>128</v>
          </cell>
          <cell r="C385" t="str">
            <v>805724028986</v>
          </cell>
          <cell r="D385" t="str">
            <v>387</v>
          </cell>
        </row>
        <row r="386">
          <cell r="A386">
            <v>4</v>
          </cell>
          <cell r="B386">
            <v>1</v>
          </cell>
          <cell r="C386" t="str">
            <v>805724140183</v>
          </cell>
          <cell r="D386" t="str">
            <v>2</v>
          </cell>
        </row>
        <row r="387">
          <cell r="A387">
            <v>4</v>
          </cell>
          <cell r="B387">
            <v>2</v>
          </cell>
          <cell r="C387" t="str">
            <v>805724026538</v>
          </cell>
          <cell r="D387" t="str">
            <v>2</v>
          </cell>
        </row>
        <row r="388">
          <cell r="A388">
            <v>4</v>
          </cell>
          <cell r="B388">
            <v>3</v>
          </cell>
          <cell r="C388" t="str">
            <v>805723611299</v>
          </cell>
          <cell r="D388" t="str">
            <v>338</v>
          </cell>
        </row>
        <row r="389">
          <cell r="A389">
            <v>4</v>
          </cell>
          <cell r="B389">
            <v>4</v>
          </cell>
          <cell r="C389" t="str">
            <v>805723602348</v>
          </cell>
          <cell r="D389" t="str">
            <v>356</v>
          </cell>
        </row>
        <row r="390">
          <cell r="A390">
            <v>4</v>
          </cell>
          <cell r="B390">
            <v>5</v>
          </cell>
          <cell r="C390" t="str">
            <v>805724016249</v>
          </cell>
          <cell r="D390" t="str">
            <v>341</v>
          </cell>
        </row>
        <row r="391">
          <cell r="A391">
            <v>4</v>
          </cell>
          <cell r="B391">
            <v>6</v>
          </cell>
          <cell r="C391" t="str">
            <v>805724090247</v>
          </cell>
          <cell r="D391" t="str">
            <v>396</v>
          </cell>
        </row>
        <row r="392">
          <cell r="A392">
            <v>4</v>
          </cell>
          <cell r="B392">
            <v>7</v>
          </cell>
          <cell r="C392" t="str">
            <v>805724091564</v>
          </cell>
          <cell r="D392" t="str">
            <v>392</v>
          </cell>
        </row>
        <row r="393">
          <cell r="A393">
            <v>4</v>
          </cell>
          <cell r="B393">
            <v>8</v>
          </cell>
          <cell r="C393" t="str">
            <v>805724071010</v>
          </cell>
          <cell r="D393" t="str">
            <v>396</v>
          </cell>
        </row>
        <row r="394">
          <cell r="A394">
            <v>4</v>
          </cell>
          <cell r="B394">
            <v>9</v>
          </cell>
          <cell r="C394" t="str">
            <v>805724027060</v>
          </cell>
          <cell r="D394" t="str">
            <v>411</v>
          </cell>
        </row>
        <row r="395">
          <cell r="A395">
            <v>4</v>
          </cell>
          <cell r="B395">
            <v>10</v>
          </cell>
          <cell r="C395" t="str">
            <v>805724027683</v>
          </cell>
          <cell r="D395" t="str">
            <v>401</v>
          </cell>
        </row>
        <row r="396">
          <cell r="A396">
            <v>4</v>
          </cell>
          <cell r="B396">
            <v>11</v>
          </cell>
          <cell r="C396" t="str">
            <v>805722411182</v>
          </cell>
          <cell r="D396" t="str">
            <v>394</v>
          </cell>
        </row>
        <row r="397">
          <cell r="A397">
            <v>4</v>
          </cell>
          <cell r="B397">
            <v>12</v>
          </cell>
          <cell r="C397" t="str">
            <v>805724028924</v>
          </cell>
          <cell r="D397" t="str">
            <v>357</v>
          </cell>
        </row>
        <row r="398">
          <cell r="A398">
            <v>4</v>
          </cell>
          <cell r="B398">
            <v>13</v>
          </cell>
          <cell r="C398" t="str">
            <v>805724018341</v>
          </cell>
          <cell r="D398" t="str">
            <v>399</v>
          </cell>
        </row>
        <row r="399">
          <cell r="A399">
            <v>4</v>
          </cell>
          <cell r="B399">
            <v>14</v>
          </cell>
          <cell r="C399" t="str">
            <v>805724014284</v>
          </cell>
          <cell r="D399" t="str">
            <v>393</v>
          </cell>
        </row>
        <row r="400">
          <cell r="A400">
            <v>4</v>
          </cell>
          <cell r="B400">
            <v>15</v>
          </cell>
          <cell r="C400" t="str">
            <v>805724026358</v>
          </cell>
          <cell r="D400" t="str">
            <v>398</v>
          </cell>
        </row>
        <row r="401">
          <cell r="A401">
            <v>4</v>
          </cell>
          <cell r="B401">
            <v>16</v>
          </cell>
          <cell r="C401" t="str">
            <v>805724008871</v>
          </cell>
          <cell r="D401" t="str">
            <v>396</v>
          </cell>
        </row>
        <row r="402">
          <cell r="A402">
            <v>4</v>
          </cell>
          <cell r="B402">
            <v>17</v>
          </cell>
          <cell r="D402" t="str">
            <v>0</v>
          </cell>
        </row>
        <row r="403">
          <cell r="A403">
            <v>4</v>
          </cell>
          <cell r="B403">
            <v>18</v>
          </cell>
          <cell r="C403" t="str">
            <v>805724091321</v>
          </cell>
          <cell r="D403" t="str">
            <v>428</v>
          </cell>
        </row>
        <row r="404">
          <cell r="A404">
            <v>4</v>
          </cell>
          <cell r="B404">
            <v>19</v>
          </cell>
          <cell r="C404" t="str">
            <v>805724061515</v>
          </cell>
          <cell r="D404" t="str">
            <v>397</v>
          </cell>
        </row>
        <row r="405">
          <cell r="A405">
            <v>4</v>
          </cell>
          <cell r="B405">
            <v>20</v>
          </cell>
          <cell r="C405" t="str">
            <v>805723653147</v>
          </cell>
          <cell r="D405" t="str">
            <v>393</v>
          </cell>
        </row>
        <row r="406">
          <cell r="A406">
            <v>4</v>
          </cell>
          <cell r="B406">
            <v>21</v>
          </cell>
          <cell r="C406" t="str">
            <v>805724025902</v>
          </cell>
          <cell r="D406" t="str">
            <v>395</v>
          </cell>
        </row>
        <row r="407">
          <cell r="A407">
            <v>4</v>
          </cell>
          <cell r="B407">
            <v>22</v>
          </cell>
          <cell r="C407" t="str">
            <v>805724091547</v>
          </cell>
          <cell r="D407" t="str">
            <v>395</v>
          </cell>
        </row>
        <row r="408">
          <cell r="A408">
            <v>4</v>
          </cell>
          <cell r="B408">
            <v>23</v>
          </cell>
          <cell r="C408" t="str">
            <v>805724027214</v>
          </cell>
          <cell r="D408" t="str">
            <v>395</v>
          </cell>
        </row>
        <row r="409">
          <cell r="A409">
            <v>4</v>
          </cell>
          <cell r="B409">
            <v>24</v>
          </cell>
          <cell r="C409" t="str">
            <v>805724089874</v>
          </cell>
          <cell r="D409" t="str">
            <v>390</v>
          </cell>
        </row>
        <row r="410">
          <cell r="A410">
            <v>4</v>
          </cell>
          <cell r="B410">
            <v>25</v>
          </cell>
          <cell r="C410" t="str">
            <v>805723219551</v>
          </cell>
          <cell r="D410" t="str">
            <v>393</v>
          </cell>
        </row>
        <row r="411">
          <cell r="A411">
            <v>4</v>
          </cell>
          <cell r="B411">
            <v>26</v>
          </cell>
          <cell r="C411" t="str">
            <v>805722454418</v>
          </cell>
          <cell r="D411" t="str">
            <v>390</v>
          </cell>
        </row>
        <row r="412">
          <cell r="A412">
            <v>4</v>
          </cell>
          <cell r="B412">
            <v>27</v>
          </cell>
          <cell r="C412" t="str">
            <v>805724026921</v>
          </cell>
          <cell r="D412" t="str">
            <v>394</v>
          </cell>
        </row>
        <row r="413">
          <cell r="A413">
            <v>4</v>
          </cell>
          <cell r="B413">
            <v>28</v>
          </cell>
          <cell r="C413" t="str">
            <v>805724028993</v>
          </cell>
          <cell r="D413" t="str">
            <v>396</v>
          </cell>
        </row>
        <row r="414">
          <cell r="A414">
            <v>4</v>
          </cell>
          <cell r="B414">
            <v>29</v>
          </cell>
          <cell r="C414" t="str">
            <v>805724071338</v>
          </cell>
          <cell r="D414" t="str">
            <v>391</v>
          </cell>
        </row>
        <row r="415">
          <cell r="A415">
            <v>4</v>
          </cell>
          <cell r="B415">
            <v>30</v>
          </cell>
          <cell r="C415" t="str">
            <v>805723603333</v>
          </cell>
          <cell r="D415" t="str">
            <v>396</v>
          </cell>
        </row>
        <row r="416">
          <cell r="A416">
            <v>4</v>
          </cell>
          <cell r="B416">
            <v>31</v>
          </cell>
          <cell r="C416" t="str">
            <v>805724016237</v>
          </cell>
          <cell r="D416" t="str">
            <v>398</v>
          </cell>
        </row>
        <row r="417">
          <cell r="A417">
            <v>4</v>
          </cell>
          <cell r="B417">
            <v>32</v>
          </cell>
          <cell r="C417" t="str">
            <v>805724015379</v>
          </cell>
          <cell r="D417" t="str">
            <v>397</v>
          </cell>
        </row>
        <row r="418">
          <cell r="A418">
            <v>4</v>
          </cell>
          <cell r="B418">
            <v>33</v>
          </cell>
          <cell r="C418" t="str">
            <v>805724016929</v>
          </cell>
          <cell r="D418" t="str">
            <v>391</v>
          </cell>
        </row>
        <row r="419">
          <cell r="A419">
            <v>4</v>
          </cell>
          <cell r="B419">
            <v>34</v>
          </cell>
          <cell r="C419" t="str">
            <v>805724018615</v>
          </cell>
          <cell r="D419" t="str">
            <v>394</v>
          </cell>
        </row>
        <row r="420">
          <cell r="A420">
            <v>4</v>
          </cell>
          <cell r="B420">
            <v>35</v>
          </cell>
          <cell r="C420" t="str">
            <v>805724062657</v>
          </cell>
          <cell r="D420" t="str">
            <v>390</v>
          </cell>
        </row>
        <row r="421">
          <cell r="A421">
            <v>4</v>
          </cell>
          <cell r="B421">
            <v>36</v>
          </cell>
          <cell r="C421" t="str">
            <v>805724005136</v>
          </cell>
          <cell r="D421" t="str">
            <v>382</v>
          </cell>
        </row>
        <row r="422">
          <cell r="A422">
            <v>4</v>
          </cell>
          <cell r="B422">
            <v>37</v>
          </cell>
          <cell r="C422" t="str">
            <v>805724062656</v>
          </cell>
          <cell r="D422" t="str">
            <v>396</v>
          </cell>
        </row>
        <row r="423">
          <cell r="A423">
            <v>4</v>
          </cell>
          <cell r="B423">
            <v>38</v>
          </cell>
          <cell r="C423" t="str">
            <v>805724061102</v>
          </cell>
          <cell r="D423" t="str">
            <v>392</v>
          </cell>
        </row>
        <row r="424">
          <cell r="A424">
            <v>4</v>
          </cell>
          <cell r="B424">
            <v>39</v>
          </cell>
          <cell r="C424" t="str">
            <v>805724019282</v>
          </cell>
          <cell r="D424" t="str">
            <v>393</v>
          </cell>
        </row>
        <row r="425">
          <cell r="A425">
            <v>4</v>
          </cell>
          <cell r="B425">
            <v>40</v>
          </cell>
          <cell r="C425" t="str">
            <v>805724061195</v>
          </cell>
          <cell r="D425" t="str">
            <v>393</v>
          </cell>
        </row>
        <row r="426">
          <cell r="A426">
            <v>4</v>
          </cell>
          <cell r="B426">
            <v>41</v>
          </cell>
          <cell r="C426" t="str">
            <v>805724021591</v>
          </cell>
          <cell r="D426" t="str">
            <v>348</v>
          </cell>
        </row>
        <row r="427">
          <cell r="A427">
            <v>4</v>
          </cell>
          <cell r="B427">
            <v>42</v>
          </cell>
          <cell r="C427" t="str">
            <v>805724029296</v>
          </cell>
          <cell r="D427" t="str">
            <v>393</v>
          </cell>
        </row>
        <row r="428">
          <cell r="A428">
            <v>4</v>
          </cell>
          <cell r="B428">
            <v>43</v>
          </cell>
          <cell r="C428" t="str">
            <v>805724028163</v>
          </cell>
          <cell r="D428" t="str">
            <v>393</v>
          </cell>
        </row>
        <row r="429">
          <cell r="A429">
            <v>4</v>
          </cell>
          <cell r="B429">
            <v>44</v>
          </cell>
          <cell r="C429" t="str">
            <v>805724026929</v>
          </cell>
          <cell r="D429" t="str">
            <v>394</v>
          </cell>
        </row>
        <row r="430">
          <cell r="A430">
            <v>4</v>
          </cell>
          <cell r="B430">
            <v>45</v>
          </cell>
          <cell r="C430" t="str">
            <v>805724055953</v>
          </cell>
          <cell r="D430" t="str">
            <v>393</v>
          </cell>
        </row>
        <row r="431">
          <cell r="A431">
            <v>4</v>
          </cell>
          <cell r="B431">
            <v>46</v>
          </cell>
          <cell r="C431" t="str">
            <v>805724056668</v>
          </cell>
          <cell r="D431" t="str">
            <v>394</v>
          </cell>
        </row>
        <row r="432">
          <cell r="A432">
            <v>4</v>
          </cell>
          <cell r="B432">
            <v>47</v>
          </cell>
          <cell r="C432" t="str">
            <v>805724015553</v>
          </cell>
          <cell r="D432" t="str">
            <v>396</v>
          </cell>
        </row>
        <row r="433">
          <cell r="A433">
            <v>4</v>
          </cell>
          <cell r="B433">
            <v>48</v>
          </cell>
          <cell r="C433" t="str">
            <v>805724025397</v>
          </cell>
          <cell r="D433" t="str">
            <v>396</v>
          </cell>
        </row>
        <row r="434">
          <cell r="A434">
            <v>4</v>
          </cell>
          <cell r="B434">
            <v>49</v>
          </cell>
          <cell r="C434" t="str">
            <v>805724091568</v>
          </cell>
          <cell r="D434" t="str">
            <v>379</v>
          </cell>
        </row>
        <row r="435">
          <cell r="A435">
            <v>4</v>
          </cell>
          <cell r="B435">
            <v>50</v>
          </cell>
          <cell r="C435" t="str">
            <v>805724027225</v>
          </cell>
          <cell r="D435" t="str">
            <v>393</v>
          </cell>
        </row>
        <row r="436">
          <cell r="A436">
            <v>4</v>
          </cell>
          <cell r="B436">
            <v>51</v>
          </cell>
          <cell r="C436" t="str">
            <v>805724090233</v>
          </cell>
          <cell r="D436" t="str">
            <v>394</v>
          </cell>
        </row>
        <row r="437">
          <cell r="A437">
            <v>4</v>
          </cell>
          <cell r="B437">
            <v>52</v>
          </cell>
          <cell r="C437" t="str">
            <v>805724016281</v>
          </cell>
          <cell r="D437" t="str">
            <v>55</v>
          </cell>
        </row>
        <row r="438">
          <cell r="A438">
            <v>4</v>
          </cell>
          <cell r="B438">
            <v>53</v>
          </cell>
          <cell r="C438" t="str">
            <v>805724089317</v>
          </cell>
          <cell r="D438" t="str">
            <v>396</v>
          </cell>
        </row>
        <row r="439">
          <cell r="A439">
            <v>4</v>
          </cell>
          <cell r="B439">
            <v>54</v>
          </cell>
          <cell r="C439" t="str">
            <v>805724025315</v>
          </cell>
          <cell r="D439" t="str">
            <v>394</v>
          </cell>
        </row>
        <row r="440">
          <cell r="A440">
            <v>4</v>
          </cell>
          <cell r="B440">
            <v>55</v>
          </cell>
          <cell r="C440" t="str">
            <v>805724014307</v>
          </cell>
          <cell r="D440" t="str">
            <v>392</v>
          </cell>
        </row>
        <row r="441">
          <cell r="A441">
            <v>4</v>
          </cell>
          <cell r="B441">
            <v>56</v>
          </cell>
          <cell r="C441" t="str">
            <v>805724092444</v>
          </cell>
          <cell r="D441" t="str">
            <v>390</v>
          </cell>
        </row>
        <row r="442">
          <cell r="A442">
            <v>4</v>
          </cell>
          <cell r="B442">
            <v>57</v>
          </cell>
          <cell r="C442" t="str">
            <v>805724024789</v>
          </cell>
          <cell r="D442" t="str">
            <v>397</v>
          </cell>
        </row>
        <row r="443">
          <cell r="A443">
            <v>4</v>
          </cell>
          <cell r="B443">
            <v>58</v>
          </cell>
          <cell r="C443" t="str">
            <v>805723592343</v>
          </cell>
          <cell r="D443" t="str">
            <v>17</v>
          </cell>
        </row>
        <row r="444">
          <cell r="A444">
            <v>4</v>
          </cell>
          <cell r="B444">
            <v>59</v>
          </cell>
          <cell r="C444" t="str">
            <v>805724061842</v>
          </cell>
          <cell r="D444" t="str">
            <v>381</v>
          </cell>
        </row>
        <row r="445">
          <cell r="A445">
            <v>4</v>
          </cell>
          <cell r="B445">
            <v>60</v>
          </cell>
          <cell r="C445" t="str">
            <v>805724054630</v>
          </cell>
          <cell r="D445" t="str">
            <v>395</v>
          </cell>
        </row>
        <row r="446">
          <cell r="A446">
            <v>4</v>
          </cell>
          <cell r="B446">
            <v>61</v>
          </cell>
          <cell r="C446" t="str">
            <v>805724067528</v>
          </cell>
          <cell r="D446" t="str">
            <v>365</v>
          </cell>
        </row>
        <row r="447">
          <cell r="A447">
            <v>4</v>
          </cell>
          <cell r="B447">
            <v>62</v>
          </cell>
          <cell r="C447" t="str">
            <v>805724017627</v>
          </cell>
          <cell r="D447" t="str">
            <v>396</v>
          </cell>
        </row>
        <row r="448">
          <cell r="A448">
            <v>4</v>
          </cell>
          <cell r="B448">
            <v>63</v>
          </cell>
          <cell r="C448" t="str">
            <v>805724027220</v>
          </cell>
          <cell r="D448" t="str">
            <v>398</v>
          </cell>
        </row>
        <row r="449">
          <cell r="A449">
            <v>4</v>
          </cell>
          <cell r="B449">
            <v>64</v>
          </cell>
          <cell r="C449" t="str">
            <v>805724027680</v>
          </cell>
          <cell r="D449" t="str">
            <v>409</v>
          </cell>
        </row>
        <row r="450">
          <cell r="A450">
            <v>4</v>
          </cell>
          <cell r="B450">
            <v>65</v>
          </cell>
          <cell r="C450" t="str">
            <v>805724015119</v>
          </cell>
          <cell r="D450" t="str">
            <v>393</v>
          </cell>
        </row>
        <row r="451">
          <cell r="A451">
            <v>4</v>
          </cell>
          <cell r="B451">
            <v>66</v>
          </cell>
          <cell r="D451" t="str">
            <v>0</v>
          </cell>
        </row>
        <row r="452">
          <cell r="A452">
            <v>4</v>
          </cell>
          <cell r="B452">
            <v>67</v>
          </cell>
          <cell r="C452" t="str">
            <v>805724061967</v>
          </cell>
          <cell r="D452" t="str">
            <v>394</v>
          </cell>
        </row>
        <row r="453">
          <cell r="A453">
            <v>4</v>
          </cell>
          <cell r="B453">
            <v>68</v>
          </cell>
          <cell r="C453" t="str">
            <v>805724021496</v>
          </cell>
          <cell r="D453" t="str">
            <v>379</v>
          </cell>
        </row>
        <row r="454">
          <cell r="A454">
            <v>4</v>
          </cell>
          <cell r="B454">
            <v>69</v>
          </cell>
          <cell r="C454" t="str">
            <v>805724056611</v>
          </cell>
          <cell r="D454" t="str">
            <v>393</v>
          </cell>
        </row>
        <row r="455">
          <cell r="A455">
            <v>4</v>
          </cell>
          <cell r="B455">
            <v>70</v>
          </cell>
          <cell r="C455" t="str">
            <v>805724059191</v>
          </cell>
          <cell r="D455" t="str">
            <v>370</v>
          </cell>
        </row>
        <row r="456">
          <cell r="A456">
            <v>4</v>
          </cell>
          <cell r="B456">
            <v>71</v>
          </cell>
          <cell r="C456" t="str">
            <v>805724006014</v>
          </cell>
          <cell r="D456" t="str">
            <v>396</v>
          </cell>
        </row>
        <row r="457">
          <cell r="A457">
            <v>4</v>
          </cell>
          <cell r="B457">
            <v>72</v>
          </cell>
          <cell r="C457" t="str">
            <v>805724060461</v>
          </cell>
          <cell r="D457" t="str">
            <v>389</v>
          </cell>
        </row>
        <row r="458">
          <cell r="A458">
            <v>4</v>
          </cell>
          <cell r="B458">
            <v>73</v>
          </cell>
          <cell r="C458" t="str">
            <v>805724022125</v>
          </cell>
          <cell r="D458" t="str">
            <v>392</v>
          </cell>
        </row>
        <row r="459">
          <cell r="A459">
            <v>4</v>
          </cell>
          <cell r="B459">
            <v>74</v>
          </cell>
          <cell r="C459" t="str">
            <v>805724026443</v>
          </cell>
          <cell r="D459" t="str">
            <v>391</v>
          </cell>
        </row>
        <row r="460">
          <cell r="A460">
            <v>4</v>
          </cell>
          <cell r="B460">
            <v>75</v>
          </cell>
          <cell r="C460" t="str">
            <v>805724025272</v>
          </cell>
          <cell r="D460" t="str">
            <v>396</v>
          </cell>
        </row>
        <row r="461">
          <cell r="A461">
            <v>4</v>
          </cell>
          <cell r="B461">
            <v>76</v>
          </cell>
          <cell r="C461" t="str">
            <v>805724085572</v>
          </cell>
          <cell r="D461" t="str">
            <v>394</v>
          </cell>
        </row>
        <row r="462">
          <cell r="A462">
            <v>4</v>
          </cell>
          <cell r="B462">
            <v>77</v>
          </cell>
          <cell r="C462" t="str">
            <v>805723580065</v>
          </cell>
          <cell r="D462" t="str">
            <v>393</v>
          </cell>
        </row>
        <row r="463">
          <cell r="A463">
            <v>4</v>
          </cell>
          <cell r="B463">
            <v>78</v>
          </cell>
          <cell r="C463" t="str">
            <v>805724083496</v>
          </cell>
          <cell r="D463" t="str">
            <v>396</v>
          </cell>
        </row>
        <row r="464">
          <cell r="A464">
            <v>4</v>
          </cell>
          <cell r="B464">
            <v>79</v>
          </cell>
          <cell r="C464" t="str">
            <v>805724026754</v>
          </cell>
          <cell r="D464" t="str">
            <v>394</v>
          </cell>
        </row>
        <row r="465">
          <cell r="A465">
            <v>4</v>
          </cell>
          <cell r="B465">
            <v>80</v>
          </cell>
          <cell r="C465" t="str">
            <v>805724025207</v>
          </cell>
          <cell r="D465" t="str">
            <v>395</v>
          </cell>
        </row>
        <row r="466">
          <cell r="A466">
            <v>4</v>
          </cell>
          <cell r="B466">
            <v>81</v>
          </cell>
          <cell r="C466" t="str">
            <v>805724100725</v>
          </cell>
          <cell r="D466" t="str">
            <v>394</v>
          </cell>
        </row>
        <row r="467">
          <cell r="A467">
            <v>4</v>
          </cell>
          <cell r="B467">
            <v>82</v>
          </cell>
          <cell r="C467" t="str">
            <v>805724027215</v>
          </cell>
          <cell r="D467" t="str">
            <v>395</v>
          </cell>
        </row>
        <row r="468">
          <cell r="A468">
            <v>4</v>
          </cell>
          <cell r="B468">
            <v>83</v>
          </cell>
          <cell r="C468" t="str">
            <v>805724028796</v>
          </cell>
          <cell r="D468" t="str">
            <v>398</v>
          </cell>
        </row>
        <row r="469">
          <cell r="A469">
            <v>4</v>
          </cell>
          <cell r="B469">
            <v>84</v>
          </cell>
          <cell r="C469" t="str">
            <v>805724011919</v>
          </cell>
          <cell r="D469" t="str">
            <v>394</v>
          </cell>
        </row>
        <row r="470">
          <cell r="A470">
            <v>4</v>
          </cell>
          <cell r="B470">
            <v>85</v>
          </cell>
          <cell r="C470" t="str">
            <v>805724026193</v>
          </cell>
          <cell r="D470" t="str">
            <v>395</v>
          </cell>
        </row>
        <row r="471">
          <cell r="A471">
            <v>4</v>
          </cell>
          <cell r="B471">
            <v>86</v>
          </cell>
          <cell r="C471" t="str">
            <v>805724019621</v>
          </cell>
          <cell r="D471" t="str">
            <v>392</v>
          </cell>
        </row>
        <row r="472">
          <cell r="A472">
            <v>4</v>
          </cell>
          <cell r="B472">
            <v>87</v>
          </cell>
          <cell r="C472" t="str">
            <v>805724067416</v>
          </cell>
          <cell r="D472" t="str">
            <v>393</v>
          </cell>
        </row>
        <row r="473">
          <cell r="A473">
            <v>4</v>
          </cell>
          <cell r="B473">
            <v>88</v>
          </cell>
          <cell r="C473" t="str">
            <v>805724028775</v>
          </cell>
          <cell r="D473" t="str">
            <v>394</v>
          </cell>
        </row>
        <row r="474">
          <cell r="A474">
            <v>4</v>
          </cell>
          <cell r="B474">
            <v>89</v>
          </cell>
          <cell r="C474" t="str">
            <v>805724028964</v>
          </cell>
          <cell r="D474" t="str">
            <v>395</v>
          </cell>
        </row>
        <row r="475">
          <cell r="A475">
            <v>4</v>
          </cell>
          <cell r="B475">
            <v>90</v>
          </cell>
          <cell r="C475" t="str">
            <v>805724017389</v>
          </cell>
          <cell r="D475" t="str">
            <v>393</v>
          </cell>
        </row>
        <row r="476">
          <cell r="A476">
            <v>4</v>
          </cell>
          <cell r="B476">
            <v>91</v>
          </cell>
          <cell r="C476" t="str">
            <v>805724027221</v>
          </cell>
          <cell r="D476" t="str">
            <v>393</v>
          </cell>
        </row>
        <row r="477">
          <cell r="A477">
            <v>4</v>
          </cell>
          <cell r="B477">
            <v>92</v>
          </cell>
          <cell r="C477" t="str">
            <v>805724071221</v>
          </cell>
          <cell r="D477" t="str">
            <v>395</v>
          </cell>
        </row>
        <row r="478">
          <cell r="A478">
            <v>4</v>
          </cell>
          <cell r="B478">
            <v>93</v>
          </cell>
          <cell r="C478" t="str">
            <v>805724062603</v>
          </cell>
          <cell r="D478" t="str">
            <v>393</v>
          </cell>
        </row>
        <row r="479">
          <cell r="A479">
            <v>4</v>
          </cell>
          <cell r="B479">
            <v>94</v>
          </cell>
          <cell r="C479" t="str">
            <v>805724026992</v>
          </cell>
          <cell r="D479" t="str">
            <v>393</v>
          </cell>
        </row>
        <row r="480">
          <cell r="A480">
            <v>4</v>
          </cell>
          <cell r="B480">
            <v>95</v>
          </cell>
          <cell r="C480" t="str">
            <v>805724027222</v>
          </cell>
          <cell r="D480" t="str">
            <v>397</v>
          </cell>
        </row>
        <row r="481">
          <cell r="A481">
            <v>4</v>
          </cell>
          <cell r="B481">
            <v>96</v>
          </cell>
          <cell r="C481" t="str">
            <v>805724027219</v>
          </cell>
          <cell r="D481" t="str">
            <v>396</v>
          </cell>
        </row>
        <row r="482">
          <cell r="A482">
            <v>4</v>
          </cell>
          <cell r="B482">
            <v>97</v>
          </cell>
          <cell r="C482" t="str">
            <v>805724025665</v>
          </cell>
          <cell r="D482" t="str">
            <v>397</v>
          </cell>
        </row>
        <row r="483">
          <cell r="A483">
            <v>4</v>
          </cell>
          <cell r="B483">
            <v>98</v>
          </cell>
          <cell r="C483" t="str">
            <v>805724091545</v>
          </cell>
          <cell r="D483" t="str">
            <v>392</v>
          </cell>
        </row>
        <row r="484">
          <cell r="A484">
            <v>4</v>
          </cell>
          <cell r="B484">
            <v>99</v>
          </cell>
          <cell r="C484" t="str">
            <v>805724026479</v>
          </cell>
          <cell r="D484" t="str">
            <v>389</v>
          </cell>
        </row>
        <row r="485">
          <cell r="A485">
            <v>4</v>
          </cell>
          <cell r="B485">
            <v>100</v>
          </cell>
          <cell r="C485" t="str">
            <v>805724027250</v>
          </cell>
          <cell r="D485" t="str">
            <v>392</v>
          </cell>
        </row>
        <row r="486">
          <cell r="A486">
            <v>4</v>
          </cell>
          <cell r="B486">
            <v>101</v>
          </cell>
          <cell r="C486" t="str">
            <v>805724068027</v>
          </cell>
          <cell r="D486" t="str">
            <v>390</v>
          </cell>
        </row>
        <row r="487">
          <cell r="A487">
            <v>4</v>
          </cell>
          <cell r="B487">
            <v>102</v>
          </cell>
          <cell r="C487" t="str">
            <v>805724085221</v>
          </cell>
          <cell r="D487" t="str">
            <v>386</v>
          </cell>
        </row>
        <row r="488">
          <cell r="A488">
            <v>4</v>
          </cell>
          <cell r="B488">
            <v>103</v>
          </cell>
          <cell r="C488" t="str">
            <v>805724088820</v>
          </cell>
          <cell r="D488" t="str">
            <v>388</v>
          </cell>
        </row>
        <row r="489">
          <cell r="A489">
            <v>4</v>
          </cell>
          <cell r="B489">
            <v>104</v>
          </cell>
          <cell r="C489" t="str">
            <v>805724055669</v>
          </cell>
          <cell r="D489" t="str">
            <v>390</v>
          </cell>
        </row>
        <row r="490">
          <cell r="A490">
            <v>4</v>
          </cell>
          <cell r="B490">
            <v>105</v>
          </cell>
          <cell r="C490" t="str">
            <v>805724026207</v>
          </cell>
          <cell r="D490" t="str">
            <v>390</v>
          </cell>
        </row>
        <row r="491">
          <cell r="A491">
            <v>4</v>
          </cell>
          <cell r="B491">
            <v>106</v>
          </cell>
          <cell r="C491" t="str">
            <v>805724089892</v>
          </cell>
          <cell r="D491" t="str">
            <v>388</v>
          </cell>
        </row>
        <row r="492">
          <cell r="A492">
            <v>4</v>
          </cell>
          <cell r="B492">
            <v>107</v>
          </cell>
          <cell r="C492" t="str">
            <v>805724055598</v>
          </cell>
          <cell r="D492" t="str">
            <v>390</v>
          </cell>
        </row>
        <row r="493">
          <cell r="A493">
            <v>4</v>
          </cell>
          <cell r="B493">
            <v>108</v>
          </cell>
          <cell r="C493" t="str">
            <v>805723519609</v>
          </cell>
          <cell r="D493" t="str">
            <v>388</v>
          </cell>
        </row>
        <row r="494">
          <cell r="A494">
            <v>4</v>
          </cell>
          <cell r="B494">
            <v>109</v>
          </cell>
          <cell r="C494" t="str">
            <v>805724026822</v>
          </cell>
          <cell r="D494" t="str">
            <v>393</v>
          </cell>
        </row>
        <row r="495">
          <cell r="A495">
            <v>4</v>
          </cell>
          <cell r="B495">
            <v>110</v>
          </cell>
          <cell r="C495" t="str">
            <v>805724089876</v>
          </cell>
          <cell r="D495" t="str">
            <v>395</v>
          </cell>
        </row>
        <row r="496">
          <cell r="A496">
            <v>4</v>
          </cell>
          <cell r="B496">
            <v>111</v>
          </cell>
          <cell r="C496" t="str">
            <v>805724071333</v>
          </cell>
          <cell r="D496" t="str">
            <v>390</v>
          </cell>
        </row>
        <row r="497">
          <cell r="A497">
            <v>4</v>
          </cell>
          <cell r="B497">
            <v>112</v>
          </cell>
          <cell r="C497" t="str">
            <v>805724088774</v>
          </cell>
          <cell r="D497" t="str">
            <v>392</v>
          </cell>
        </row>
        <row r="498">
          <cell r="A498">
            <v>4</v>
          </cell>
          <cell r="B498">
            <v>113</v>
          </cell>
          <cell r="C498" t="str">
            <v>805724072071</v>
          </cell>
          <cell r="D498" t="str">
            <v>395</v>
          </cell>
        </row>
        <row r="499">
          <cell r="A499">
            <v>4</v>
          </cell>
          <cell r="B499">
            <v>114</v>
          </cell>
          <cell r="C499" t="str">
            <v>805724089993</v>
          </cell>
          <cell r="D499" t="str">
            <v>359</v>
          </cell>
        </row>
        <row r="500">
          <cell r="A500">
            <v>4</v>
          </cell>
          <cell r="B500">
            <v>115</v>
          </cell>
          <cell r="C500" t="str">
            <v>805724089659</v>
          </cell>
          <cell r="D500" t="str">
            <v>393</v>
          </cell>
        </row>
        <row r="501">
          <cell r="A501">
            <v>4</v>
          </cell>
          <cell r="B501">
            <v>116</v>
          </cell>
          <cell r="C501" t="str">
            <v>805724090263</v>
          </cell>
          <cell r="D501" t="str">
            <v>393</v>
          </cell>
        </row>
        <row r="502">
          <cell r="A502">
            <v>4</v>
          </cell>
          <cell r="B502">
            <v>117</v>
          </cell>
          <cell r="C502" t="str">
            <v>805724085575</v>
          </cell>
          <cell r="D502" t="str">
            <v>389</v>
          </cell>
        </row>
        <row r="503">
          <cell r="A503">
            <v>4</v>
          </cell>
          <cell r="B503">
            <v>118</v>
          </cell>
          <cell r="C503" t="str">
            <v>805724028281</v>
          </cell>
          <cell r="D503" t="str">
            <v>376</v>
          </cell>
        </row>
        <row r="504">
          <cell r="A504">
            <v>4</v>
          </cell>
          <cell r="B504">
            <v>119</v>
          </cell>
          <cell r="C504" t="str">
            <v>805724022161</v>
          </cell>
          <cell r="D504" t="str">
            <v>387</v>
          </cell>
        </row>
        <row r="505">
          <cell r="A505">
            <v>4</v>
          </cell>
          <cell r="B505">
            <v>120</v>
          </cell>
          <cell r="C505" t="str">
            <v>805723514175</v>
          </cell>
          <cell r="D505" t="str">
            <v>391</v>
          </cell>
        </row>
        <row r="506">
          <cell r="A506">
            <v>4</v>
          </cell>
          <cell r="B506">
            <v>121</v>
          </cell>
          <cell r="C506" t="str">
            <v>805723605047</v>
          </cell>
          <cell r="D506" t="str">
            <v>387</v>
          </cell>
        </row>
        <row r="507">
          <cell r="A507">
            <v>4</v>
          </cell>
          <cell r="B507">
            <v>122</v>
          </cell>
          <cell r="C507" t="str">
            <v>805724026194</v>
          </cell>
          <cell r="D507" t="str">
            <v>394</v>
          </cell>
        </row>
        <row r="508">
          <cell r="A508">
            <v>4</v>
          </cell>
          <cell r="B508">
            <v>123</v>
          </cell>
          <cell r="C508" t="str">
            <v>805723571783</v>
          </cell>
          <cell r="D508" t="str">
            <v>392</v>
          </cell>
        </row>
        <row r="509">
          <cell r="A509">
            <v>4</v>
          </cell>
          <cell r="B509">
            <v>124</v>
          </cell>
          <cell r="C509" t="str">
            <v>805724019283</v>
          </cell>
          <cell r="D509" t="str">
            <v>393</v>
          </cell>
        </row>
        <row r="510">
          <cell r="A510">
            <v>4</v>
          </cell>
          <cell r="B510">
            <v>125</v>
          </cell>
          <cell r="C510" t="str">
            <v>805723519115</v>
          </cell>
          <cell r="D510" t="str">
            <v>393</v>
          </cell>
        </row>
        <row r="511">
          <cell r="A511">
            <v>4</v>
          </cell>
          <cell r="B511">
            <v>126</v>
          </cell>
          <cell r="C511" t="str">
            <v>805723650278</v>
          </cell>
          <cell r="D511" t="str">
            <v>394</v>
          </cell>
        </row>
        <row r="512">
          <cell r="A512">
            <v>4</v>
          </cell>
          <cell r="B512">
            <v>127</v>
          </cell>
          <cell r="C512" t="str">
            <v>805723644807</v>
          </cell>
          <cell r="D512" t="str">
            <v>384</v>
          </cell>
        </row>
        <row r="513">
          <cell r="A513">
            <v>4</v>
          </cell>
          <cell r="B513">
            <v>128</v>
          </cell>
          <cell r="C513" t="str">
            <v>805723605684</v>
          </cell>
          <cell r="D513" t="str">
            <v>390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同区"/>
      <sheetName val="Raw date"/>
      <sheetName val="DTS data"/>
      <sheetName val="同批电芯PC"/>
      <sheetName val="IC"/>
      <sheetName val="DTS"/>
      <sheetName val="CellName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DEVICENO</v>
          </cell>
          <cell r="B1" t="str">
            <v>CELLNO</v>
          </cell>
          <cell r="C1" t="str">
            <v>CELLNAME</v>
          </cell>
          <cell r="D1" t="str">
            <v>BACKUPNO</v>
          </cell>
        </row>
        <row r="2">
          <cell r="A2">
            <v>1</v>
          </cell>
          <cell r="B2">
            <v>1</v>
          </cell>
          <cell r="C2" t="str">
            <v>805724140172</v>
          </cell>
          <cell r="D2" t="str">
            <v>398</v>
          </cell>
        </row>
        <row r="3">
          <cell r="A3">
            <v>1</v>
          </cell>
          <cell r="B3">
            <v>2</v>
          </cell>
          <cell r="C3" t="str">
            <v>805724060628</v>
          </cell>
          <cell r="D3" t="str">
            <v>397</v>
          </cell>
        </row>
        <row r="4">
          <cell r="A4">
            <v>1</v>
          </cell>
          <cell r="B4">
            <v>3</v>
          </cell>
          <cell r="C4" t="str">
            <v>805724090621</v>
          </cell>
          <cell r="D4" t="str">
            <v>393</v>
          </cell>
        </row>
        <row r="5">
          <cell r="A5">
            <v>1</v>
          </cell>
          <cell r="B5">
            <v>4</v>
          </cell>
          <cell r="C5" t="str">
            <v>805724025727</v>
          </cell>
          <cell r="D5" t="str">
            <v>398</v>
          </cell>
        </row>
        <row r="6">
          <cell r="A6">
            <v>1</v>
          </cell>
          <cell r="B6">
            <v>5</v>
          </cell>
          <cell r="C6">
            <v>805724024841</v>
          </cell>
          <cell r="D6" t="str">
            <v>396</v>
          </cell>
        </row>
        <row r="7">
          <cell r="A7">
            <v>1</v>
          </cell>
          <cell r="B7">
            <v>6</v>
          </cell>
          <cell r="C7" t="str">
            <v>805724026250</v>
          </cell>
          <cell r="D7" t="str">
            <v>392</v>
          </cell>
        </row>
        <row r="8">
          <cell r="A8">
            <v>1</v>
          </cell>
          <cell r="B8">
            <v>7</v>
          </cell>
          <cell r="C8" t="str">
            <v>805724092813</v>
          </cell>
          <cell r="D8" t="str">
            <v>395</v>
          </cell>
        </row>
        <row r="9">
          <cell r="A9">
            <v>1</v>
          </cell>
          <cell r="B9">
            <v>8</v>
          </cell>
          <cell r="C9" t="str">
            <v>805724144048</v>
          </cell>
          <cell r="D9" t="str">
            <v>389</v>
          </cell>
        </row>
        <row r="10">
          <cell r="A10">
            <v>1</v>
          </cell>
          <cell r="B10">
            <v>9</v>
          </cell>
          <cell r="C10" t="str">
            <v>805723559538</v>
          </cell>
          <cell r="D10" t="str">
            <v>395</v>
          </cell>
        </row>
        <row r="11">
          <cell r="A11">
            <v>1</v>
          </cell>
          <cell r="B11">
            <v>10</v>
          </cell>
          <cell r="C11" t="str">
            <v>805723559104</v>
          </cell>
          <cell r="D11" t="str">
            <v>57</v>
          </cell>
        </row>
        <row r="12">
          <cell r="A12">
            <v>1</v>
          </cell>
          <cell r="B12">
            <v>11</v>
          </cell>
          <cell r="C12" t="str">
            <v>805724024826</v>
          </cell>
          <cell r="D12" t="str">
            <v>382</v>
          </cell>
        </row>
        <row r="13">
          <cell r="A13">
            <v>1</v>
          </cell>
          <cell r="B13">
            <v>12</v>
          </cell>
          <cell r="C13" t="str">
            <v>805724090582</v>
          </cell>
          <cell r="D13" t="str">
            <v>396</v>
          </cell>
        </row>
        <row r="14">
          <cell r="A14">
            <v>1</v>
          </cell>
          <cell r="B14">
            <v>13</v>
          </cell>
          <cell r="C14" t="str">
            <v>805724090595</v>
          </cell>
          <cell r="D14" t="str">
            <v>397</v>
          </cell>
        </row>
        <row r="15">
          <cell r="A15">
            <v>1</v>
          </cell>
          <cell r="B15">
            <v>14</v>
          </cell>
          <cell r="C15" t="str">
            <v>805724019581</v>
          </cell>
          <cell r="D15" t="str">
            <v>397</v>
          </cell>
        </row>
        <row r="16">
          <cell r="A16">
            <v>1</v>
          </cell>
          <cell r="B16">
            <v>15</v>
          </cell>
          <cell r="C16" t="str">
            <v>805724058880</v>
          </cell>
          <cell r="D16" t="str">
            <v>389</v>
          </cell>
        </row>
        <row r="17">
          <cell r="A17">
            <v>1</v>
          </cell>
          <cell r="B17">
            <v>16</v>
          </cell>
          <cell r="C17" t="str">
            <v>805724070666</v>
          </cell>
          <cell r="D17" t="str">
            <v>391</v>
          </cell>
        </row>
        <row r="18">
          <cell r="A18">
            <v>1</v>
          </cell>
          <cell r="B18">
            <v>17</v>
          </cell>
          <cell r="C18" t="str">
            <v>805724019604</v>
          </cell>
          <cell r="D18" t="str">
            <v>391</v>
          </cell>
        </row>
        <row r="19">
          <cell r="A19">
            <v>1</v>
          </cell>
          <cell r="B19">
            <v>18</v>
          </cell>
          <cell r="D19" t="str">
            <v>0</v>
          </cell>
        </row>
        <row r="20">
          <cell r="A20">
            <v>1</v>
          </cell>
          <cell r="B20">
            <v>19</v>
          </cell>
          <cell r="C20" t="str">
            <v>805724027559</v>
          </cell>
          <cell r="D20" t="str">
            <v>393</v>
          </cell>
        </row>
        <row r="21">
          <cell r="A21">
            <v>1</v>
          </cell>
          <cell r="B21">
            <v>20</v>
          </cell>
          <cell r="D21" t="str">
            <v>0</v>
          </cell>
        </row>
        <row r="22">
          <cell r="A22">
            <v>1</v>
          </cell>
          <cell r="B22">
            <v>21</v>
          </cell>
          <cell r="C22" t="str">
            <v>805724027478</v>
          </cell>
          <cell r="D22" t="str">
            <v>389</v>
          </cell>
        </row>
        <row r="23">
          <cell r="A23">
            <v>1</v>
          </cell>
          <cell r="B23">
            <v>22</v>
          </cell>
          <cell r="C23" t="str">
            <v>805724028048</v>
          </cell>
          <cell r="D23" t="str">
            <v>390</v>
          </cell>
        </row>
        <row r="24">
          <cell r="A24">
            <v>1</v>
          </cell>
          <cell r="B24">
            <v>23</v>
          </cell>
          <cell r="C24" t="str">
            <v>805724144152</v>
          </cell>
          <cell r="D24" t="str">
            <v>390</v>
          </cell>
        </row>
        <row r="25">
          <cell r="A25">
            <v>1</v>
          </cell>
          <cell r="B25">
            <v>24</v>
          </cell>
          <cell r="C25" t="str">
            <v>805724089421</v>
          </cell>
          <cell r="D25" t="str">
            <v>395</v>
          </cell>
        </row>
        <row r="26">
          <cell r="A26">
            <v>1</v>
          </cell>
          <cell r="B26">
            <v>25</v>
          </cell>
          <cell r="C26" t="str">
            <v>805723564500</v>
          </cell>
          <cell r="D26" t="str">
            <v>392</v>
          </cell>
        </row>
        <row r="27">
          <cell r="A27">
            <v>1</v>
          </cell>
          <cell r="B27">
            <v>26</v>
          </cell>
          <cell r="C27" t="str">
            <v>805724091560</v>
          </cell>
          <cell r="D27" t="str">
            <v>396</v>
          </cell>
        </row>
        <row r="28">
          <cell r="A28">
            <v>1</v>
          </cell>
          <cell r="B28">
            <v>27</v>
          </cell>
          <cell r="C28" t="str">
            <v>805724088817</v>
          </cell>
          <cell r="D28" t="str">
            <v>392</v>
          </cell>
        </row>
        <row r="29">
          <cell r="A29">
            <v>1</v>
          </cell>
          <cell r="B29">
            <v>28</v>
          </cell>
          <cell r="C29" t="str">
            <v>805724092784</v>
          </cell>
          <cell r="D29" t="str">
            <v>396</v>
          </cell>
        </row>
        <row r="30">
          <cell r="A30">
            <v>1</v>
          </cell>
          <cell r="B30">
            <v>29</v>
          </cell>
          <cell r="C30" t="str">
            <v>805724071104</v>
          </cell>
          <cell r="D30" t="str">
            <v>394</v>
          </cell>
        </row>
        <row r="31">
          <cell r="A31">
            <v>1</v>
          </cell>
          <cell r="B31">
            <v>30</v>
          </cell>
          <cell r="C31" t="str">
            <v>805724028697</v>
          </cell>
          <cell r="D31" t="str">
            <v>395</v>
          </cell>
        </row>
        <row r="32">
          <cell r="A32">
            <v>1</v>
          </cell>
          <cell r="B32">
            <v>31</v>
          </cell>
          <cell r="C32" t="str">
            <v>805724026149</v>
          </cell>
          <cell r="D32" t="str">
            <v>394</v>
          </cell>
        </row>
        <row r="33">
          <cell r="A33">
            <v>1</v>
          </cell>
          <cell r="B33">
            <v>32</v>
          </cell>
          <cell r="C33" t="str">
            <v>805724026375</v>
          </cell>
          <cell r="D33" t="str">
            <v>390</v>
          </cell>
        </row>
        <row r="34">
          <cell r="A34">
            <v>1</v>
          </cell>
          <cell r="B34">
            <v>33</v>
          </cell>
          <cell r="C34" t="str">
            <v>805724089031</v>
          </cell>
          <cell r="D34" t="str">
            <v>384</v>
          </cell>
        </row>
        <row r="35">
          <cell r="A35">
            <v>1</v>
          </cell>
          <cell r="B35">
            <v>34</v>
          </cell>
          <cell r="C35" t="str">
            <v>805724067364</v>
          </cell>
          <cell r="D35" t="str">
            <v>395</v>
          </cell>
        </row>
        <row r="36">
          <cell r="A36">
            <v>1</v>
          </cell>
          <cell r="B36">
            <v>35</v>
          </cell>
          <cell r="C36" t="str">
            <v>805724019833</v>
          </cell>
          <cell r="D36" t="str">
            <v>393</v>
          </cell>
        </row>
        <row r="37">
          <cell r="A37">
            <v>1</v>
          </cell>
          <cell r="B37">
            <v>36</v>
          </cell>
          <cell r="C37" t="str">
            <v>805724023279</v>
          </cell>
          <cell r="D37" t="str">
            <v>393</v>
          </cell>
        </row>
        <row r="38">
          <cell r="A38">
            <v>1</v>
          </cell>
          <cell r="B38">
            <v>37</v>
          </cell>
          <cell r="C38" t="str">
            <v>805723601786</v>
          </cell>
          <cell r="D38" t="str">
            <v>394</v>
          </cell>
        </row>
        <row r="39">
          <cell r="A39">
            <v>1</v>
          </cell>
          <cell r="B39">
            <v>38</v>
          </cell>
          <cell r="C39" t="str">
            <v>805724017564</v>
          </cell>
          <cell r="D39" t="str">
            <v>391</v>
          </cell>
        </row>
        <row r="40">
          <cell r="A40">
            <v>1</v>
          </cell>
          <cell r="B40">
            <v>39</v>
          </cell>
          <cell r="C40" t="str">
            <v>805724025898</v>
          </cell>
          <cell r="D40" t="str">
            <v>393</v>
          </cell>
        </row>
        <row r="41">
          <cell r="A41">
            <v>1</v>
          </cell>
          <cell r="B41">
            <v>40</v>
          </cell>
          <cell r="C41" t="str">
            <v>805723602907</v>
          </cell>
          <cell r="D41" t="str">
            <v>393</v>
          </cell>
        </row>
        <row r="42">
          <cell r="A42">
            <v>1</v>
          </cell>
          <cell r="B42">
            <v>41</v>
          </cell>
          <cell r="C42" t="str">
            <v>805724089435</v>
          </cell>
          <cell r="D42" t="str">
            <v>392</v>
          </cell>
        </row>
        <row r="43">
          <cell r="A43">
            <v>1</v>
          </cell>
          <cell r="B43">
            <v>42</v>
          </cell>
          <cell r="C43" t="str">
            <v>805724071326</v>
          </cell>
          <cell r="D43" t="str">
            <v>392</v>
          </cell>
        </row>
        <row r="44">
          <cell r="A44">
            <v>1</v>
          </cell>
          <cell r="B44">
            <v>43</v>
          </cell>
          <cell r="C44" t="str">
            <v>805724027244</v>
          </cell>
          <cell r="D44" t="str">
            <v>391</v>
          </cell>
        </row>
        <row r="45">
          <cell r="A45">
            <v>1</v>
          </cell>
          <cell r="B45">
            <v>44</v>
          </cell>
          <cell r="C45" t="str">
            <v>805724018999</v>
          </cell>
          <cell r="D45" t="str">
            <v>396</v>
          </cell>
        </row>
        <row r="46">
          <cell r="A46">
            <v>1</v>
          </cell>
          <cell r="B46">
            <v>45</v>
          </cell>
          <cell r="C46" t="str">
            <v>805724018507</v>
          </cell>
          <cell r="D46" t="str">
            <v>393</v>
          </cell>
        </row>
        <row r="47">
          <cell r="A47">
            <v>1</v>
          </cell>
          <cell r="B47">
            <v>46</v>
          </cell>
          <cell r="C47" t="str">
            <v>805724144146</v>
          </cell>
          <cell r="D47" t="str">
            <v>393</v>
          </cell>
        </row>
        <row r="48">
          <cell r="A48">
            <v>1</v>
          </cell>
          <cell r="B48">
            <v>47</v>
          </cell>
          <cell r="C48" t="str">
            <v>805724021600</v>
          </cell>
          <cell r="D48" t="str">
            <v>394</v>
          </cell>
        </row>
        <row r="49">
          <cell r="A49">
            <v>1</v>
          </cell>
          <cell r="B49">
            <v>48</v>
          </cell>
          <cell r="C49" t="str">
            <v>805724027263</v>
          </cell>
          <cell r="D49" t="str">
            <v>393</v>
          </cell>
        </row>
        <row r="50">
          <cell r="A50">
            <v>1</v>
          </cell>
          <cell r="B50">
            <v>49</v>
          </cell>
          <cell r="C50" t="str">
            <v>805724028781</v>
          </cell>
          <cell r="D50" t="str">
            <v>394</v>
          </cell>
        </row>
        <row r="51">
          <cell r="A51">
            <v>1</v>
          </cell>
          <cell r="B51">
            <v>50</v>
          </cell>
          <cell r="C51" t="str">
            <v>805724067999</v>
          </cell>
          <cell r="D51" t="str">
            <v>388</v>
          </cell>
        </row>
        <row r="52">
          <cell r="A52">
            <v>1</v>
          </cell>
          <cell r="B52">
            <v>51</v>
          </cell>
          <cell r="C52" t="str">
            <v>805724017692</v>
          </cell>
          <cell r="D52" t="str">
            <v>391</v>
          </cell>
        </row>
        <row r="53">
          <cell r="A53">
            <v>1</v>
          </cell>
          <cell r="B53">
            <v>52</v>
          </cell>
          <cell r="C53" t="str">
            <v>805724028506</v>
          </cell>
          <cell r="D53" t="str">
            <v>394</v>
          </cell>
        </row>
        <row r="54">
          <cell r="A54">
            <v>1</v>
          </cell>
          <cell r="B54">
            <v>53</v>
          </cell>
          <cell r="C54" t="str">
            <v>805724085263</v>
          </cell>
          <cell r="D54" t="str">
            <v>387</v>
          </cell>
        </row>
        <row r="55">
          <cell r="A55">
            <v>1</v>
          </cell>
          <cell r="B55">
            <v>54</v>
          </cell>
          <cell r="C55" t="str">
            <v>805724015917</v>
          </cell>
          <cell r="D55" t="str">
            <v>392</v>
          </cell>
        </row>
        <row r="56">
          <cell r="A56">
            <v>1</v>
          </cell>
          <cell r="B56">
            <v>55</v>
          </cell>
          <cell r="C56" t="str">
            <v>805724024930</v>
          </cell>
          <cell r="D56" t="str">
            <v>393</v>
          </cell>
        </row>
        <row r="57">
          <cell r="A57">
            <v>1</v>
          </cell>
          <cell r="B57">
            <v>56</v>
          </cell>
          <cell r="C57" t="str">
            <v>805724028137</v>
          </cell>
          <cell r="D57" t="str">
            <v>391</v>
          </cell>
        </row>
        <row r="58">
          <cell r="A58">
            <v>1</v>
          </cell>
          <cell r="B58">
            <v>57</v>
          </cell>
          <cell r="C58" t="str">
            <v>805724016740</v>
          </cell>
          <cell r="D58" t="str">
            <v>394</v>
          </cell>
        </row>
        <row r="59">
          <cell r="A59">
            <v>1</v>
          </cell>
          <cell r="B59">
            <v>58</v>
          </cell>
          <cell r="C59" t="str">
            <v>805724092804</v>
          </cell>
          <cell r="D59" t="str">
            <v>393</v>
          </cell>
        </row>
        <row r="60">
          <cell r="A60">
            <v>1</v>
          </cell>
          <cell r="B60">
            <v>59</v>
          </cell>
          <cell r="C60" t="str">
            <v>805724085248</v>
          </cell>
          <cell r="D60" t="str">
            <v>395</v>
          </cell>
        </row>
        <row r="61">
          <cell r="A61">
            <v>1</v>
          </cell>
          <cell r="B61">
            <v>60</v>
          </cell>
          <cell r="C61" t="str">
            <v>805724070837</v>
          </cell>
          <cell r="D61" t="str">
            <v>388</v>
          </cell>
        </row>
        <row r="62">
          <cell r="A62">
            <v>1</v>
          </cell>
          <cell r="B62">
            <v>61</v>
          </cell>
          <cell r="C62" t="str">
            <v>805724012101</v>
          </cell>
          <cell r="D62" t="str">
            <v>396</v>
          </cell>
        </row>
        <row r="63">
          <cell r="A63">
            <v>1</v>
          </cell>
          <cell r="B63">
            <v>62</v>
          </cell>
          <cell r="C63" t="str">
            <v>805724088812</v>
          </cell>
          <cell r="D63" t="str">
            <v>394</v>
          </cell>
        </row>
        <row r="64">
          <cell r="A64">
            <v>1</v>
          </cell>
          <cell r="B64">
            <v>63</v>
          </cell>
          <cell r="C64" t="str">
            <v>805724049408</v>
          </cell>
          <cell r="D64" t="str">
            <v>391</v>
          </cell>
        </row>
        <row r="65">
          <cell r="A65">
            <v>1</v>
          </cell>
          <cell r="B65">
            <v>64</v>
          </cell>
          <cell r="C65" t="str">
            <v>805724019618</v>
          </cell>
          <cell r="D65" t="str">
            <v>397</v>
          </cell>
        </row>
        <row r="66">
          <cell r="A66">
            <v>1</v>
          </cell>
          <cell r="B66">
            <v>65</v>
          </cell>
          <cell r="C66" t="str">
            <v>805724059727</v>
          </cell>
          <cell r="D66" t="str">
            <v>2</v>
          </cell>
        </row>
        <row r="67">
          <cell r="A67">
            <v>1</v>
          </cell>
          <cell r="B67">
            <v>66</v>
          </cell>
          <cell r="C67" t="str">
            <v>805724011689</v>
          </cell>
          <cell r="D67" t="str">
            <v>394</v>
          </cell>
        </row>
        <row r="68">
          <cell r="A68">
            <v>1</v>
          </cell>
          <cell r="B68">
            <v>67</v>
          </cell>
          <cell r="C68" t="str">
            <v>805723565452</v>
          </cell>
          <cell r="D68" t="str">
            <v>392</v>
          </cell>
        </row>
        <row r="69">
          <cell r="A69">
            <v>1</v>
          </cell>
          <cell r="B69">
            <v>68</v>
          </cell>
          <cell r="C69" t="str">
            <v>805723607311</v>
          </cell>
          <cell r="D69" t="str">
            <v>394</v>
          </cell>
        </row>
        <row r="70">
          <cell r="A70">
            <v>1</v>
          </cell>
          <cell r="B70">
            <v>69</v>
          </cell>
          <cell r="C70" t="str">
            <v>805724058767</v>
          </cell>
          <cell r="D70" t="str">
            <v>388</v>
          </cell>
        </row>
        <row r="71">
          <cell r="A71">
            <v>1</v>
          </cell>
          <cell r="B71">
            <v>70</v>
          </cell>
          <cell r="C71" t="str">
            <v>805723570555</v>
          </cell>
          <cell r="D71" t="str">
            <v>395</v>
          </cell>
        </row>
        <row r="72">
          <cell r="A72">
            <v>1</v>
          </cell>
          <cell r="B72">
            <v>71</v>
          </cell>
          <cell r="C72" t="str">
            <v>805724071318</v>
          </cell>
          <cell r="D72" t="str">
            <v>396</v>
          </cell>
        </row>
        <row r="73">
          <cell r="A73">
            <v>1</v>
          </cell>
          <cell r="B73">
            <v>72</v>
          </cell>
          <cell r="C73" t="str">
            <v>805724019025</v>
          </cell>
          <cell r="D73" t="str">
            <v>391</v>
          </cell>
        </row>
        <row r="74">
          <cell r="A74">
            <v>1</v>
          </cell>
          <cell r="B74">
            <v>73</v>
          </cell>
          <cell r="C74" t="str">
            <v>805724049434</v>
          </cell>
          <cell r="D74" t="str">
            <v>393</v>
          </cell>
        </row>
        <row r="75">
          <cell r="A75">
            <v>1</v>
          </cell>
          <cell r="B75">
            <v>74</v>
          </cell>
          <cell r="C75" t="str">
            <v>805724088997</v>
          </cell>
          <cell r="D75" t="str">
            <v>398</v>
          </cell>
        </row>
        <row r="76">
          <cell r="A76">
            <v>1</v>
          </cell>
          <cell r="B76">
            <v>75</v>
          </cell>
          <cell r="C76" t="str">
            <v>805724071335</v>
          </cell>
          <cell r="D76" t="str">
            <v>392</v>
          </cell>
        </row>
        <row r="77">
          <cell r="A77">
            <v>1</v>
          </cell>
          <cell r="B77">
            <v>76</v>
          </cell>
          <cell r="C77" t="str">
            <v>805724027177</v>
          </cell>
          <cell r="D77" t="str">
            <v>391</v>
          </cell>
        </row>
        <row r="78">
          <cell r="A78">
            <v>1</v>
          </cell>
          <cell r="B78">
            <v>77</v>
          </cell>
          <cell r="C78" t="str">
            <v>805724029083</v>
          </cell>
          <cell r="D78" t="str">
            <v>394</v>
          </cell>
        </row>
        <row r="79">
          <cell r="A79">
            <v>1</v>
          </cell>
          <cell r="B79">
            <v>78</v>
          </cell>
          <cell r="C79" t="str">
            <v>805724029084</v>
          </cell>
          <cell r="D79" t="str">
            <v>392</v>
          </cell>
        </row>
        <row r="80">
          <cell r="A80">
            <v>1</v>
          </cell>
          <cell r="B80">
            <v>79</v>
          </cell>
          <cell r="C80" t="str">
            <v>805724017094</v>
          </cell>
          <cell r="D80" t="str">
            <v>392</v>
          </cell>
        </row>
        <row r="81">
          <cell r="A81">
            <v>1</v>
          </cell>
          <cell r="B81">
            <v>80</v>
          </cell>
          <cell r="C81" t="str">
            <v>805724024366</v>
          </cell>
          <cell r="D81" t="str">
            <v>397</v>
          </cell>
        </row>
        <row r="82">
          <cell r="A82">
            <v>1</v>
          </cell>
          <cell r="B82">
            <v>81</v>
          </cell>
          <cell r="C82" t="str">
            <v>805724017383</v>
          </cell>
          <cell r="D82" t="str">
            <v>386</v>
          </cell>
        </row>
        <row r="83">
          <cell r="A83">
            <v>1</v>
          </cell>
          <cell r="B83">
            <v>82</v>
          </cell>
          <cell r="C83" t="str">
            <v>805724027230</v>
          </cell>
          <cell r="D83" t="str">
            <v>388</v>
          </cell>
        </row>
        <row r="84">
          <cell r="A84">
            <v>1</v>
          </cell>
          <cell r="B84">
            <v>83</v>
          </cell>
          <cell r="C84" t="str">
            <v>805724143221</v>
          </cell>
          <cell r="D84" t="str">
            <v>386</v>
          </cell>
        </row>
        <row r="85">
          <cell r="A85">
            <v>1</v>
          </cell>
          <cell r="B85">
            <v>84</v>
          </cell>
          <cell r="C85" t="str">
            <v>805724008889</v>
          </cell>
          <cell r="D85" t="str">
            <v>384</v>
          </cell>
        </row>
        <row r="86">
          <cell r="A86">
            <v>1</v>
          </cell>
          <cell r="B86">
            <v>85</v>
          </cell>
          <cell r="C86" t="str">
            <v>805723601698</v>
          </cell>
          <cell r="D86" t="str">
            <v>385</v>
          </cell>
        </row>
        <row r="87">
          <cell r="A87">
            <v>1</v>
          </cell>
          <cell r="B87">
            <v>86</v>
          </cell>
          <cell r="C87" t="str">
            <v>805724066696</v>
          </cell>
          <cell r="D87" t="str">
            <v>387</v>
          </cell>
        </row>
        <row r="88">
          <cell r="A88">
            <v>1</v>
          </cell>
          <cell r="B88">
            <v>87</v>
          </cell>
          <cell r="C88" t="str">
            <v>805724024788</v>
          </cell>
          <cell r="D88" t="str">
            <v>387</v>
          </cell>
        </row>
        <row r="89">
          <cell r="A89">
            <v>1</v>
          </cell>
          <cell r="B89">
            <v>88</v>
          </cell>
          <cell r="C89" t="str">
            <v>805724027809</v>
          </cell>
          <cell r="D89" t="str">
            <v>391</v>
          </cell>
        </row>
        <row r="90">
          <cell r="A90">
            <v>1</v>
          </cell>
          <cell r="B90">
            <v>89</v>
          </cell>
          <cell r="C90" t="str">
            <v>805723602666</v>
          </cell>
          <cell r="D90" t="str">
            <v>389</v>
          </cell>
        </row>
        <row r="91">
          <cell r="A91">
            <v>1</v>
          </cell>
          <cell r="B91">
            <v>90</v>
          </cell>
          <cell r="C91" t="str">
            <v>805723571124</v>
          </cell>
          <cell r="D91" t="str">
            <v>436</v>
          </cell>
        </row>
        <row r="92">
          <cell r="A92">
            <v>1</v>
          </cell>
          <cell r="B92">
            <v>91</v>
          </cell>
          <cell r="C92" t="str">
            <v>805723652268</v>
          </cell>
          <cell r="D92" t="str">
            <v>386</v>
          </cell>
        </row>
        <row r="93">
          <cell r="A93">
            <v>1</v>
          </cell>
          <cell r="B93">
            <v>92</v>
          </cell>
          <cell r="C93" t="str">
            <v>805723604781</v>
          </cell>
          <cell r="D93" t="str">
            <v>395</v>
          </cell>
        </row>
        <row r="94">
          <cell r="A94">
            <v>1</v>
          </cell>
          <cell r="B94">
            <v>93</v>
          </cell>
          <cell r="C94" t="str">
            <v>805724027619</v>
          </cell>
          <cell r="D94" t="str">
            <v>392</v>
          </cell>
        </row>
        <row r="95">
          <cell r="A95">
            <v>1</v>
          </cell>
          <cell r="B95">
            <v>94</v>
          </cell>
          <cell r="C95" t="str">
            <v>805724021535</v>
          </cell>
          <cell r="D95" t="str">
            <v>399</v>
          </cell>
        </row>
        <row r="96">
          <cell r="A96">
            <v>1</v>
          </cell>
          <cell r="B96">
            <v>95</v>
          </cell>
          <cell r="C96" t="str">
            <v>805723607131</v>
          </cell>
          <cell r="D96" t="str">
            <v>389</v>
          </cell>
        </row>
        <row r="97">
          <cell r="A97">
            <v>1</v>
          </cell>
          <cell r="B97">
            <v>96</v>
          </cell>
          <cell r="C97" t="str">
            <v>805723606263</v>
          </cell>
          <cell r="D97" t="str">
            <v>385</v>
          </cell>
        </row>
        <row r="98">
          <cell r="A98">
            <v>1</v>
          </cell>
          <cell r="B98">
            <v>97</v>
          </cell>
          <cell r="C98" t="str">
            <v>805724024996</v>
          </cell>
          <cell r="D98" t="str">
            <v>395</v>
          </cell>
        </row>
        <row r="99">
          <cell r="A99">
            <v>1</v>
          </cell>
          <cell r="B99">
            <v>98</v>
          </cell>
          <cell r="C99" t="str">
            <v>805724025162</v>
          </cell>
          <cell r="D99" t="str">
            <v>395</v>
          </cell>
        </row>
        <row r="100">
          <cell r="A100">
            <v>1</v>
          </cell>
          <cell r="B100">
            <v>99</v>
          </cell>
          <cell r="C100" t="str">
            <v>805723653831</v>
          </cell>
          <cell r="D100" t="str">
            <v>392</v>
          </cell>
        </row>
        <row r="101">
          <cell r="A101">
            <v>1</v>
          </cell>
          <cell r="B101">
            <v>100</v>
          </cell>
          <cell r="C101" t="str">
            <v>805724017100</v>
          </cell>
          <cell r="D101" t="str">
            <v>390</v>
          </cell>
        </row>
        <row r="102">
          <cell r="A102">
            <v>1</v>
          </cell>
          <cell r="B102">
            <v>101</v>
          </cell>
          <cell r="C102" t="str">
            <v>805723605023</v>
          </cell>
          <cell r="D102" t="str">
            <v>391</v>
          </cell>
        </row>
        <row r="103">
          <cell r="A103">
            <v>1</v>
          </cell>
          <cell r="B103">
            <v>102</v>
          </cell>
          <cell r="C103" t="str">
            <v>805723526735</v>
          </cell>
          <cell r="D103" t="str">
            <v>391</v>
          </cell>
        </row>
        <row r="104">
          <cell r="A104">
            <v>1</v>
          </cell>
          <cell r="B104">
            <v>103</v>
          </cell>
          <cell r="C104" t="str">
            <v>805724025317</v>
          </cell>
          <cell r="D104" t="str">
            <v>391</v>
          </cell>
        </row>
        <row r="105">
          <cell r="A105">
            <v>1</v>
          </cell>
          <cell r="B105">
            <v>104</v>
          </cell>
          <cell r="C105" t="str">
            <v>805724084743</v>
          </cell>
          <cell r="D105" t="str">
            <v>430</v>
          </cell>
        </row>
        <row r="106">
          <cell r="A106">
            <v>1</v>
          </cell>
          <cell r="B106">
            <v>105</v>
          </cell>
          <cell r="C106" t="str">
            <v>805723525890</v>
          </cell>
          <cell r="D106" t="str">
            <v>388</v>
          </cell>
        </row>
        <row r="107">
          <cell r="A107">
            <v>1</v>
          </cell>
          <cell r="B107">
            <v>106</v>
          </cell>
          <cell r="D107" t="str">
            <v>0</v>
          </cell>
        </row>
        <row r="108">
          <cell r="A108">
            <v>1</v>
          </cell>
          <cell r="B108">
            <v>107</v>
          </cell>
          <cell r="C108" t="str">
            <v>805723525880</v>
          </cell>
          <cell r="D108" t="str">
            <v>393</v>
          </cell>
        </row>
        <row r="109">
          <cell r="A109">
            <v>1</v>
          </cell>
          <cell r="B109">
            <v>108</v>
          </cell>
          <cell r="C109" t="str">
            <v>805724089062</v>
          </cell>
          <cell r="D109" t="str">
            <v>393</v>
          </cell>
        </row>
        <row r="110">
          <cell r="A110">
            <v>1</v>
          </cell>
          <cell r="B110">
            <v>109</v>
          </cell>
          <cell r="C110" t="str">
            <v>805724027623</v>
          </cell>
          <cell r="D110" t="str">
            <v>391</v>
          </cell>
        </row>
        <row r="111">
          <cell r="A111">
            <v>1</v>
          </cell>
          <cell r="B111">
            <v>110</v>
          </cell>
          <cell r="C111" t="str">
            <v>805724071417</v>
          </cell>
          <cell r="D111" t="str">
            <v>391</v>
          </cell>
        </row>
        <row r="112">
          <cell r="A112">
            <v>1</v>
          </cell>
          <cell r="B112">
            <v>111</v>
          </cell>
          <cell r="C112" t="str">
            <v>805723612558</v>
          </cell>
          <cell r="D112" t="str">
            <v>389</v>
          </cell>
        </row>
        <row r="113">
          <cell r="A113">
            <v>1</v>
          </cell>
          <cell r="B113">
            <v>112</v>
          </cell>
          <cell r="C113" t="str">
            <v>805724025836</v>
          </cell>
          <cell r="D113" t="str">
            <v>391</v>
          </cell>
        </row>
        <row r="114">
          <cell r="A114">
            <v>1</v>
          </cell>
          <cell r="B114">
            <v>113</v>
          </cell>
          <cell r="C114" t="str">
            <v>805724143212</v>
          </cell>
          <cell r="D114" t="str">
            <v>389</v>
          </cell>
        </row>
        <row r="115">
          <cell r="A115">
            <v>1</v>
          </cell>
          <cell r="B115">
            <v>114</v>
          </cell>
          <cell r="C115" t="str">
            <v>805723571166</v>
          </cell>
          <cell r="D115" t="str">
            <v>392</v>
          </cell>
        </row>
        <row r="116">
          <cell r="A116">
            <v>1</v>
          </cell>
          <cell r="B116">
            <v>115</v>
          </cell>
          <cell r="C116" t="str">
            <v>805724028460</v>
          </cell>
          <cell r="D116" t="str">
            <v>389</v>
          </cell>
        </row>
        <row r="117">
          <cell r="A117">
            <v>1</v>
          </cell>
          <cell r="B117">
            <v>116</v>
          </cell>
          <cell r="C117" t="str">
            <v>805724025434</v>
          </cell>
          <cell r="D117" t="str">
            <v>390</v>
          </cell>
        </row>
        <row r="118">
          <cell r="A118">
            <v>1</v>
          </cell>
          <cell r="B118">
            <v>117</v>
          </cell>
          <cell r="C118" t="str">
            <v>805724025894</v>
          </cell>
          <cell r="D118" t="str">
            <v>391</v>
          </cell>
        </row>
        <row r="119">
          <cell r="A119">
            <v>1</v>
          </cell>
          <cell r="B119">
            <v>118</v>
          </cell>
          <cell r="C119" t="str">
            <v>805724086139</v>
          </cell>
          <cell r="D119" t="str">
            <v>392</v>
          </cell>
        </row>
        <row r="120">
          <cell r="A120">
            <v>1</v>
          </cell>
          <cell r="B120">
            <v>119</v>
          </cell>
          <cell r="C120" t="str">
            <v>805724026297</v>
          </cell>
          <cell r="D120" t="str">
            <v>394</v>
          </cell>
        </row>
        <row r="121">
          <cell r="A121">
            <v>1</v>
          </cell>
          <cell r="B121">
            <v>120</v>
          </cell>
          <cell r="C121" t="str">
            <v>805724086279</v>
          </cell>
          <cell r="D121" t="str">
            <v>392</v>
          </cell>
        </row>
        <row r="122">
          <cell r="A122">
            <v>1</v>
          </cell>
          <cell r="B122">
            <v>121</v>
          </cell>
          <cell r="C122" t="str">
            <v>805723604537</v>
          </cell>
          <cell r="D122" t="str">
            <v>392</v>
          </cell>
        </row>
        <row r="123">
          <cell r="A123">
            <v>1</v>
          </cell>
          <cell r="B123">
            <v>122</v>
          </cell>
          <cell r="C123" t="str">
            <v>805723653725</v>
          </cell>
          <cell r="D123" t="str">
            <v>387</v>
          </cell>
        </row>
        <row r="124">
          <cell r="A124">
            <v>1</v>
          </cell>
          <cell r="B124">
            <v>123</v>
          </cell>
          <cell r="C124" t="str">
            <v>805723571564</v>
          </cell>
          <cell r="D124" t="str">
            <v>390</v>
          </cell>
        </row>
        <row r="125">
          <cell r="A125">
            <v>1</v>
          </cell>
          <cell r="B125">
            <v>124</v>
          </cell>
          <cell r="C125" t="str">
            <v>805723571595</v>
          </cell>
          <cell r="D125" t="str">
            <v>387</v>
          </cell>
        </row>
        <row r="126">
          <cell r="A126">
            <v>1</v>
          </cell>
          <cell r="B126">
            <v>125</v>
          </cell>
          <cell r="C126" t="str">
            <v>805724027330</v>
          </cell>
          <cell r="D126" t="str">
            <v>393</v>
          </cell>
        </row>
        <row r="127">
          <cell r="A127">
            <v>1</v>
          </cell>
          <cell r="B127">
            <v>126</v>
          </cell>
          <cell r="C127" t="str">
            <v>805724027333</v>
          </cell>
          <cell r="D127" t="str">
            <v>392</v>
          </cell>
        </row>
        <row r="128">
          <cell r="A128">
            <v>1</v>
          </cell>
          <cell r="B128">
            <v>127</v>
          </cell>
          <cell r="C128" t="str">
            <v>805723650497</v>
          </cell>
          <cell r="D128" t="str">
            <v>393</v>
          </cell>
        </row>
        <row r="129">
          <cell r="A129">
            <v>1</v>
          </cell>
          <cell r="B129">
            <v>128</v>
          </cell>
          <cell r="C129" t="str">
            <v>805724018709</v>
          </cell>
          <cell r="D129" t="str">
            <v>393</v>
          </cell>
        </row>
        <row r="130">
          <cell r="A130">
            <v>2</v>
          </cell>
          <cell r="B130">
            <v>1</v>
          </cell>
          <cell r="C130" t="str">
            <v>805724017531</v>
          </cell>
          <cell r="D130" t="str">
            <v>245</v>
          </cell>
        </row>
        <row r="131">
          <cell r="A131">
            <v>2</v>
          </cell>
          <cell r="B131">
            <v>2</v>
          </cell>
          <cell r="C131" t="str">
            <v>805724017091</v>
          </cell>
          <cell r="D131" t="str">
            <v>374</v>
          </cell>
        </row>
        <row r="132">
          <cell r="A132">
            <v>2</v>
          </cell>
          <cell r="B132">
            <v>3</v>
          </cell>
          <cell r="C132" t="str">
            <v>805724015827</v>
          </cell>
          <cell r="D132" t="str">
            <v>393</v>
          </cell>
        </row>
        <row r="133">
          <cell r="A133">
            <v>2</v>
          </cell>
          <cell r="B133">
            <v>4</v>
          </cell>
          <cell r="C133" t="str">
            <v>805724016782</v>
          </cell>
          <cell r="D133" t="str">
            <v>393</v>
          </cell>
        </row>
        <row r="134">
          <cell r="A134">
            <v>2</v>
          </cell>
          <cell r="B134">
            <v>5</v>
          </cell>
          <cell r="C134" t="str">
            <v>805724027808</v>
          </cell>
          <cell r="D134" t="str">
            <v>396</v>
          </cell>
        </row>
        <row r="135">
          <cell r="A135">
            <v>2</v>
          </cell>
          <cell r="B135">
            <v>6</v>
          </cell>
          <cell r="C135" t="str">
            <v>805724028259</v>
          </cell>
          <cell r="D135" t="str">
            <v>385</v>
          </cell>
        </row>
        <row r="136">
          <cell r="A136">
            <v>2</v>
          </cell>
          <cell r="B136">
            <v>7</v>
          </cell>
          <cell r="C136" t="str">
            <v>805724024783</v>
          </cell>
          <cell r="D136" t="str">
            <v>393</v>
          </cell>
        </row>
        <row r="137">
          <cell r="A137">
            <v>2</v>
          </cell>
          <cell r="B137">
            <v>8</v>
          </cell>
          <cell r="C137" t="str">
            <v>805724026319</v>
          </cell>
          <cell r="D137" t="str">
            <v>394</v>
          </cell>
        </row>
        <row r="138">
          <cell r="A138">
            <v>2</v>
          </cell>
          <cell r="B138">
            <v>9</v>
          </cell>
          <cell r="C138" t="str">
            <v>805723602380</v>
          </cell>
          <cell r="D138" t="str">
            <v>391</v>
          </cell>
        </row>
        <row r="139">
          <cell r="A139">
            <v>2</v>
          </cell>
          <cell r="B139">
            <v>10</v>
          </cell>
          <cell r="C139" t="str">
            <v>805724018690</v>
          </cell>
          <cell r="D139" t="str">
            <v>397</v>
          </cell>
        </row>
        <row r="140">
          <cell r="A140">
            <v>2</v>
          </cell>
          <cell r="B140">
            <v>11</v>
          </cell>
          <cell r="C140" t="str">
            <v>805723652687</v>
          </cell>
          <cell r="D140" t="str">
            <v>393</v>
          </cell>
        </row>
        <row r="141">
          <cell r="A141">
            <v>2</v>
          </cell>
          <cell r="B141">
            <v>12</v>
          </cell>
          <cell r="C141" t="str">
            <v>805724070840</v>
          </cell>
          <cell r="D141" t="str">
            <v>55</v>
          </cell>
        </row>
        <row r="142">
          <cell r="A142">
            <v>2</v>
          </cell>
          <cell r="B142">
            <v>13</v>
          </cell>
          <cell r="C142" t="str">
            <v>805724067105</v>
          </cell>
          <cell r="D142" t="str">
            <v>396</v>
          </cell>
        </row>
        <row r="143">
          <cell r="A143">
            <v>2</v>
          </cell>
          <cell r="B143">
            <v>14</v>
          </cell>
          <cell r="C143" t="str">
            <v>805724049820</v>
          </cell>
          <cell r="D143" t="str">
            <v>393</v>
          </cell>
        </row>
        <row r="144">
          <cell r="A144">
            <v>2</v>
          </cell>
          <cell r="B144">
            <v>15</v>
          </cell>
          <cell r="C144" t="str">
            <v>805723569894</v>
          </cell>
          <cell r="D144" t="str">
            <v>391</v>
          </cell>
        </row>
        <row r="145">
          <cell r="A145">
            <v>2</v>
          </cell>
          <cell r="B145">
            <v>16</v>
          </cell>
          <cell r="C145" t="str">
            <v>805724001063</v>
          </cell>
          <cell r="D145" t="str">
            <v>394</v>
          </cell>
        </row>
        <row r="146">
          <cell r="A146">
            <v>2</v>
          </cell>
          <cell r="B146">
            <v>17</v>
          </cell>
          <cell r="C146" t="str">
            <v>805724028396</v>
          </cell>
          <cell r="D146" t="str">
            <v>396</v>
          </cell>
        </row>
        <row r="147">
          <cell r="A147">
            <v>2</v>
          </cell>
          <cell r="B147">
            <v>18</v>
          </cell>
          <cell r="C147" t="str">
            <v>805724019808</v>
          </cell>
          <cell r="D147" t="str">
            <v>394</v>
          </cell>
        </row>
        <row r="148">
          <cell r="A148">
            <v>2</v>
          </cell>
          <cell r="B148">
            <v>19</v>
          </cell>
          <cell r="C148" t="str">
            <v>805724023293</v>
          </cell>
          <cell r="D148" t="str">
            <v>394</v>
          </cell>
        </row>
        <row r="149">
          <cell r="A149">
            <v>2</v>
          </cell>
          <cell r="B149">
            <v>20</v>
          </cell>
          <cell r="C149" t="str">
            <v>805724066767</v>
          </cell>
          <cell r="D149" t="str">
            <v>2</v>
          </cell>
        </row>
        <row r="150">
          <cell r="A150">
            <v>2</v>
          </cell>
          <cell r="B150">
            <v>21</v>
          </cell>
          <cell r="C150" t="str">
            <v>805724014111</v>
          </cell>
          <cell r="D150" t="str">
            <v>394</v>
          </cell>
        </row>
        <row r="151">
          <cell r="A151">
            <v>2</v>
          </cell>
          <cell r="B151">
            <v>22</v>
          </cell>
          <cell r="C151" t="str">
            <v>805724024923</v>
          </cell>
          <cell r="D151" t="str">
            <v>394</v>
          </cell>
        </row>
        <row r="152">
          <cell r="A152">
            <v>2</v>
          </cell>
          <cell r="B152">
            <v>23</v>
          </cell>
          <cell r="C152" t="str">
            <v>805723570352</v>
          </cell>
          <cell r="D152" t="str">
            <v>392</v>
          </cell>
        </row>
        <row r="153">
          <cell r="A153">
            <v>2</v>
          </cell>
          <cell r="B153">
            <v>24</v>
          </cell>
          <cell r="C153" t="str">
            <v>805724059888</v>
          </cell>
          <cell r="D153" t="str">
            <v>395</v>
          </cell>
        </row>
        <row r="154">
          <cell r="A154">
            <v>2</v>
          </cell>
          <cell r="B154">
            <v>25</v>
          </cell>
          <cell r="C154" t="str">
            <v>805723604117</v>
          </cell>
          <cell r="D154" t="str">
            <v>393</v>
          </cell>
        </row>
        <row r="155">
          <cell r="A155">
            <v>2</v>
          </cell>
          <cell r="B155">
            <v>26</v>
          </cell>
          <cell r="C155" t="str">
            <v>805724061513</v>
          </cell>
          <cell r="D155" t="str">
            <v>396</v>
          </cell>
        </row>
        <row r="156">
          <cell r="A156">
            <v>2</v>
          </cell>
          <cell r="B156">
            <v>27</v>
          </cell>
          <cell r="C156" t="str">
            <v>805723527872</v>
          </cell>
          <cell r="D156" t="str">
            <v>392</v>
          </cell>
        </row>
        <row r="157">
          <cell r="A157">
            <v>2</v>
          </cell>
          <cell r="B157">
            <v>28</v>
          </cell>
          <cell r="C157" t="str">
            <v>805724071533</v>
          </cell>
          <cell r="D157" t="str">
            <v>395</v>
          </cell>
        </row>
        <row r="158">
          <cell r="A158">
            <v>2</v>
          </cell>
          <cell r="B158">
            <v>29</v>
          </cell>
          <cell r="C158" t="str">
            <v>805724071526</v>
          </cell>
          <cell r="D158" t="str">
            <v>396</v>
          </cell>
        </row>
        <row r="159">
          <cell r="A159">
            <v>2</v>
          </cell>
          <cell r="B159">
            <v>30</v>
          </cell>
          <cell r="C159" t="str">
            <v>805724024855</v>
          </cell>
          <cell r="D159" t="str">
            <v>394</v>
          </cell>
        </row>
        <row r="160">
          <cell r="A160">
            <v>2</v>
          </cell>
          <cell r="B160">
            <v>31</v>
          </cell>
          <cell r="C160" t="str">
            <v>805724088644</v>
          </cell>
          <cell r="D160" t="str">
            <v>393</v>
          </cell>
        </row>
        <row r="161">
          <cell r="A161">
            <v>2</v>
          </cell>
          <cell r="B161">
            <v>32</v>
          </cell>
          <cell r="C161" t="str">
            <v>805724071520</v>
          </cell>
          <cell r="D161" t="str">
            <v>396</v>
          </cell>
        </row>
        <row r="162">
          <cell r="A162">
            <v>2</v>
          </cell>
          <cell r="B162">
            <v>33</v>
          </cell>
          <cell r="C162" t="str">
            <v>805724018783</v>
          </cell>
          <cell r="D162" t="str">
            <v>387</v>
          </cell>
        </row>
        <row r="163">
          <cell r="A163">
            <v>2</v>
          </cell>
          <cell r="B163">
            <v>34</v>
          </cell>
          <cell r="C163" t="str">
            <v>805724025734</v>
          </cell>
          <cell r="D163" t="str">
            <v>396</v>
          </cell>
        </row>
        <row r="164">
          <cell r="A164">
            <v>2</v>
          </cell>
          <cell r="B164">
            <v>35</v>
          </cell>
          <cell r="C164" t="str">
            <v>805724143240</v>
          </cell>
          <cell r="D164" t="str">
            <v>394</v>
          </cell>
        </row>
        <row r="165">
          <cell r="A165">
            <v>2</v>
          </cell>
          <cell r="B165">
            <v>36</v>
          </cell>
          <cell r="C165" t="str">
            <v>805724025886</v>
          </cell>
          <cell r="D165" t="str">
            <v>395</v>
          </cell>
        </row>
        <row r="166">
          <cell r="A166">
            <v>2</v>
          </cell>
          <cell r="B166">
            <v>37</v>
          </cell>
          <cell r="C166" t="str">
            <v>805724027525</v>
          </cell>
          <cell r="D166" t="str">
            <v>397</v>
          </cell>
        </row>
        <row r="167">
          <cell r="A167">
            <v>2</v>
          </cell>
          <cell r="B167">
            <v>38</v>
          </cell>
          <cell r="C167" t="str">
            <v>805724067823</v>
          </cell>
          <cell r="D167" t="str">
            <v>390</v>
          </cell>
        </row>
        <row r="168">
          <cell r="A168">
            <v>2</v>
          </cell>
          <cell r="B168">
            <v>39</v>
          </cell>
          <cell r="C168" t="str">
            <v>805724023277</v>
          </cell>
          <cell r="D168" t="str">
            <v>392</v>
          </cell>
        </row>
        <row r="169">
          <cell r="A169">
            <v>2</v>
          </cell>
          <cell r="B169">
            <v>40</v>
          </cell>
          <cell r="C169" t="str">
            <v>805724025721</v>
          </cell>
          <cell r="D169" t="str">
            <v>395</v>
          </cell>
        </row>
        <row r="170">
          <cell r="A170">
            <v>2</v>
          </cell>
          <cell r="B170">
            <v>41</v>
          </cell>
          <cell r="C170" t="str">
            <v>805723571130</v>
          </cell>
          <cell r="D170" t="str">
            <v>391</v>
          </cell>
        </row>
        <row r="171">
          <cell r="A171">
            <v>2</v>
          </cell>
          <cell r="B171">
            <v>42</v>
          </cell>
          <cell r="C171" t="str">
            <v>805723526014</v>
          </cell>
          <cell r="D171" t="str">
            <v>394</v>
          </cell>
        </row>
        <row r="172">
          <cell r="A172">
            <v>2</v>
          </cell>
          <cell r="B172">
            <v>43</v>
          </cell>
          <cell r="C172" t="str">
            <v>805723571126</v>
          </cell>
          <cell r="D172" t="str">
            <v>392</v>
          </cell>
        </row>
        <row r="173">
          <cell r="A173">
            <v>2</v>
          </cell>
          <cell r="B173">
            <v>44</v>
          </cell>
          <cell r="C173" t="str">
            <v>805723601432</v>
          </cell>
          <cell r="D173" t="str">
            <v>393</v>
          </cell>
        </row>
        <row r="174">
          <cell r="A174">
            <v>2</v>
          </cell>
          <cell r="B174">
            <v>45</v>
          </cell>
          <cell r="C174" t="str">
            <v>805723611040</v>
          </cell>
          <cell r="D174" t="str">
            <v>395</v>
          </cell>
        </row>
        <row r="175">
          <cell r="A175">
            <v>2</v>
          </cell>
          <cell r="B175">
            <v>46</v>
          </cell>
          <cell r="C175" t="str">
            <v>805724017380</v>
          </cell>
          <cell r="D175" t="str">
            <v>395</v>
          </cell>
        </row>
        <row r="176">
          <cell r="A176">
            <v>2</v>
          </cell>
          <cell r="B176">
            <v>47</v>
          </cell>
          <cell r="C176" t="str">
            <v>805723522837</v>
          </cell>
          <cell r="D176" t="str">
            <v>391</v>
          </cell>
        </row>
        <row r="177">
          <cell r="A177">
            <v>2</v>
          </cell>
          <cell r="B177">
            <v>48</v>
          </cell>
          <cell r="C177" t="str">
            <v>805724089290</v>
          </cell>
          <cell r="D177" t="str">
            <v>392</v>
          </cell>
        </row>
        <row r="178">
          <cell r="A178">
            <v>2</v>
          </cell>
          <cell r="B178">
            <v>49</v>
          </cell>
          <cell r="C178" t="str">
            <v>805723414412</v>
          </cell>
          <cell r="D178" t="str">
            <v>395</v>
          </cell>
        </row>
        <row r="179">
          <cell r="A179">
            <v>2</v>
          </cell>
          <cell r="B179">
            <v>50</v>
          </cell>
          <cell r="C179" t="str">
            <v>805723653590</v>
          </cell>
          <cell r="D179" t="str">
            <v>395</v>
          </cell>
        </row>
        <row r="180">
          <cell r="A180">
            <v>2</v>
          </cell>
          <cell r="B180">
            <v>51</v>
          </cell>
          <cell r="C180" t="str">
            <v>805724024917</v>
          </cell>
          <cell r="D180" t="str">
            <v>396</v>
          </cell>
        </row>
        <row r="181">
          <cell r="A181">
            <v>2</v>
          </cell>
          <cell r="B181">
            <v>52</v>
          </cell>
          <cell r="C181" t="str">
            <v>805724025163</v>
          </cell>
          <cell r="D181" t="str">
            <v>55</v>
          </cell>
        </row>
        <row r="182">
          <cell r="A182">
            <v>2</v>
          </cell>
          <cell r="B182">
            <v>53</v>
          </cell>
          <cell r="C182" t="str">
            <v>805724019855</v>
          </cell>
          <cell r="D182" t="str">
            <v>58</v>
          </cell>
        </row>
        <row r="183">
          <cell r="A183">
            <v>2</v>
          </cell>
          <cell r="B183">
            <v>54</v>
          </cell>
          <cell r="C183" t="str">
            <v>805724088980</v>
          </cell>
          <cell r="D183" t="str">
            <v>395</v>
          </cell>
        </row>
        <row r="184">
          <cell r="A184">
            <v>2</v>
          </cell>
          <cell r="B184">
            <v>55</v>
          </cell>
          <cell r="C184" t="str">
            <v>805724068036</v>
          </cell>
          <cell r="D184" t="str">
            <v>393</v>
          </cell>
        </row>
        <row r="185">
          <cell r="A185">
            <v>2</v>
          </cell>
          <cell r="B185">
            <v>56</v>
          </cell>
          <cell r="C185" t="str">
            <v>805724071490</v>
          </cell>
          <cell r="D185" t="str">
            <v>393</v>
          </cell>
        </row>
        <row r="186">
          <cell r="A186">
            <v>2</v>
          </cell>
          <cell r="B186">
            <v>57</v>
          </cell>
          <cell r="C186" t="str">
            <v>805723571704</v>
          </cell>
          <cell r="D186" t="str">
            <v>394</v>
          </cell>
        </row>
        <row r="187">
          <cell r="A187">
            <v>2</v>
          </cell>
          <cell r="B187">
            <v>58</v>
          </cell>
          <cell r="C187" t="str">
            <v>805723571562</v>
          </cell>
          <cell r="D187" t="str">
            <v>391</v>
          </cell>
        </row>
        <row r="188">
          <cell r="A188">
            <v>2</v>
          </cell>
          <cell r="B188">
            <v>59</v>
          </cell>
          <cell r="C188" t="str">
            <v>805723602374</v>
          </cell>
          <cell r="D188" t="str">
            <v>397</v>
          </cell>
        </row>
        <row r="189">
          <cell r="A189">
            <v>2</v>
          </cell>
          <cell r="B189">
            <v>60</v>
          </cell>
          <cell r="C189" t="str">
            <v>805723604120</v>
          </cell>
          <cell r="D189" t="str">
            <v>392</v>
          </cell>
        </row>
        <row r="190">
          <cell r="A190">
            <v>2</v>
          </cell>
          <cell r="B190">
            <v>61</v>
          </cell>
          <cell r="C190" t="str">
            <v>805723605025</v>
          </cell>
          <cell r="D190" t="str">
            <v>395</v>
          </cell>
        </row>
        <row r="191">
          <cell r="A191">
            <v>2</v>
          </cell>
          <cell r="B191">
            <v>62</v>
          </cell>
          <cell r="C191" t="str">
            <v>805724027174</v>
          </cell>
          <cell r="D191" t="str">
            <v>395</v>
          </cell>
        </row>
        <row r="192">
          <cell r="A192">
            <v>2</v>
          </cell>
          <cell r="B192">
            <v>63</v>
          </cell>
          <cell r="C192" t="str">
            <v>805723566682</v>
          </cell>
          <cell r="D192" t="str">
            <v>384</v>
          </cell>
        </row>
        <row r="193">
          <cell r="A193">
            <v>2</v>
          </cell>
          <cell r="B193">
            <v>64</v>
          </cell>
          <cell r="C193" t="str">
            <v>805723644065</v>
          </cell>
          <cell r="D193" t="str">
            <v>397</v>
          </cell>
        </row>
        <row r="194">
          <cell r="A194">
            <v>2</v>
          </cell>
          <cell r="B194">
            <v>65</v>
          </cell>
          <cell r="C194" t="str">
            <v>805724089444</v>
          </cell>
          <cell r="D194" t="str">
            <v>35</v>
          </cell>
        </row>
        <row r="195">
          <cell r="A195">
            <v>2</v>
          </cell>
          <cell r="B195">
            <v>66</v>
          </cell>
          <cell r="C195" t="str">
            <v>805723602528</v>
          </cell>
          <cell r="D195" t="str">
            <v>35</v>
          </cell>
        </row>
        <row r="196">
          <cell r="A196">
            <v>2</v>
          </cell>
          <cell r="B196">
            <v>67</v>
          </cell>
          <cell r="C196" t="str">
            <v>805723569865</v>
          </cell>
          <cell r="D196" t="str">
            <v>35</v>
          </cell>
        </row>
        <row r="197">
          <cell r="A197">
            <v>2</v>
          </cell>
          <cell r="B197">
            <v>68</v>
          </cell>
          <cell r="C197" t="str">
            <v>805723571641</v>
          </cell>
          <cell r="D197" t="str">
            <v>35</v>
          </cell>
        </row>
        <row r="198">
          <cell r="A198">
            <v>2</v>
          </cell>
          <cell r="B198">
            <v>69</v>
          </cell>
          <cell r="C198" t="str">
            <v>805724011174</v>
          </cell>
          <cell r="D198" t="str">
            <v>35</v>
          </cell>
        </row>
        <row r="199">
          <cell r="A199">
            <v>2</v>
          </cell>
          <cell r="B199">
            <v>70</v>
          </cell>
          <cell r="C199" t="str">
            <v>805724061135</v>
          </cell>
          <cell r="D199" t="str">
            <v>35</v>
          </cell>
        </row>
        <row r="200">
          <cell r="A200">
            <v>2</v>
          </cell>
          <cell r="B200">
            <v>71</v>
          </cell>
          <cell r="C200" t="str">
            <v>805724027198</v>
          </cell>
          <cell r="D200" t="str">
            <v>35</v>
          </cell>
        </row>
        <row r="201">
          <cell r="A201">
            <v>2</v>
          </cell>
          <cell r="B201">
            <v>72</v>
          </cell>
          <cell r="C201" t="str">
            <v>805724016169</v>
          </cell>
          <cell r="D201" t="str">
            <v>35</v>
          </cell>
        </row>
        <row r="202">
          <cell r="A202">
            <v>2</v>
          </cell>
          <cell r="B202">
            <v>73</v>
          </cell>
          <cell r="C202" t="str">
            <v>805724025411</v>
          </cell>
          <cell r="D202" t="str">
            <v>35</v>
          </cell>
        </row>
        <row r="203">
          <cell r="A203">
            <v>2</v>
          </cell>
          <cell r="B203">
            <v>74</v>
          </cell>
          <cell r="C203" t="str">
            <v>805723604104</v>
          </cell>
          <cell r="D203" t="str">
            <v>35</v>
          </cell>
        </row>
        <row r="204">
          <cell r="A204">
            <v>2</v>
          </cell>
          <cell r="B204">
            <v>75</v>
          </cell>
          <cell r="C204" t="str">
            <v>805723602379</v>
          </cell>
          <cell r="D204" t="str">
            <v>35</v>
          </cell>
        </row>
        <row r="205">
          <cell r="A205">
            <v>2</v>
          </cell>
          <cell r="B205">
            <v>76</v>
          </cell>
          <cell r="C205" t="str">
            <v>805723578785</v>
          </cell>
          <cell r="D205" t="str">
            <v>35</v>
          </cell>
        </row>
        <row r="206">
          <cell r="A206">
            <v>2</v>
          </cell>
          <cell r="B206">
            <v>77</v>
          </cell>
          <cell r="C206" t="str">
            <v>805723653553</v>
          </cell>
          <cell r="D206" t="str">
            <v>35</v>
          </cell>
        </row>
        <row r="207">
          <cell r="A207">
            <v>2</v>
          </cell>
          <cell r="B207">
            <v>78</v>
          </cell>
          <cell r="C207" t="str">
            <v>805723363384</v>
          </cell>
          <cell r="D207" t="str">
            <v>35</v>
          </cell>
        </row>
        <row r="208">
          <cell r="A208">
            <v>2</v>
          </cell>
          <cell r="B208">
            <v>79</v>
          </cell>
          <cell r="C208" t="str">
            <v>805724018512</v>
          </cell>
          <cell r="D208" t="str">
            <v>35</v>
          </cell>
        </row>
        <row r="209">
          <cell r="A209">
            <v>2</v>
          </cell>
          <cell r="B209">
            <v>80</v>
          </cell>
          <cell r="C209" t="str">
            <v>805723458416</v>
          </cell>
          <cell r="D209" t="str">
            <v>35</v>
          </cell>
        </row>
        <row r="210">
          <cell r="A210">
            <v>2</v>
          </cell>
          <cell r="B210">
            <v>81</v>
          </cell>
          <cell r="C210" t="str">
            <v>805724011686</v>
          </cell>
          <cell r="D210" t="str">
            <v>35</v>
          </cell>
        </row>
        <row r="211">
          <cell r="A211">
            <v>2</v>
          </cell>
          <cell r="B211">
            <v>82</v>
          </cell>
          <cell r="C211" t="str">
            <v>805724088600</v>
          </cell>
          <cell r="D211" t="str">
            <v>35</v>
          </cell>
        </row>
        <row r="212">
          <cell r="A212">
            <v>2</v>
          </cell>
          <cell r="B212">
            <v>83</v>
          </cell>
          <cell r="C212" t="str">
            <v>805724025736</v>
          </cell>
          <cell r="D212" t="str">
            <v>35</v>
          </cell>
        </row>
        <row r="213">
          <cell r="A213">
            <v>2</v>
          </cell>
          <cell r="B213">
            <v>84</v>
          </cell>
          <cell r="C213" t="str">
            <v>805724028793</v>
          </cell>
          <cell r="D213" t="str">
            <v>35</v>
          </cell>
        </row>
        <row r="214">
          <cell r="A214">
            <v>2</v>
          </cell>
          <cell r="B214">
            <v>85</v>
          </cell>
          <cell r="C214" t="str">
            <v>805724024765</v>
          </cell>
          <cell r="D214" t="str">
            <v>35</v>
          </cell>
        </row>
        <row r="215">
          <cell r="A215">
            <v>2</v>
          </cell>
          <cell r="B215">
            <v>86</v>
          </cell>
          <cell r="C215" t="str">
            <v>805724088572</v>
          </cell>
          <cell r="D215" t="str">
            <v>35</v>
          </cell>
        </row>
        <row r="216">
          <cell r="A216">
            <v>2</v>
          </cell>
          <cell r="B216">
            <v>87</v>
          </cell>
          <cell r="C216" t="str">
            <v>805724018293</v>
          </cell>
          <cell r="D216" t="str">
            <v>35</v>
          </cell>
        </row>
        <row r="217">
          <cell r="A217">
            <v>2</v>
          </cell>
          <cell r="B217">
            <v>88</v>
          </cell>
          <cell r="C217" t="str">
            <v>805724017711</v>
          </cell>
          <cell r="D217" t="str">
            <v>35</v>
          </cell>
        </row>
        <row r="218">
          <cell r="A218">
            <v>2</v>
          </cell>
          <cell r="B218">
            <v>89</v>
          </cell>
          <cell r="C218" t="str">
            <v>805724020834</v>
          </cell>
          <cell r="D218" t="str">
            <v>35</v>
          </cell>
        </row>
        <row r="219">
          <cell r="A219">
            <v>2</v>
          </cell>
          <cell r="B219">
            <v>90</v>
          </cell>
          <cell r="C219" t="str">
            <v>805723566614</v>
          </cell>
          <cell r="D219" t="str">
            <v>35</v>
          </cell>
        </row>
        <row r="220">
          <cell r="A220">
            <v>2</v>
          </cell>
          <cell r="B220">
            <v>91</v>
          </cell>
          <cell r="C220" t="str">
            <v>805723601615</v>
          </cell>
          <cell r="D220" t="str">
            <v>35</v>
          </cell>
        </row>
        <row r="221">
          <cell r="A221">
            <v>2</v>
          </cell>
          <cell r="B221">
            <v>92</v>
          </cell>
          <cell r="C221" t="str">
            <v>805724024364</v>
          </cell>
          <cell r="D221" t="str">
            <v>35</v>
          </cell>
        </row>
        <row r="222">
          <cell r="A222">
            <v>2</v>
          </cell>
          <cell r="B222">
            <v>93</v>
          </cell>
          <cell r="C222" t="str">
            <v>805723641979</v>
          </cell>
          <cell r="D222" t="str">
            <v>35</v>
          </cell>
        </row>
        <row r="223">
          <cell r="A223">
            <v>2</v>
          </cell>
          <cell r="B223">
            <v>94</v>
          </cell>
          <cell r="C223" t="str">
            <v>805724008893</v>
          </cell>
          <cell r="D223" t="str">
            <v>35</v>
          </cell>
        </row>
        <row r="224">
          <cell r="A224">
            <v>2</v>
          </cell>
          <cell r="B224">
            <v>95</v>
          </cell>
          <cell r="C224" t="str">
            <v>805724016961</v>
          </cell>
          <cell r="D224" t="str">
            <v>35</v>
          </cell>
        </row>
        <row r="225">
          <cell r="A225">
            <v>2</v>
          </cell>
          <cell r="B225">
            <v>96</v>
          </cell>
          <cell r="C225" t="str">
            <v>805724091539</v>
          </cell>
          <cell r="D225" t="str">
            <v>35</v>
          </cell>
        </row>
        <row r="226">
          <cell r="A226">
            <v>2</v>
          </cell>
          <cell r="B226">
            <v>97</v>
          </cell>
          <cell r="C226" t="str">
            <v>805723605026</v>
          </cell>
          <cell r="D226" t="str">
            <v>360</v>
          </cell>
        </row>
        <row r="227">
          <cell r="A227">
            <v>2</v>
          </cell>
          <cell r="B227">
            <v>98</v>
          </cell>
          <cell r="C227" t="str">
            <v>805724026341</v>
          </cell>
          <cell r="D227" t="str">
            <v>339</v>
          </cell>
        </row>
        <row r="228">
          <cell r="A228">
            <v>2</v>
          </cell>
          <cell r="B228">
            <v>99</v>
          </cell>
          <cell r="C228" t="str">
            <v>805724017935</v>
          </cell>
          <cell r="D228" t="str">
            <v>395</v>
          </cell>
        </row>
        <row r="229">
          <cell r="A229">
            <v>2</v>
          </cell>
          <cell r="B229">
            <v>100</v>
          </cell>
          <cell r="C229" t="str">
            <v>805723566066</v>
          </cell>
          <cell r="D229" t="str">
            <v>395</v>
          </cell>
        </row>
        <row r="230">
          <cell r="A230">
            <v>2</v>
          </cell>
          <cell r="B230">
            <v>101</v>
          </cell>
          <cell r="C230" t="str">
            <v>805724143216</v>
          </cell>
          <cell r="D230" t="str">
            <v>391</v>
          </cell>
        </row>
        <row r="231">
          <cell r="A231">
            <v>2</v>
          </cell>
          <cell r="B231">
            <v>102</v>
          </cell>
          <cell r="C231" t="str">
            <v>805724084744</v>
          </cell>
          <cell r="D231" t="str">
            <v>393</v>
          </cell>
        </row>
        <row r="232">
          <cell r="A232">
            <v>2</v>
          </cell>
          <cell r="B232">
            <v>103</v>
          </cell>
          <cell r="C232" t="str">
            <v>805724025328</v>
          </cell>
          <cell r="D232" t="str">
            <v>394</v>
          </cell>
        </row>
        <row r="233">
          <cell r="A233">
            <v>2</v>
          </cell>
          <cell r="B233">
            <v>104</v>
          </cell>
          <cell r="C233" t="str">
            <v>805724019816</v>
          </cell>
          <cell r="D233" t="str">
            <v>389</v>
          </cell>
        </row>
        <row r="234">
          <cell r="A234">
            <v>2</v>
          </cell>
          <cell r="B234">
            <v>105</v>
          </cell>
          <cell r="C234" t="str">
            <v>805723604099</v>
          </cell>
          <cell r="D234" t="str">
            <v>390</v>
          </cell>
        </row>
        <row r="235">
          <cell r="A235">
            <v>2</v>
          </cell>
          <cell r="B235">
            <v>106</v>
          </cell>
          <cell r="C235" t="str">
            <v>805723571296</v>
          </cell>
          <cell r="D235" t="str">
            <v>390</v>
          </cell>
        </row>
        <row r="236">
          <cell r="A236">
            <v>2</v>
          </cell>
          <cell r="B236">
            <v>107</v>
          </cell>
          <cell r="C236" t="str">
            <v>805723565378</v>
          </cell>
          <cell r="D236" t="str">
            <v>389</v>
          </cell>
        </row>
        <row r="237">
          <cell r="A237">
            <v>2</v>
          </cell>
          <cell r="B237">
            <v>108</v>
          </cell>
          <cell r="D237" t="str">
            <v>0</v>
          </cell>
        </row>
        <row r="238">
          <cell r="A238">
            <v>2</v>
          </cell>
          <cell r="B238">
            <v>109</v>
          </cell>
          <cell r="C238" t="str">
            <v>805724026363</v>
          </cell>
          <cell r="D238" t="str">
            <v>388</v>
          </cell>
        </row>
        <row r="239">
          <cell r="A239">
            <v>2</v>
          </cell>
          <cell r="B239">
            <v>110</v>
          </cell>
          <cell r="C239" t="str">
            <v>805723605045</v>
          </cell>
          <cell r="D239" t="str">
            <v>393</v>
          </cell>
        </row>
        <row r="240">
          <cell r="A240">
            <v>2</v>
          </cell>
          <cell r="B240">
            <v>111</v>
          </cell>
          <cell r="C240" t="str">
            <v>805724028981</v>
          </cell>
          <cell r="D240" t="str">
            <v>395</v>
          </cell>
        </row>
        <row r="241">
          <cell r="A241">
            <v>2</v>
          </cell>
          <cell r="B241">
            <v>112</v>
          </cell>
          <cell r="C241" t="str">
            <v>805723526709</v>
          </cell>
          <cell r="D241" t="str">
            <v>394</v>
          </cell>
        </row>
        <row r="242">
          <cell r="A242">
            <v>2</v>
          </cell>
          <cell r="B242">
            <v>113</v>
          </cell>
          <cell r="C242" t="str">
            <v>805724026278</v>
          </cell>
          <cell r="D242" t="str">
            <v>389</v>
          </cell>
        </row>
        <row r="243">
          <cell r="A243">
            <v>2</v>
          </cell>
          <cell r="B243">
            <v>114</v>
          </cell>
          <cell r="C243" t="str">
            <v>805724026240</v>
          </cell>
          <cell r="D243" t="str">
            <v>396</v>
          </cell>
        </row>
        <row r="244">
          <cell r="A244">
            <v>2</v>
          </cell>
          <cell r="B244">
            <v>115</v>
          </cell>
          <cell r="C244" t="str">
            <v>805724090262</v>
          </cell>
          <cell r="D244" t="str">
            <v>386</v>
          </cell>
        </row>
        <row r="245">
          <cell r="A245">
            <v>2</v>
          </cell>
          <cell r="B245">
            <v>116</v>
          </cell>
          <cell r="C245" t="str">
            <v>805724088783</v>
          </cell>
          <cell r="D245" t="str">
            <v>378</v>
          </cell>
        </row>
        <row r="246">
          <cell r="A246">
            <v>2</v>
          </cell>
          <cell r="B246">
            <v>117</v>
          </cell>
          <cell r="C246" t="str">
            <v>805724025373</v>
          </cell>
          <cell r="D246" t="str">
            <v>330</v>
          </cell>
        </row>
        <row r="247">
          <cell r="A247">
            <v>2</v>
          </cell>
          <cell r="B247">
            <v>118</v>
          </cell>
          <cell r="C247" t="str">
            <v>805724027649</v>
          </cell>
          <cell r="D247" t="str">
            <v>36</v>
          </cell>
        </row>
        <row r="248">
          <cell r="A248">
            <v>2</v>
          </cell>
          <cell r="B248">
            <v>119</v>
          </cell>
          <cell r="C248" t="str">
            <v>805724021410</v>
          </cell>
          <cell r="D248" t="str">
            <v>389</v>
          </cell>
        </row>
        <row r="249">
          <cell r="A249">
            <v>2</v>
          </cell>
          <cell r="B249">
            <v>120</v>
          </cell>
          <cell r="C249" t="str">
            <v>805724089196</v>
          </cell>
          <cell r="D249" t="str">
            <v>389</v>
          </cell>
        </row>
        <row r="250">
          <cell r="A250">
            <v>2</v>
          </cell>
          <cell r="B250">
            <v>121</v>
          </cell>
          <cell r="C250" t="str">
            <v>805724067596</v>
          </cell>
          <cell r="D250" t="str">
            <v>388</v>
          </cell>
        </row>
        <row r="251">
          <cell r="A251">
            <v>2</v>
          </cell>
          <cell r="B251">
            <v>122</v>
          </cell>
          <cell r="C251" t="str">
            <v>805724068849</v>
          </cell>
          <cell r="D251" t="str">
            <v>391</v>
          </cell>
        </row>
        <row r="252">
          <cell r="A252">
            <v>2</v>
          </cell>
          <cell r="B252">
            <v>123</v>
          </cell>
          <cell r="C252" t="str">
            <v>805724011280</v>
          </cell>
          <cell r="D252" t="str">
            <v>390</v>
          </cell>
        </row>
        <row r="253">
          <cell r="A253">
            <v>2</v>
          </cell>
          <cell r="B253">
            <v>124</v>
          </cell>
          <cell r="C253" t="str">
            <v>805724068041</v>
          </cell>
          <cell r="D253" t="str">
            <v>392</v>
          </cell>
        </row>
        <row r="254">
          <cell r="A254">
            <v>2</v>
          </cell>
          <cell r="B254">
            <v>125</v>
          </cell>
          <cell r="C254" t="str">
            <v>805724088800</v>
          </cell>
          <cell r="D254" t="str">
            <v>393</v>
          </cell>
        </row>
        <row r="255">
          <cell r="A255">
            <v>2</v>
          </cell>
          <cell r="B255">
            <v>126</v>
          </cell>
          <cell r="C255" t="str">
            <v>805724068824</v>
          </cell>
          <cell r="D255" t="str">
            <v>390</v>
          </cell>
        </row>
        <row r="256">
          <cell r="A256">
            <v>2</v>
          </cell>
          <cell r="B256">
            <v>127</v>
          </cell>
          <cell r="C256" t="str">
            <v>805724084751</v>
          </cell>
          <cell r="D256" t="str">
            <v>388</v>
          </cell>
        </row>
        <row r="257">
          <cell r="A257">
            <v>2</v>
          </cell>
          <cell r="B257">
            <v>128</v>
          </cell>
          <cell r="C257" t="str">
            <v>805724058748</v>
          </cell>
          <cell r="D257" t="str">
            <v>395</v>
          </cell>
        </row>
        <row r="258">
          <cell r="A258">
            <v>3</v>
          </cell>
          <cell r="B258">
            <v>1</v>
          </cell>
          <cell r="D258" t="str">
            <v>0</v>
          </cell>
        </row>
        <row r="259">
          <cell r="A259">
            <v>3</v>
          </cell>
          <cell r="B259">
            <v>2</v>
          </cell>
          <cell r="D259" t="str">
            <v>0</v>
          </cell>
        </row>
        <row r="260">
          <cell r="A260">
            <v>3</v>
          </cell>
          <cell r="B260">
            <v>3</v>
          </cell>
          <cell r="D260" t="str">
            <v>0</v>
          </cell>
        </row>
        <row r="261">
          <cell r="A261">
            <v>3</v>
          </cell>
          <cell r="B261">
            <v>4</v>
          </cell>
          <cell r="D261" t="str">
            <v>0</v>
          </cell>
        </row>
        <row r="262">
          <cell r="A262">
            <v>3</v>
          </cell>
          <cell r="B262">
            <v>5</v>
          </cell>
          <cell r="D262" t="str">
            <v>0</v>
          </cell>
        </row>
        <row r="263">
          <cell r="A263">
            <v>3</v>
          </cell>
          <cell r="B263">
            <v>6</v>
          </cell>
          <cell r="D263" t="str">
            <v>0</v>
          </cell>
        </row>
        <row r="264">
          <cell r="A264">
            <v>3</v>
          </cell>
          <cell r="B264">
            <v>7</v>
          </cell>
          <cell r="D264" t="str">
            <v>0</v>
          </cell>
        </row>
        <row r="265">
          <cell r="A265">
            <v>3</v>
          </cell>
          <cell r="B265">
            <v>8</v>
          </cell>
          <cell r="D265" t="str">
            <v>0</v>
          </cell>
        </row>
        <row r="266">
          <cell r="A266">
            <v>3</v>
          </cell>
          <cell r="B266">
            <v>9</v>
          </cell>
          <cell r="D266" t="str">
            <v>0</v>
          </cell>
        </row>
        <row r="267">
          <cell r="A267">
            <v>3</v>
          </cell>
          <cell r="B267">
            <v>10</v>
          </cell>
          <cell r="D267" t="str">
            <v>0</v>
          </cell>
        </row>
        <row r="268">
          <cell r="A268">
            <v>3</v>
          </cell>
          <cell r="B268">
            <v>11</v>
          </cell>
          <cell r="D268" t="str">
            <v>0</v>
          </cell>
        </row>
        <row r="269">
          <cell r="A269">
            <v>3</v>
          </cell>
          <cell r="B269">
            <v>12</v>
          </cell>
          <cell r="D269" t="str">
            <v>0</v>
          </cell>
        </row>
        <row r="270">
          <cell r="A270">
            <v>3</v>
          </cell>
          <cell r="B270">
            <v>13</v>
          </cell>
          <cell r="D270" t="str">
            <v>0</v>
          </cell>
        </row>
        <row r="271">
          <cell r="A271">
            <v>3</v>
          </cell>
          <cell r="B271">
            <v>14</v>
          </cell>
          <cell r="D271" t="str">
            <v>0</v>
          </cell>
        </row>
        <row r="272">
          <cell r="A272">
            <v>3</v>
          </cell>
          <cell r="B272">
            <v>15</v>
          </cell>
          <cell r="D272" t="str">
            <v>0</v>
          </cell>
        </row>
        <row r="273">
          <cell r="A273">
            <v>3</v>
          </cell>
          <cell r="B273">
            <v>16</v>
          </cell>
          <cell r="D273" t="str">
            <v>0</v>
          </cell>
        </row>
        <row r="274">
          <cell r="A274">
            <v>3</v>
          </cell>
          <cell r="B274">
            <v>17</v>
          </cell>
          <cell r="C274" t="str">
            <v>805724088769</v>
          </cell>
          <cell r="D274" t="str">
            <v>371</v>
          </cell>
        </row>
        <row r="275">
          <cell r="A275">
            <v>3</v>
          </cell>
          <cell r="B275">
            <v>18</v>
          </cell>
          <cell r="C275" t="str">
            <v>805724016474</v>
          </cell>
          <cell r="D275" t="str">
            <v>391</v>
          </cell>
        </row>
        <row r="276">
          <cell r="A276">
            <v>3</v>
          </cell>
          <cell r="B276">
            <v>19</v>
          </cell>
          <cell r="C276" t="str">
            <v>805724019609</v>
          </cell>
          <cell r="D276" t="str">
            <v>362</v>
          </cell>
        </row>
        <row r="277">
          <cell r="A277">
            <v>3</v>
          </cell>
          <cell r="B277">
            <v>20</v>
          </cell>
          <cell r="C277" t="str">
            <v>805724027448</v>
          </cell>
          <cell r="D277" t="str">
            <v>393</v>
          </cell>
        </row>
        <row r="278">
          <cell r="A278">
            <v>3</v>
          </cell>
          <cell r="B278">
            <v>21</v>
          </cell>
          <cell r="C278" t="str">
            <v>805724018989</v>
          </cell>
          <cell r="D278" t="str">
            <v>392</v>
          </cell>
        </row>
        <row r="279">
          <cell r="A279">
            <v>3</v>
          </cell>
          <cell r="B279">
            <v>22</v>
          </cell>
          <cell r="C279" t="str">
            <v>805724024815</v>
          </cell>
          <cell r="D279" t="str">
            <v>394</v>
          </cell>
        </row>
        <row r="280">
          <cell r="A280">
            <v>3</v>
          </cell>
          <cell r="B280">
            <v>23</v>
          </cell>
          <cell r="C280" t="str">
            <v>805724019030</v>
          </cell>
          <cell r="D280" t="str">
            <v>370</v>
          </cell>
        </row>
        <row r="281">
          <cell r="A281">
            <v>3</v>
          </cell>
          <cell r="B281">
            <v>24</v>
          </cell>
          <cell r="C281" t="str">
            <v>805724088680</v>
          </cell>
          <cell r="D281" t="str">
            <v>391</v>
          </cell>
        </row>
        <row r="282">
          <cell r="A282">
            <v>3</v>
          </cell>
          <cell r="B282">
            <v>25</v>
          </cell>
          <cell r="C282" t="str">
            <v>805724011792</v>
          </cell>
          <cell r="D282" t="str">
            <v>392</v>
          </cell>
        </row>
        <row r="283">
          <cell r="A283">
            <v>3</v>
          </cell>
          <cell r="B283">
            <v>26</v>
          </cell>
          <cell r="C283" t="str">
            <v>805724071135</v>
          </cell>
          <cell r="D283" t="str">
            <v>392</v>
          </cell>
        </row>
        <row r="284">
          <cell r="A284">
            <v>3</v>
          </cell>
          <cell r="B284">
            <v>27</v>
          </cell>
          <cell r="C284" t="str">
            <v>805724070660</v>
          </cell>
          <cell r="D284" t="str">
            <v>390</v>
          </cell>
        </row>
        <row r="285">
          <cell r="A285">
            <v>3</v>
          </cell>
          <cell r="B285">
            <v>28</v>
          </cell>
          <cell r="C285" t="str">
            <v>805724071133</v>
          </cell>
          <cell r="D285" t="str">
            <v>394</v>
          </cell>
        </row>
        <row r="286">
          <cell r="A286">
            <v>3</v>
          </cell>
          <cell r="B286">
            <v>29</v>
          </cell>
          <cell r="C286" t="str">
            <v>805724054616</v>
          </cell>
          <cell r="D286" t="str">
            <v>393</v>
          </cell>
        </row>
        <row r="287">
          <cell r="A287">
            <v>3</v>
          </cell>
          <cell r="B287">
            <v>30</v>
          </cell>
          <cell r="C287" t="str">
            <v>805723603366</v>
          </cell>
          <cell r="D287" t="str">
            <v>394</v>
          </cell>
        </row>
        <row r="288">
          <cell r="A288">
            <v>3</v>
          </cell>
          <cell r="B288">
            <v>31</v>
          </cell>
          <cell r="C288" t="str">
            <v>805723570782</v>
          </cell>
          <cell r="D288" t="str">
            <v>387</v>
          </cell>
        </row>
        <row r="289">
          <cell r="A289">
            <v>3</v>
          </cell>
          <cell r="B289">
            <v>32</v>
          </cell>
          <cell r="C289" t="str">
            <v>805724055569</v>
          </cell>
          <cell r="D289" t="str">
            <v>391</v>
          </cell>
        </row>
        <row r="290">
          <cell r="A290">
            <v>3</v>
          </cell>
          <cell r="B290">
            <v>33</v>
          </cell>
          <cell r="C290" t="str">
            <v>805724058807</v>
          </cell>
          <cell r="D290" t="str">
            <v>396</v>
          </cell>
        </row>
        <row r="291">
          <cell r="A291">
            <v>3</v>
          </cell>
          <cell r="B291">
            <v>34</v>
          </cell>
          <cell r="C291" t="str">
            <v>805724088574</v>
          </cell>
          <cell r="D291" t="str">
            <v>395</v>
          </cell>
        </row>
        <row r="292">
          <cell r="A292">
            <v>3</v>
          </cell>
          <cell r="B292">
            <v>35</v>
          </cell>
          <cell r="C292" t="str">
            <v>805723607496</v>
          </cell>
          <cell r="D292" t="str">
            <v>404</v>
          </cell>
        </row>
        <row r="293">
          <cell r="A293">
            <v>3</v>
          </cell>
          <cell r="B293">
            <v>36</v>
          </cell>
          <cell r="C293" t="str">
            <v>805724065650</v>
          </cell>
          <cell r="D293" t="str">
            <v>390</v>
          </cell>
        </row>
        <row r="294">
          <cell r="A294">
            <v>3</v>
          </cell>
          <cell r="B294">
            <v>37</v>
          </cell>
          <cell r="C294" t="str">
            <v>805724055593</v>
          </cell>
          <cell r="D294" t="str">
            <v>396</v>
          </cell>
        </row>
        <row r="295">
          <cell r="A295">
            <v>3</v>
          </cell>
          <cell r="B295">
            <v>38</v>
          </cell>
          <cell r="C295" t="str">
            <v>805724024819</v>
          </cell>
          <cell r="D295" t="str">
            <v>391</v>
          </cell>
        </row>
        <row r="296">
          <cell r="A296">
            <v>3</v>
          </cell>
          <cell r="B296">
            <v>39</v>
          </cell>
          <cell r="C296" t="str">
            <v>805724089119</v>
          </cell>
          <cell r="D296" t="str">
            <v>396</v>
          </cell>
        </row>
        <row r="297">
          <cell r="A297">
            <v>3</v>
          </cell>
          <cell r="B297">
            <v>40</v>
          </cell>
          <cell r="C297" t="str">
            <v>805724064430</v>
          </cell>
          <cell r="D297" t="str">
            <v>438</v>
          </cell>
        </row>
        <row r="298">
          <cell r="A298">
            <v>3</v>
          </cell>
          <cell r="B298">
            <v>41</v>
          </cell>
          <cell r="C298" t="str">
            <v>805724019574</v>
          </cell>
          <cell r="D298" t="str">
            <v>164</v>
          </cell>
        </row>
        <row r="299">
          <cell r="A299">
            <v>3</v>
          </cell>
          <cell r="B299">
            <v>42</v>
          </cell>
          <cell r="C299" t="str">
            <v>805724028992</v>
          </cell>
          <cell r="D299" t="str">
            <v>394</v>
          </cell>
        </row>
        <row r="300">
          <cell r="A300">
            <v>3</v>
          </cell>
          <cell r="B300">
            <v>43</v>
          </cell>
          <cell r="C300" t="str">
            <v>805724089497</v>
          </cell>
          <cell r="D300" t="str">
            <v>10</v>
          </cell>
        </row>
        <row r="301">
          <cell r="A301">
            <v>3</v>
          </cell>
          <cell r="B301">
            <v>44</v>
          </cell>
          <cell r="C301">
            <v>805724089061</v>
          </cell>
          <cell r="D301" t="str">
            <v>382</v>
          </cell>
        </row>
        <row r="302">
          <cell r="A302">
            <v>3</v>
          </cell>
          <cell r="B302">
            <v>45</v>
          </cell>
          <cell r="C302" t="str">
            <v>805724011518</v>
          </cell>
          <cell r="D302" t="str">
            <v>377</v>
          </cell>
        </row>
        <row r="303">
          <cell r="A303">
            <v>3</v>
          </cell>
          <cell r="B303">
            <v>46</v>
          </cell>
          <cell r="C303" t="str">
            <v>805723570744</v>
          </cell>
          <cell r="D303" t="str">
            <v>396</v>
          </cell>
        </row>
        <row r="304">
          <cell r="A304">
            <v>3</v>
          </cell>
          <cell r="B304">
            <v>47</v>
          </cell>
          <cell r="C304" t="str">
            <v>805724058790</v>
          </cell>
          <cell r="D304" t="str">
            <v>387</v>
          </cell>
        </row>
        <row r="305">
          <cell r="A305">
            <v>3</v>
          </cell>
          <cell r="B305">
            <v>48</v>
          </cell>
          <cell r="C305" t="str">
            <v>805724059194</v>
          </cell>
          <cell r="D305" t="str">
            <v>24</v>
          </cell>
        </row>
        <row r="306">
          <cell r="A306">
            <v>3</v>
          </cell>
          <cell r="B306">
            <v>49</v>
          </cell>
          <cell r="C306" t="str">
            <v>805724021627</v>
          </cell>
          <cell r="D306" t="str">
            <v>391</v>
          </cell>
        </row>
        <row r="307">
          <cell r="A307">
            <v>3</v>
          </cell>
          <cell r="B307">
            <v>50</v>
          </cell>
          <cell r="C307" t="str">
            <v>805724027695</v>
          </cell>
          <cell r="D307" t="str">
            <v>384</v>
          </cell>
        </row>
        <row r="308">
          <cell r="A308">
            <v>3</v>
          </cell>
          <cell r="B308">
            <v>51</v>
          </cell>
          <cell r="C308" t="str">
            <v>805724144154</v>
          </cell>
          <cell r="D308" t="str">
            <v>393</v>
          </cell>
        </row>
        <row r="309">
          <cell r="A309">
            <v>3</v>
          </cell>
          <cell r="B309">
            <v>52</v>
          </cell>
          <cell r="C309" t="str">
            <v>805724065998</v>
          </cell>
          <cell r="D309" t="str">
            <v>391</v>
          </cell>
        </row>
        <row r="310">
          <cell r="A310">
            <v>3</v>
          </cell>
          <cell r="B310">
            <v>53</v>
          </cell>
          <cell r="C310" t="str">
            <v>805723608174</v>
          </cell>
          <cell r="D310" t="str">
            <v>393</v>
          </cell>
        </row>
        <row r="311">
          <cell r="A311">
            <v>3</v>
          </cell>
          <cell r="B311">
            <v>54</v>
          </cell>
          <cell r="C311" t="str">
            <v>805724041886</v>
          </cell>
          <cell r="D311" t="str">
            <v>391</v>
          </cell>
        </row>
        <row r="312">
          <cell r="A312">
            <v>3</v>
          </cell>
          <cell r="B312">
            <v>55</v>
          </cell>
          <cell r="C312" t="str">
            <v>805724020503</v>
          </cell>
          <cell r="D312" t="str">
            <v>385</v>
          </cell>
        </row>
        <row r="313">
          <cell r="A313">
            <v>3</v>
          </cell>
          <cell r="B313">
            <v>56</v>
          </cell>
          <cell r="C313" t="str">
            <v>805723611470</v>
          </cell>
          <cell r="D313" t="str">
            <v>388</v>
          </cell>
        </row>
        <row r="314">
          <cell r="A314">
            <v>3</v>
          </cell>
          <cell r="B314">
            <v>57</v>
          </cell>
          <cell r="C314" t="str">
            <v>805724088726</v>
          </cell>
          <cell r="D314" t="str">
            <v>388</v>
          </cell>
        </row>
        <row r="315">
          <cell r="A315">
            <v>3</v>
          </cell>
          <cell r="B315">
            <v>58</v>
          </cell>
          <cell r="C315" t="str">
            <v>805724027901</v>
          </cell>
          <cell r="D315" t="str">
            <v>398</v>
          </cell>
        </row>
        <row r="316">
          <cell r="A316">
            <v>3</v>
          </cell>
          <cell r="B316">
            <v>59</v>
          </cell>
          <cell r="C316" t="str">
            <v>805724071206</v>
          </cell>
          <cell r="D316" t="str">
            <v>390</v>
          </cell>
        </row>
        <row r="317">
          <cell r="A317">
            <v>3</v>
          </cell>
          <cell r="B317">
            <v>60</v>
          </cell>
          <cell r="C317" t="str">
            <v>805723605333</v>
          </cell>
          <cell r="D317" t="str">
            <v>391</v>
          </cell>
        </row>
        <row r="318">
          <cell r="A318">
            <v>3</v>
          </cell>
          <cell r="B318">
            <v>61</v>
          </cell>
          <cell r="C318" t="str">
            <v>805724015871</v>
          </cell>
          <cell r="D318" t="str">
            <v>394</v>
          </cell>
        </row>
        <row r="319">
          <cell r="A319">
            <v>3</v>
          </cell>
          <cell r="B319">
            <v>62</v>
          </cell>
          <cell r="C319" t="str">
            <v>805723519476</v>
          </cell>
          <cell r="D319" t="str">
            <v>387</v>
          </cell>
        </row>
        <row r="320">
          <cell r="A320">
            <v>3</v>
          </cell>
          <cell r="B320">
            <v>63</v>
          </cell>
          <cell r="C320" t="str">
            <v>805723566406</v>
          </cell>
          <cell r="D320" t="str">
            <v>395</v>
          </cell>
        </row>
        <row r="321">
          <cell r="A321">
            <v>3</v>
          </cell>
          <cell r="B321">
            <v>64</v>
          </cell>
          <cell r="C321" t="str">
            <v>805724062448</v>
          </cell>
          <cell r="D321" t="str">
            <v>388</v>
          </cell>
        </row>
        <row r="322">
          <cell r="A322">
            <v>3</v>
          </cell>
          <cell r="B322">
            <v>65</v>
          </cell>
          <cell r="C322" t="str">
            <v>805724060252</v>
          </cell>
          <cell r="D322" t="str">
            <v>394</v>
          </cell>
        </row>
        <row r="323">
          <cell r="A323">
            <v>3</v>
          </cell>
          <cell r="B323">
            <v>66</v>
          </cell>
          <cell r="C323" t="str">
            <v>805724055367</v>
          </cell>
          <cell r="D323" t="str">
            <v>394</v>
          </cell>
        </row>
        <row r="324">
          <cell r="A324">
            <v>3</v>
          </cell>
          <cell r="B324">
            <v>67</v>
          </cell>
          <cell r="C324" t="str">
            <v>805724059028</v>
          </cell>
          <cell r="D324" t="str">
            <v>391</v>
          </cell>
        </row>
        <row r="325">
          <cell r="A325">
            <v>3</v>
          </cell>
          <cell r="B325">
            <v>68</v>
          </cell>
          <cell r="C325" t="str">
            <v>805724060401</v>
          </cell>
          <cell r="D325" t="str">
            <v>391</v>
          </cell>
        </row>
        <row r="326">
          <cell r="A326">
            <v>3</v>
          </cell>
          <cell r="B326">
            <v>69</v>
          </cell>
          <cell r="C326" t="str">
            <v>805724056659</v>
          </cell>
          <cell r="D326" t="str">
            <v>395</v>
          </cell>
        </row>
        <row r="327">
          <cell r="A327">
            <v>3</v>
          </cell>
          <cell r="B327">
            <v>70</v>
          </cell>
          <cell r="C327" t="str">
            <v>805724006289</v>
          </cell>
          <cell r="D327" t="str">
            <v>392</v>
          </cell>
        </row>
        <row r="328">
          <cell r="A328">
            <v>3</v>
          </cell>
          <cell r="B328">
            <v>71</v>
          </cell>
          <cell r="C328" t="str">
            <v>805724006290</v>
          </cell>
          <cell r="D328" t="str">
            <v>393</v>
          </cell>
        </row>
        <row r="329">
          <cell r="A329">
            <v>3</v>
          </cell>
          <cell r="B329">
            <v>72</v>
          </cell>
          <cell r="C329" t="str">
            <v>805724059027</v>
          </cell>
          <cell r="D329" t="str">
            <v>391</v>
          </cell>
        </row>
        <row r="330">
          <cell r="A330">
            <v>3</v>
          </cell>
          <cell r="B330">
            <v>73</v>
          </cell>
          <cell r="C330" t="str">
            <v>805724083482</v>
          </cell>
          <cell r="D330" t="str">
            <v>390</v>
          </cell>
        </row>
        <row r="331">
          <cell r="A331">
            <v>3</v>
          </cell>
          <cell r="B331">
            <v>74</v>
          </cell>
          <cell r="C331" t="str">
            <v>805724062588</v>
          </cell>
          <cell r="D331" t="str">
            <v>392</v>
          </cell>
        </row>
        <row r="332">
          <cell r="A332">
            <v>3</v>
          </cell>
          <cell r="B332">
            <v>75</v>
          </cell>
          <cell r="C332" t="str">
            <v>805724011347</v>
          </cell>
          <cell r="D332" t="str">
            <v>385</v>
          </cell>
        </row>
        <row r="333">
          <cell r="A333">
            <v>3</v>
          </cell>
          <cell r="B333">
            <v>76</v>
          </cell>
          <cell r="C333" t="str">
            <v>805724015114</v>
          </cell>
          <cell r="D333" t="str">
            <v>390</v>
          </cell>
        </row>
        <row r="334">
          <cell r="A334">
            <v>3</v>
          </cell>
          <cell r="B334">
            <v>77</v>
          </cell>
          <cell r="C334" t="str">
            <v>805724061861</v>
          </cell>
          <cell r="D334" t="str">
            <v>394</v>
          </cell>
        </row>
        <row r="335">
          <cell r="A335">
            <v>3</v>
          </cell>
          <cell r="B335">
            <v>78</v>
          </cell>
          <cell r="C335" t="str">
            <v>805724015739</v>
          </cell>
          <cell r="D335" t="str">
            <v>394</v>
          </cell>
        </row>
        <row r="336">
          <cell r="A336">
            <v>3</v>
          </cell>
          <cell r="B336">
            <v>79</v>
          </cell>
          <cell r="C336" t="str">
            <v>805724006284</v>
          </cell>
          <cell r="D336" t="str">
            <v>394</v>
          </cell>
        </row>
        <row r="337">
          <cell r="A337">
            <v>3</v>
          </cell>
          <cell r="B337">
            <v>80</v>
          </cell>
          <cell r="C337" t="str">
            <v>805724062598</v>
          </cell>
          <cell r="D337" t="str">
            <v>392</v>
          </cell>
        </row>
        <row r="338">
          <cell r="A338">
            <v>3</v>
          </cell>
          <cell r="B338">
            <v>81</v>
          </cell>
          <cell r="C338" t="str">
            <v>805724028997</v>
          </cell>
          <cell r="D338" t="str">
            <v>392</v>
          </cell>
        </row>
        <row r="339">
          <cell r="A339">
            <v>3</v>
          </cell>
          <cell r="B339">
            <v>82</v>
          </cell>
          <cell r="C339" t="str">
            <v>805724049938</v>
          </cell>
          <cell r="D339" t="str">
            <v>390</v>
          </cell>
        </row>
        <row r="340">
          <cell r="A340">
            <v>3</v>
          </cell>
          <cell r="B340">
            <v>83</v>
          </cell>
          <cell r="C340" t="str">
            <v>805724011935</v>
          </cell>
          <cell r="D340" t="str">
            <v>385</v>
          </cell>
        </row>
        <row r="341">
          <cell r="A341">
            <v>3</v>
          </cell>
          <cell r="B341">
            <v>84</v>
          </cell>
          <cell r="C341" t="str">
            <v>805724027712</v>
          </cell>
          <cell r="D341" t="str">
            <v>394</v>
          </cell>
        </row>
        <row r="342">
          <cell r="A342">
            <v>3</v>
          </cell>
          <cell r="B342">
            <v>85</v>
          </cell>
          <cell r="C342" t="str">
            <v>805724071136</v>
          </cell>
          <cell r="D342" t="str">
            <v>372</v>
          </cell>
        </row>
        <row r="343">
          <cell r="A343">
            <v>3</v>
          </cell>
          <cell r="B343">
            <v>86</v>
          </cell>
          <cell r="C343" t="str">
            <v>805724088821</v>
          </cell>
          <cell r="D343" t="str">
            <v>387</v>
          </cell>
        </row>
        <row r="344">
          <cell r="A344">
            <v>3</v>
          </cell>
          <cell r="B344">
            <v>87</v>
          </cell>
          <cell r="C344" t="str">
            <v>805723570296</v>
          </cell>
          <cell r="D344" t="str">
            <v>327</v>
          </cell>
        </row>
        <row r="345">
          <cell r="A345">
            <v>3</v>
          </cell>
          <cell r="B345">
            <v>88</v>
          </cell>
          <cell r="C345" t="str">
            <v>805724027811</v>
          </cell>
          <cell r="D345" t="str">
            <v>388</v>
          </cell>
        </row>
        <row r="346">
          <cell r="A346">
            <v>3</v>
          </cell>
          <cell r="B346">
            <v>89</v>
          </cell>
          <cell r="C346" t="str">
            <v>805723578794</v>
          </cell>
          <cell r="D346" t="str">
            <v>391</v>
          </cell>
        </row>
        <row r="347">
          <cell r="A347">
            <v>3</v>
          </cell>
          <cell r="B347">
            <v>90</v>
          </cell>
          <cell r="C347" t="str">
            <v>805722455142</v>
          </cell>
          <cell r="D347" t="str">
            <v>387</v>
          </cell>
        </row>
        <row r="348">
          <cell r="A348">
            <v>3</v>
          </cell>
          <cell r="B348">
            <v>91</v>
          </cell>
          <cell r="D348" t="str">
            <v>0</v>
          </cell>
        </row>
        <row r="349">
          <cell r="A349">
            <v>3</v>
          </cell>
          <cell r="B349">
            <v>92</v>
          </cell>
          <cell r="C349" t="str">
            <v>805724070488</v>
          </cell>
          <cell r="D349" t="str">
            <v>393</v>
          </cell>
        </row>
        <row r="350">
          <cell r="A350">
            <v>3</v>
          </cell>
          <cell r="B350">
            <v>93</v>
          </cell>
          <cell r="C350" t="str">
            <v>805724017375</v>
          </cell>
          <cell r="D350" t="str">
            <v>312</v>
          </cell>
        </row>
        <row r="351">
          <cell r="A351">
            <v>3</v>
          </cell>
          <cell r="B351">
            <v>94</v>
          </cell>
          <cell r="C351" t="str">
            <v>805724140182</v>
          </cell>
          <cell r="D351" t="str">
            <v>393</v>
          </cell>
        </row>
        <row r="352">
          <cell r="A352">
            <v>3</v>
          </cell>
          <cell r="B352">
            <v>95</v>
          </cell>
          <cell r="C352" t="str">
            <v>805724026237</v>
          </cell>
          <cell r="D352" t="str">
            <v>394</v>
          </cell>
        </row>
        <row r="353">
          <cell r="A353">
            <v>3</v>
          </cell>
          <cell r="B353">
            <v>96</v>
          </cell>
          <cell r="C353" t="str">
            <v>805724028965</v>
          </cell>
          <cell r="D353" t="str">
            <v>393</v>
          </cell>
        </row>
        <row r="354">
          <cell r="A354">
            <v>3</v>
          </cell>
          <cell r="B354">
            <v>97</v>
          </cell>
          <cell r="C354" t="str">
            <v>805724089878</v>
          </cell>
          <cell r="D354" t="str">
            <v>390</v>
          </cell>
        </row>
        <row r="355">
          <cell r="A355">
            <v>3</v>
          </cell>
          <cell r="B355">
            <v>98</v>
          </cell>
          <cell r="C355" t="str">
            <v>805724028252</v>
          </cell>
          <cell r="D355" t="str">
            <v>381</v>
          </cell>
        </row>
        <row r="356">
          <cell r="A356">
            <v>3</v>
          </cell>
          <cell r="B356">
            <v>99</v>
          </cell>
          <cell r="C356" t="str">
            <v>805724092432</v>
          </cell>
          <cell r="D356" t="str">
            <v>379</v>
          </cell>
        </row>
        <row r="357">
          <cell r="A357">
            <v>3</v>
          </cell>
          <cell r="B357">
            <v>100</v>
          </cell>
          <cell r="C357" t="str">
            <v>805724026539</v>
          </cell>
          <cell r="D357" t="str">
            <v>388</v>
          </cell>
        </row>
        <row r="358">
          <cell r="A358">
            <v>3</v>
          </cell>
          <cell r="B358">
            <v>101</v>
          </cell>
          <cell r="C358" t="str">
            <v>805724071153</v>
          </cell>
          <cell r="D358" t="str">
            <v>382</v>
          </cell>
        </row>
        <row r="359">
          <cell r="A359">
            <v>3</v>
          </cell>
          <cell r="B359">
            <v>102</v>
          </cell>
          <cell r="C359" t="str">
            <v>805724055047</v>
          </cell>
          <cell r="D359" t="str">
            <v>386</v>
          </cell>
        </row>
        <row r="360">
          <cell r="A360">
            <v>3</v>
          </cell>
          <cell r="B360">
            <v>103</v>
          </cell>
          <cell r="C360" t="str">
            <v>805724089072</v>
          </cell>
          <cell r="D360" t="str">
            <v>395</v>
          </cell>
        </row>
        <row r="361">
          <cell r="A361">
            <v>3</v>
          </cell>
          <cell r="B361">
            <v>104</v>
          </cell>
          <cell r="C361" t="str">
            <v>805724144149</v>
          </cell>
          <cell r="D361" t="str">
            <v>387</v>
          </cell>
        </row>
        <row r="362">
          <cell r="A362">
            <v>3</v>
          </cell>
          <cell r="B362">
            <v>105</v>
          </cell>
          <cell r="C362" t="str">
            <v>805722583248</v>
          </cell>
          <cell r="D362" t="str">
            <v>381</v>
          </cell>
        </row>
        <row r="363">
          <cell r="A363">
            <v>3</v>
          </cell>
          <cell r="B363">
            <v>106</v>
          </cell>
          <cell r="C363" t="str">
            <v>805722516453</v>
          </cell>
          <cell r="D363" t="str">
            <v>382</v>
          </cell>
        </row>
        <row r="364">
          <cell r="A364">
            <v>3</v>
          </cell>
          <cell r="B364">
            <v>107</v>
          </cell>
          <cell r="D364" t="str">
            <v>0</v>
          </cell>
        </row>
        <row r="365">
          <cell r="A365">
            <v>3</v>
          </cell>
          <cell r="B365">
            <v>108</v>
          </cell>
          <cell r="C365" t="str">
            <v>805724028576</v>
          </cell>
          <cell r="D365" t="str">
            <v>389</v>
          </cell>
        </row>
        <row r="366">
          <cell r="A366">
            <v>3</v>
          </cell>
          <cell r="B366">
            <v>109</v>
          </cell>
          <cell r="C366" t="str">
            <v>805724028962</v>
          </cell>
          <cell r="D366" t="str">
            <v>394</v>
          </cell>
        </row>
        <row r="367">
          <cell r="A367">
            <v>3</v>
          </cell>
          <cell r="B367">
            <v>110</v>
          </cell>
          <cell r="C367" t="str">
            <v>805724026342</v>
          </cell>
          <cell r="D367" t="str">
            <v>391</v>
          </cell>
        </row>
        <row r="368">
          <cell r="A368">
            <v>3</v>
          </cell>
          <cell r="B368">
            <v>111</v>
          </cell>
          <cell r="C368" t="str">
            <v>805723355521</v>
          </cell>
          <cell r="D368" t="str">
            <v>383</v>
          </cell>
        </row>
        <row r="369">
          <cell r="A369">
            <v>3</v>
          </cell>
          <cell r="B369">
            <v>112</v>
          </cell>
          <cell r="C369" t="str">
            <v>805724009110</v>
          </cell>
          <cell r="D369" t="str">
            <v>393</v>
          </cell>
        </row>
        <row r="370">
          <cell r="A370">
            <v>3</v>
          </cell>
          <cell r="B370">
            <v>113</v>
          </cell>
          <cell r="C370" t="str">
            <v>805724025889</v>
          </cell>
          <cell r="D370" t="str">
            <v>390</v>
          </cell>
        </row>
        <row r="371">
          <cell r="A371">
            <v>3</v>
          </cell>
          <cell r="B371">
            <v>114</v>
          </cell>
          <cell r="C371" t="str">
            <v>805724022198</v>
          </cell>
          <cell r="D371" t="str">
            <v>383</v>
          </cell>
        </row>
        <row r="372">
          <cell r="A372">
            <v>3</v>
          </cell>
          <cell r="B372">
            <v>115</v>
          </cell>
          <cell r="C372" t="str">
            <v>805724024786</v>
          </cell>
          <cell r="D372" t="str">
            <v>388</v>
          </cell>
        </row>
        <row r="373">
          <cell r="A373">
            <v>3</v>
          </cell>
          <cell r="B373">
            <v>116</v>
          </cell>
          <cell r="C373" t="str">
            <v>805724071235</v>
          </cell>
          <cell r="D373" t="str">
            <v>390</v>
          </cell>
        </row>
        <row r="374">
          <cell r="A374">
            <v>3</v>
          </cell>
          <cell r="B374">
            <v>117</v>
          </cell>
          <cell r="C374" t="str">
            <v>805724026894</v>
          </cell>
          <cell r="D374" t="str">
            <v>10</v>
          </cell>
        </row>
        <row r="375">
          <cell r="A375">
            <v>3</v>
          </cell>
          <cell r="B375">
            <v>118</v>
          </cell>
          <cell r="C375" t="str">
            <v>805724015361</v>
          </cell>
          <cell r="D375" t="str">
            <v>393</v>
          </cell>
        </row>
        <row r="376">
          <cell r="A376">
            <v>3</v>
          </cell>
          <cell r="B376">
            <v>119</v>
          </cell>
          <cell r="C376" t="str">
            <v>805724144133</v>
          </cell>
          <cell r="D376" t="str">
            <v>390</v>
          </cell>
        </row>
        <row r="377">
          <cell r="A377">
            <v>3</v>
          </cell>
          <cell r="B377">
            <v>120</v>
          </cell>
          <cell r="C377" t="str">
            <v>805724071243</v>
          </cell>
          <cell r="D377" t="str">
            <v>387</v>
          </cell>
        </row>
        <row r="378">
          <cell r="A378">
            <v>3</v>
          </cell>
          <cell r="B378">
            <v>121</v>
          </cell>
          <cell r="C378" t="str">
            <v>805723604536</v>
          </cell>
          <cell r="D378" t="str">
            <v>388</v>
          </cell>
        </row>
        <row r="379">
          <cell r="A379">
            <v>3</v>
          </cell>
          <cell r="B379">
            <v>122</v>
          </cell>
          <cell r="C379" t="str">
            <v>805723645953</v>
          </cell>
          <cell r="D379" t="str">
            <v>345</v>
          </cell>
        </row>
        <row r="380">
          <cell r="A380">
            <v>3</v>
          </cell>
          <cell r="B380">
            <v>123</v>
          </cell>
          <cell r="D380" t="str">
            <v>0</v>
          </cell>
        </row>
        <row r="381">
          <cell r="A381">
            <v>3</v>
          </cell>
          <cell r="B381">
            <v>124</v>
          </cell>
          <cell r="C381" t="str">
            <v>805724016992</v>
          </cell>
          <cell r="D381" t="str">
            <v>386</v>
          </cell>
        </row>
        <row r="382">
          <cell r="A382">
            <v>3</v>
          </cell>
          <cell r="B382">
            <v>125</v>
          </cell>
          <cell r="C382" t="str">
            <v>805724083511</v>
          </cell>
          <cell r="D382" t="str">
            <v>391</v>
          </cell>
        </row>
        <row r="383">
          <cell r="A383">
            <v>3</v>
          </cell>
          <cell r="B383">
            <v>126</v>
          </cell>
          <cell r="C383" t="str">
            <v>805724061536</v>
          </cell>
          <cell r="D383" t="str">
            <v>393</v>
          </cell>
        </row>
        <row r="384">
          <cell r="A384">
            <v>3</v>
          </cell>
          <cell r="B384">
            <v>127</v>
          </cell>
          <cell r="C384" t="str">
            <v>805724089293</v>
          </cell>
          <cell r="D384" t="str">
            <v>392</v>
          </cell>
        </row>
        <row r="385">
          <cell r="A385">
            <v>3</v>
          </cell>
          <cell r="B385">
            <v>128</v>
          </cell>
          <cell r="C385" t="str">
            <v>805724028986</v>
          </cell>
          <cell r="D385" t="str">
            <v>387</v>
          </cell>
        </row>
        <row r="386">
          <cell r="A386">
            <v>4</v>
          </cell>
          <cell r="B386">
            <v>1</v>
          </cell>
          <cell r="C386" t="str">
            <v>805724140183</v>
          </cell>
          <cell r="D386" t="str">
            <v>2</v>
          </cell>
        </row>
        <row r="387">
          <cell r="A387">
            <v>4</v>
          </cell>
          <cell r="B387">
            <v>2</v>
          </cell>
          <cell r="C387" t="str">
            <v>805724026538</v>
          </cell>
          <cell r="D387" t="str">
            <v>2</v>
          </cell>
        </row>
        <row r="388">
          <cell r="A388">
            <v>4</v>
          </cell>
          <cell r="B388">
            <v>3</v>
          </cell>
          <cell r="C388" t="str">
            <v>805723611299</v>
          </cell>
          <cell r="D388" t="str">
            <v>338</v>
          </cell>
        </row>
        <row r="389">
          <cell r="A389">
            <v>4</v>
          </cell>
          <cell r="B389">
            <v>4</v>
          </cell>
          <cell r="C389" t="str">
            <v>805723602348</v>
          </cell>
          <cell r="D389" t="str">
            <v>356</v>
          </cell>
        </row>
        <row r="390">
          <cell r="A390">
            <v>4</v>
          </cell>
          <cell r="B390">
            <v>5</v>
          </cell>
          <cell r="C390" t="str">
            <v>805724016249</v>
          </cell>
          <cell r="D390" t="str">
            <v>341</v>
          </cell>
        </row>
        <row r="391">
          <cell r="A391">
            <v>4</v>
          </cell>
          <cell r="B391">
            <v>6</v>
          </cell>
          <cell r="C391" t="str">
            <v>805724090247</v>
          </cell>
          <cell r="D391" t="str">
            <v>396</v>
          </cell>
        </row>
        <row r="392">
          <cell r="A392">
            <v>4</v>
          </cell>
          <cell r="B392">
            <v>7</v>
          </cell>
          <cell r="C392" t="str">
            <v>805724091564</v>
          </cell>
          <cell r="D392" t="str">
            <v>392</v>
          </cell>
        </row>
        <row r="393">
          <cell r="A393">
            <v>4</v>
          </cell>
          <cell r="B393">
            <v>8</v>
          </cell>
          <cell r="C393" t="str">
            <v>805724071010</v>
          </cell>
          <cell r="D393" t="str">
            <v>396</v>
          </cell>
        </row>
        <row r="394">
          <cell r="A394">
            <v>4</v>
          </cell>
          <cell r="B394">
            <v>9</v>
          </cell>
          <cell r="C394" t="str">
            <v>805724027060</v>
          </cell>
          <cell r="D394" t="str">
            <v>411</v>
          </cell>
        </row>
        <row r="395">
          <cell r="A395">
            <v>4</v>
          </cell>
          <cell r="B395">
            <v>10</v>
          </cell>
          <cell r="C395" t="str">
            <v>805724027683</v>
          </cell>
          <cell r="D395" t="str">
            <v>401</v>
          </cell>
        </row>
        <row r="396">
          <cell r="A396">
            <v>4</v>
          </cell>
          <cell r="B396">
            <v>11</v>
          </cell>
          <cell r="C396" t="str">
            <v>805722411182</v>
          </cell>
          <cell r="D396" t="str">
            <v>394</v>
          </cell>
        </row>
        <row r="397">
          <cell r="A397">
            <v>4</v>
          </cell>
          <cell r="B397">
            <v>12</v>
          </cell>
          <cell r="C397" t="str">
            <v>805724028924</v>
          </cell>
          <cell r="D397" t="str">
            <v>357</v>
          </cell>
        </row>
        <row r="398">
          <cell r="A398">
            <v>4</v>
          </cell>
          <cell r="B398">
            <v>13</v>
          </cell>
          <cell r="C398" t="str">
            <v>805724018341</v>
          </cell>
          <cell r="D398" t="str">
            <v>399</v>
          </cell>
        </row>
        <row r="399">
          <cell r="A399">
            <v>4</v>
          </cell>
          <cell r="B399">
            <v>14</v>
          </cell>
          <cell r="C399" t="str">
            <v>805724014284</v>
          </cell>
          <cell r="D399" t="str">
            <v>393</v>
          </cell>
        </row>
        <row r="400">
          <cell r="A400">
            <v>4</v>
          </cell>
          <cell r="B400">
            <v>15</v>
          </cell>
          <cell r="C400" t="str">
            <v>805724026358</v>
          </cell>
          <cell r="D400" t="str">
            <v>398</v>
          </cell>
        </row>
        <row r="401">
          <cell r="A401">
            <v>4</v>
          </cell>
          <cell r="B401">
            <v>16</v>
          </cell>
          <cell r="C401" t="str">
            <v>805724008871</v>
          </cell>
          <cell r="D401" t="str">
            <v>396</v>
          </cell>
        </row>
        <row r="402">
          <cell r="A402">
            <v>4</v>
          </cell>
          <cell r="B402">
            <v>17</v>
          </cell>
          <cell r="D402" t="str">
            <v>0</v>
          </cell>
        </row>
        <row r="403">
          <cell r="A403">
            <v>4</v>
          </cell>
          <cell r="B403">
            <v>18</v>
          </cell>
          <cell r="C403" t="str">
            <v>805724091321</v>
          </cell>
          <cell r="D403" t="str">
            <v>428</v>
          </cell>
        </row>
        <row r="404">
          <cell r="A404">
            <v>4</v>
          </cell>
          <cell r="B404">
            <v>19</v>
          </cell>
          <cell r="C404" t="str">
            <v>805724061515</v>
          </cell>
          <cell r="D404" t="str">
            <v>397</v>
          </cell>
        </row>
        <row r="405">
          <cell r="A405">
            <v>4</v>
          </cell>
          <cell r="B405">
            <v>20</v>
          </cell>
          <cell r="C405" t="str">
            <v>805723653147</v>
          </cell>
          <cell r="D405" t="str">
            <v>393</v>
          </cell>
        </row>
        <row r="406">
          <cell r="A406">
            <v>4</v>
          </cell>
          <cell r="B406">
            <v>21</v>
          </cell>
          <cell r="C406" t="str">
            <v>805724025902</v>
          </cell>
          <cell r="D406" t="str">
            <v>395</v>
          </cell>
        </row>
        <row r="407">
          <cell r="A407">
            <v>4</v>
          </cell>
          <cell r="B407">
            <v>22</v>
          </cell>
          <cell r="C407" t="str">
            <v>805724091547</v>
          </cell>
          <cell r="D407" t="str">
            <v>395</v>
          </cell>
        </row>
        <row r="408">
          <cell r="A408">
            <v>4</v>
          </cell>
          <cell r="B408">
            <v>23</v>
          </cell>
          <cell r="C408" t="str">
            <v>805724027214</v>
          </cell>
          <cell r="D408" t="str">
            <v>395</v>
          </cell>
        </row>
        <row r="409">
          <cell r="A409">
            <v>4</v>
          </cell>
          <cell r="B409">
            <v>24</v>
          </cell>
          <cell r="C409" t="str">
            <v>805724089874</v>
          </cell>
          <cell r="D409" t="str">
            <v>390</v>
          </cell>
        </row>
        <row r="410">
          <cell r="A410">
            <v>4</v>
          </cell>
          <cell r="B410">
            <v>25</v>
          </cell>
          <cell r="C410" t="str">
            <v>805723219551</v>
          </cell>
          <cell r="D410" t="str">
            <v>393</v>
          </cell>
        </row>
        <row r="411">
          <cell r="A411">
            <v>4</v>
          </cell>
          <cell r="B411">
            <v>26</v>
          </cell>
          <cell r="C411" t="str">
            <v>805722454418</v>
          </cell>
          <cell r="D411" t="str">
            <v>390</v>
          </cell>
        </row>
        <row r="412">
          <cell r="A412">
            <v>4</v>
          </cell>
          <cell r="B412">
            <v>27</v>
          </cell>
          <cell r="C412" t="str">
            <v>805724026921</v>
          </cell>
          <cell r="D412" t="str">
            <v>394</v>
          </cell>
        </row>
        <row r="413">
          <cell r="A413">
            <v>4</v>
          </cell>
          <cell r="B413">
            <v>28</v>
          </cell>
          <cell r="C413" t="str">
            <v>805724028993</v>
          </cell>
          <cell r="D413" t="str">
            <v>396</v>
          </cell>
        </row>
        <row r="414">
          <cell r="A414">
            <v>4</v>
          </cell>
          <cell r="B414">
            <v>29</v>
          </cell>
          <cell r="C414" t="str">
            <v>805724071338</v>
          </cell>
          <cell r="D414" t="str">
            <v>391</v>
          </cell>
        </row>
        <row r="415">
          <cell r="A415">
            <v>4</v>
          </cell>
          <cell r="B415">
            <v>30</v>
          </cell>
          <cell r="C415" t="str">
            <v>805723603333</v>
          </cell>
          <cell r="D415" t="str">
            <v>396</v>
          </cell>
        </row>
        <row r="416">
          <cell r="A416">
            <v>4</v>
          </cell>
          <cell r="B416">
            <v>31</v>
          </cell>
          <cell r="C416" t="str">
            <v>805724016237</v>
          </cell>
          <cell r="D416" t="str">
            <v>398</v>
          </cell>
        </row>
        <row r="417">
          <cell r="A417">
            <v>4</v>
          </cell>
          <cell r="B417">
            <v>32</v>
          </cell>
          <cell r="C417" t="str">
            <v>805724015379</v>
          </cell>
          <cell r="D417" t="str">
            <v>397</v>
          </cell>
        </row>
        <row r="418">
          <cell r="A418">
            <v>4</v>
          </cell>
          <cell r="B418">
            <v>33</v>
          </cell>
          <cell r="C418" t="str">
            <v>805724016929</v>
          </cell>
          <cell r="D418" t="str">
            <v>391</v>
          </cell>
        </row>
        <row r="419">
          <cell r="A419">
            <v>4</v>
          </cell>
          <cell r="B419">
            <v>34</v>
          </cell>
          <cell r="C419" t="str">
            <v>805724018615</v>
          </cell>
          <cell r="D419" t="str">
            <v>394</v>
          </cell>
        </row>
        <row r="420">
          <cell r="A420">
            <v>4</v>
          </cell>
          <cell r="B420">
            <v>35</v>
          </cell>
          <cell r="C420" t="str">
            <v>805724062657</v>
          </cell>
          <cell r="D420" t="str">
            <v>390</v>
          </cell>
        </row>
        <row r="421">
          <cell r="A421">
            <v>4</v>
          </cell>
          <cell r="B421">
            <v>36</v>
          </cell>
          <cell r="C421" t="str">
            <v>805724005136</v>
          </cell>
          <cell r="D421" t="str">
            <v>382</v>
          </cell>
        </row>
        <row r="422">
          <cell r="A422">
            <v>4</v>
          </cell>
          <cell r="B422">
            <v>37</v>
          </cell>
          <cell r="C422" t="str">
            <v>805724062656</v>
          </cell>
          <cell r="D422" t="str">
            <v>396</v>
          </cell>
        </row>
        <row r="423">
          <cell r="A423">
            <v>4</v>
          </cell>
          <cell r="B423">
            <v>38</v>
          </cell>
          <cell r="C423" t="str">
            <v>805724061102</v>
          </cell>
          <cell r="D423" t="str">
            <v>392</v>
          </cell>
        </row>
        <row r="424">
          <cell r="A424">
            <v>4</v>
          </cell>
          <cell r="B424">
            <v>39</v>
          </cell>
          <cell r="C424" t="str">
            <v>805724019282</v>
          </cell>
          <cell r="D424" t="str">
            <v>393</v>
          </cell>
        </row>
        <row r="425">
          <cell r="A425">
            <v>4</v>
          </cell>
          <cell r="B425">
            <v>40</v>
          </cell>
          <cell r="C425" t="str">
            <v>805724061195</v>
          </cell>
          <cell r="D425" t="str">
            <v>393</v>
          </cell>
        </row>
        <row r="426">
          <cell r="A426">
            <v>4</v>
          </cell>
          <cell r="B426">
            <v>41</v>
          </cell>
          <cell r="C426" t="str">
            <v>805724021591</v>
          </cell>
          <cell r="D426" t="str">
            <v>348</v>
          </cell>
        </row>
        <row r="427">
          <cell r="A427">
            <v>4</v>
          </cell>
          <cell r="B427">
            <v>42</v>
          </cell>
          <cell r="C427" t="str">
            <v>805724029296</v>
          </cell>
          <cell r="D427" t="str">
            <v>393</v>
          </cell>
        </row>
        <row r="428">
          <cell r="A428">
            <v>4</v>
          </cell>
          <cell r="B428">
            <v>43</v>
          </cell>
          <cell r="C428" t="str">
            <v>805724028163</v>
          </cell>
          <cell r="D428" t="str">
            <v>393</v>
          </cell>
        </row>
        <row r="429">
          <cell r="A429">
            <v>4</v>
          </cell>
          <cell r="B429">
            <v>44</v>
          </cell>
          <cell r="C429" t="str">
            <v>805724026929</v>
          </cell>
          <cell r="D429" t="str">
            <v>394</v>
          </cell>
        </row>
        <row r="430">
          <cell r="A430">
            <v>4</v>
          </cell>
          <cell r="B430">
            <v>45</v>
          </cell>
          <cell r="C430" t="str">
            <v>805724055953</v>
          </cell>
          <cell r="D430" t="str">
            <v>393</v>
          </cell>
        </row>
        <row r="431">
          <cell r="A431">
            <v>4</v>
          </cell>
          <cell r="B431">
            <v>46</v>
          </cell>
          <cell r="C431" t="str">
            <v>805724056668</v>
          </cell>
          <cell r="D431" t="str">
            <v>394</v>
          </cell>
        </row>
        <row r="432">
          <cell r="A432">
            <v>4</v>
          </cell>
          <cell r="B432">
            <v>47</v>
          </cell>
          <cell r="C432" t="str">
            <v>805724015553</v>
          </cell>
          <cell r="D432" t="str">
            <v>396</v>
          </cell>
        </row>
        <row r="433">
          <cell r="A433">
            <v>4</v>
          </cell>
          <cell r="B433">
            <v>48</v>
          </cell>
          <cell r="C433" t="str">
            <v>805724025397</v>
          </cell>
          <cell r="D433" t="str">
            <v>396</v>
          </cell>
        </row>
        <row r="434">
          <cell r="A434">
            <v>4</v>
          </cell>
          <cell r="B434">
            <v>49</v>
          </cell>
          <cell r="C434" t="str">
            <v>805724091568</v>
          </cell>
          <cell r="D434" t="str">
            <v>379</v>
          </cell>
        </row>
        <row r="435">
          <cell r="A435">
            <v>4</v>
          </cell>
          <cell r="B435">
            <v>50</v>
          </cell>
          <cell r="C435" t="str">
            <v>805724027225</v>
          </cell>
          <cell r="D435" t="str">
            <v>393</v>
          </cell>
        </row>
        <row r="436">
          <cell r="A436">
            <v>4</v>
          </cell>
          <cell r="B436">
            <v>51</v>
          </cell>
          <cell r="C436" t="str">
            <v>805724090233</v>
          </cell>
          <cell r="D436" t="str">
            <v>394</v>
          </cell>
        </row>
        <row r="437">
          <cell r="A437">
            <v>4</v>
          </cell>
          <cell r="B437">
            <v>52</v>
          </cell>
          <cell r="C437" t="str">
            <v>805724016281</v>
          </cell>
          <cell r="D437" t="str">
            <v>55</v>
          </cell>
        </row>
        <row r="438">
          <cell r="A438">
            <v>4</v>
          </cell>
          <cell r="B438">
            <v>53</v>
          </cell>
          <cell r="C438" t="str">
            <v>805724089317</v>
          </cell>
          <cell r="D438" t="str">
            <v>396</v>
          </cell>
        </row>
        <row r="439">
          <cell r="A439">
            <v>4</v>
          </cell>
          <cell r="B439">
            <v>54</v>
          </cell>
          <cell r="C439" t="str">
            <v>805724025315</v>
          </cell>
          <cell r="D439" t="str">
            <v>394</v>
          </cell>
        </row>
        <row r="440">
          <cell r="A440">
            <v>4</v>
          </cell>
          <cell r="B440">
            <v>55</v>
          </cell>
          <cell r="C440" t="str">
            <v>805724014307</v>
          </cell>
          <cell r="D440" t="str">
            <v>392</v>
          </cell>
        </row>
        <row r="441">
          <cell r="A441">
            <v>4</v>
          </cell>
          <cell r="B441">
            <v>56</v>
          </cell>
          <cell r="C441" t="str">
            <v>805724092444</v>
          </cell>
          <cell r="D441" t="str">
            <v>390</v>
          </cell>
        </row>
        <row r="442">
          <cell r="A442">
            <v>4</v>
          </cell>
          <cell r="B442">
            <v>57</v>
          </cell>
          <cell r="C442" t="str">
            <v>805724024789</v>
          </cell>
          <cell r="D442" t="str">
            <v>397</v>
          </cell>
        </row>
        <row r="443">
          <cell r="A443">
            <v>4</v>
          </cell>
          <cell r="B443">
            <v>58</v>
          </cell>
          <cell r="C443" t="str">
            <v>805723592343</v>
          </cell>
          <cell r="D443" t="str">
            <v>17</v>
          </cell>
        </row>
        <row r="444">
          <cell r="A444">
            <v>4</v>
          </cell>
          <cell r="B444">
            <v>59</v>
          </cell>
          <cell r="C444" t="str">
            <v>805724061842</v>
          </cell>
          <cell r="D444" t="str">
            <v>381</v>
          </cell>
        </row>
        <row r="445">
          <cell r="A445">
            <v>4</v>
          </cell>
          <cell r="B445">
            <v>60</v>
          </cell>
          <cell r="C445" t="str">
            <v>805724054630</v>
          </cell>
          <cell r="D445" t="str">
            <v>395</v>
          </cell>
        </row>
        <row r="446">
          <cell r="A446">
            <v>4</v>
          </cell>
          <cell r="B446">
            <v>61</v>
          </cell>
          <cell r="C446" t="str">
            <v>805724067528</v>
          </cell>
          <cell r="D446" t="str">
            <v>365</v>
          </cell>
        </row>
        <row r="447">
          <cell r="A447">
            <v>4</v>
          </cell>
          <cell r="B447">
            <v>62</v>
          </cell>
          <cell r="C447" t="str">
            <v>805724017627</v>
          </cell>
          <cell r="D447" t="str">
            <v>396</v>
          </cell>
        </row>
        <row r="448">
          <cell r="A448">
            <v>4</v>
          </cell>
          <cell r="B448">
            <v>63</v>
          </cell>
          <cell r="C448" t="str">
            <v>805724027220</v>
          </cell>
          <cell r="D448" t="str">
            <v>398</v>
          </cell>
        </row>
        <row r="449">
          <cell r="A449">
            <v>4</v>
          </cell>
          <cell r="B449">
            <v>64</v>
          </cell>
          <cell r="C449" t="str">
            <v>805724027680</v>
          </cell>
          <cell r="D449" t="str">
            <v>409</v>
          </cell>
        </row>
        <row r="450">
          <cell r="A450">
            <v>4</v>
          </cell>
          <cell r="B450">
            <v>65</v>
          </cell>
          <cell r="C450" t="str">
            <v>805724015119</v>
          </cell>
          <cell r="D450" t="str">
            <v>393</v>
          </cell>
        </row>
        <row r="451">
          <cell r="A451">
            <v>4</v>
          </cell>
          <cell r="B451">
            <v>66</v>
          </cell>
          <cell r="D451" t="str">
            <v>0</v>
          </cell>
        </row>
        <row r="452">
          <cell r="A452">
            <v>4</v>
          </cell>
          <cell r="B452">
            <v>67</v>
          </cell>
          <cell r="C452" t="str">
            <v>805724061967</v>
          </cell>
          <cell r="D452" t="str">
            <v>394</v>
          </cell>
        </row>
        <row r="453">
          <cell r="A453">
            <v>4</v>
          </cell>
          <cell r="B453">
            <v>68</v>
          </cell>
          <cell r="C453" t="str">
            <v>805724021496</v>
          </cell>
          <cell r="D453" t="str">
            <v>379</v>
          </cell>
        </row>
        <row r="454">
          <cell r="A454">
            <v>4</v>
          </cell>
          <cell r="B454">
            <v>69</v>
          </cell>
          <cell r="C454" t="str">
            <v>805724056611</v>
          </cell>
          <cell r="D454" t="str">
            <v>393</v>
          </cell>
        </row>
        <row r="455">
          <cell r="A455">
            <v>4</v>
          </cell>
          <cell r="B455">
            <v>70</v>
          </cell>
          <cell r="C455" t="str">
            <v>805724059191</v>
          </cell>
          <cell r="D455" t="str">
            <v>370</v>
          </cell>
        </row>
        <row r="456">
          <cell r="A456">
            <v>4</v>
          </cell>
          <cell r="B456">
            <v>71</v>
          </cell>
          <cell r="C456" t="str">
            <v>805724006014</v>
          </cell>
          <cell r="D456" t="str">
            <v>396</v>
          </cell>
        </row>
        <row r="457">
          <cell r="A457">
            <v>4</v>
          </cell>
          <cell r="B457">
            <v>72</v>
          </cell>
          <cell r="C457" t="str">
            <v>805724060461</v>
          </cell>
          <cell r="D457" t="str">
            <v>389</v>
          </cell>
        </row>
        <row r="458">
          <cell r="A458">
            <v>4</v>
          </cell>
          <cell r="B458">
            <v>73</v>
          </cell>
          <cell r="C458" t="str">
            <v>805724022125</v>
          </cell>
          <cell r="D458" t="str">
            <v>392</v>
          </cell>
        </row>
        <row r="459">
          <cell r="A459">
            <v>4</v>
          </cell>
          <cell r="B459">
            <v>74</v>
          </cell>
          <cell r="C459" t="str">
            <v>805724026443</v>
          </cell>
          <cell r="D459" t="str">
            <v>391</v>
          </cell>
        </row>
        <row r="460">
          <cell r="A460">
            <v>4</v>
          </cell>
          <cell r="B460">
            <v>75</v>
          </cell>
          <cell r="C460" t="str">
            <v>805724025272</v>
          </cell>
          <cell r="D460" t="str">
            <v>396</v>
          </cell>
        </row>
        <row r="461">
          <cell r="A461">
            <v>4</v>
          </cell>
          <cell r="B461">
            <v>76</v>
          </cell>
          <cell r="C461" t="str">
            <v>805724085572</v>
          </cell>
          <cell r="D461" t="str">
            <v>394</v>
          </cell>
        </row>
        <row r="462">
          <cell r="A462">
            <v>4</v>
          </cell>
          <cell r="B462">
            <v>77</v>
          </cell>
          <cell r="C462" t="str">
            <v>805723580065</v>
          </cell>
          <cell r="D462" t="str">
            <v>393</v>
          </cell>
        </row>
        <row r="463">
          <cell r="A463">
            <v>4</v>
          </cell>
          <cell r="B463">
            <v>78</v>
          </cell>
          <cell r="C463" t="str">
            <v>805724083496</v>
          </cell>
          <cell r="D463" t="str">
            <v>396</v>
          </cell>
        </row>
        <row r="464">
          <cell r="A464">
            <v>4</v>
          </cell>
          <cell r="B464">
            <v>79</v>
          </cell>
          <cell r="C464" t="str">
            <v>805724026754</v>
          </cell>
          <cell r="D464" t="str">
            <v>394</v>
          </cell>
        </row>
        <row r="465">
          <cell r="A465">
            <v>4</v>
          </cell>
          <cell r="B465">
            <v>80</v>
          </cell>
          <cell r="C465" t="str">
            <v>805724025207</v>
          </cell>
          <cell r="D465" t="str">
            <v>395</v>
          </cell>
        </row>
        <row r="466">
          <cell r="A466">
            <v>4</v>
          </cell>
          <cell r="B466">
            <v>81</v>
          </cell>
          <cell r="C466" t="str">
            <v>805724100725</v>
          </cell>
          <cell r="D466" t="str">
            <v>394</v>
          </cell>
        </row>
        <row r="467">
          <cell r="A467">
            <v>4</v>
          </cell>
          <cell r="B467">
            <v>82</v>
          </cell>
          <cell r="C467" t="str">
            <v>805724027215</v>
          </cell>
          <cell r="D467" t="str">
            <v>395</v>
          </cell>
        </row>
        <row r="468">
          <cell r="A468">
            <v>4</v>
          </cell>
          <cell r="B468">
            <v>83</v>
          </cell>
          <cell r="C468" t="str">
            <v>805724028796</v>
          </cell>
          <cell r="D468" t="str">
            <v>398</v>
          </cell>
        </row>
        <row r="469">
          <cell r="A469">
            <v>4</v>
          </cell>
          <cell r="B469">
            <v>84</v>
          </cell>
          <cell r="C469" t="str">
            <v>805724011919</v>
          </cell>
          <cell r="D469" t="str">
            <v>394</v>
          </cell>
        </row>
        <row r="470">
          <cell r="A470">
            <v>4</v>
          </cell>
          <cell r="B470">
            <v>85</v>
          </cell>
          <cell r="C470" t="str">
            <v>805724026193</v>
          </cell>
          <cell r="D470" t="str">
            <v>395</v>
          </cell>
        </row>
        <row r="471">
          <cell r="A471">
            <v>4</v>
          </cell>
          <cell r="B471">
            <v>86</v>
          </cell>
          <cell r="C471" t="str">
            <v>805724019621</v>
          </cell>
          <cell r="D471" t="str">
            <v>392</v>
          </cell>
        </row>
        <row r="472">
          <cell r="A472">
            <v>4</v>
          </cell>
          <cell r="B472">
            <v>87</v>
          </cell>
          <cell r="C472" t="str">
            <v>805724067416</v>
          </cell>
          <cell r="D472" t="str">
            <v>393</v>
          </cell>
        </row>
        <row r="473">
          <cell r="A473">
            <v>4</v>
          </cell>
          <cell r="B473">
            <v>88</v>
          </cell>
          <cell r="C473" t="str">
            <v>805724028775</v>
          </cell>
          <cell r="D473" t="str">
            <v>394</v>
          </cell>
        </row>
        <row r="474">
          <cell r="A474">
            <v>4</v>
          </cell>
          <cell r="B474">
            <v>89</v>
          </cell>
          <cell r="C474" t="str">
            <v>805724028964</v>
          </cell>
          <cell r="D474" t="str">
            <v>395</v>
          </cell>
        </row>
        <row r="475">
          <cell r="A475">
            <v>4</v>
          </cell>
          <cell r="B475">
            <v>90</v>
          </cell>
          <cell r="C475" t="str">
            <v>805724017389</v>
          </cell>
          <cell r="D475" t="str">
            <v>393</v>
          </cell>
        </row>
        <row r="476">
          <cell r="A476">
            <v>4</v>
          </cell>
          <cell r="B476">
            <v>91</v>
          </cell>
          <cell r="C476" t="str">
            <v>805724027221</v>
          </cell>
          <cell r="D476" t="str">
            <v>393</v>
          </cell>
        </row>
        <row r="477">
          <cell r="A477">
            <v>4</v>
          </cell>
          <cell r="B477">
            <v>92</v>
          </cell>
          <cell r="C477" t="str">
            <v>805724071221</v>
          </cell>
          <cell r="D477" t="str">
            <v>395</v>
          </cell>
        </row>
        <row r="478">
          <cell r="A478">
            <v>4</v>
          </cell>
          <cell r="B478">
            <v>93</v>
          </cell>
          <cell r="C478" t="str">
            <v>805724062603</v>
          </cell>
          <cell r="D478" t="str">
            <v>393</v>
          </cell>
        </row>
        <row r="479">
          <cell r="A479">
            <v>4</v>
          </cell>
          <cell r="B479">
            <v>94</v>
          </cell>
          <cell r="C479" t="str">
            <v>805724026992</v>
          </cell>
          <cell r="D479" t="str">
            <v>393</v>
          </cell>
        </row>
        <row r="480">
          <cell r="A480">
            <v>4</v>
          </cell>
          <cell r="B480">
            <v>95</v>
          </cell>
          <cell r="C480" t="str">
            <v>805724027222</v>
          </cell>
          <cell r="D480" t="str">
            <v>397</v>
          </cell>
        </row>
        <row r="481">
          <cell r="A481">
            <v>4</v>
          </cell>
          <cell r="B481">
            <v>96</v>
          </cell>
          <cell r="C481" t="str">
            <v>805724027219</v>
          </cell>
          <cell r="D481" t="str">
            <v>396</v>
          </cell>
        </row>
        <row r="482">
          <cell r="A482">
            <v>4</v>
          </cell>
          <cell r="B482">
            <v>97</v>
          </cell>
          <cell r="C482" t="str">
            <v>805724025665</v>
          </cell>
          <cell r="D482" t="str">
            <v>397</v>
          </cell>
        </row>
        <row r="483">
          <cell r="A483">
            <v>4</v>
          </cell>
          <cell r="B483">
            <v>98</v>
          </cell>
          <cell r="C483" t="str">
            <v>805724091545</v>
          </cell>
          <cell r="D483" t="str">
            <v>392</v>
          </cell>
        </row>
        <row r="484">
          <cell r="A484">
            <v>4</v>
          </cell>
          <cell r="B484">
            <v>99</v>
          </cell>
          <cell r="C484" t="str">
            <v>805724026479</v>
          </cell>
          <cell r="D484" t="str">
            <v>389</v>
          </cell>
        </row>
        <row r="485">
          <cell r="A485">
            <v>4</v>
          </cell>
          <cell r="B485">
            <v>100</v>
          </cell>
          <cell r="C485" t="str">
            <v>805724027250</v>
          </cell>
          <cell r="D485" t="str">
            <v>392</v>
          </cell>
        </row>
        <row r="486">
          <cell r="A486">
            <v>4</v>
          </cell>
          <cell r="B486">
            <v>101</v>
          </cell>
          <cell r="C486" t="str">
            <v>805724068027</v>
          </cell>
          <cell r="D486" t="str">
            <v>390</v>
          </cell>
        </row>
        <row r="487">
          <cell r="A487">
            <v>4</v>
          </cell>
          <cell r="B487">
            <v>102</v>
          </cell>
          <cell r="C487" t="str">
            <v>805724085221</v>
          </cell>
          <cell r="D487" t="str">
            <v>386</v>
          </cell>
        </row>
        <row r="488">
          <cell r="A488">
            <v>4</v>
          </cell>
          <cell r="B488">
            <v>103</v>
          </cell>
          <cell r="C488" t="str">
            <v>805724088820</v>
          </cell>
          <cell r="D488" t="str">
            <v>388</v>
          </cell>
        </row>
        <row r="489">
          <cell r="A489">
            <v>4</v>
          </cell>
          <cell r="B489">
            <v>104</v>
          </cell>
          <cell r="C489" t="str">
            <v>805724055669</v>
          </cell>
          <cell r="D489" t="str">
            <v>390</v>
          </cell>
        </row>
        <row r="490">
          <cell r="A490">
            <v>4</v>
          </cell>
          <cell r="B490">
            <v>105</v>
          </cell>
          <cell r="C490" t="str">
            <v>805724026207</v>
          </cell>
          <cell r="D490" t="str">
            <v>390</v>
          </cell>
        </row>
        <row r="491">
          <cell r="A491">
            <v>4</v>
          </cell>
          <cell r="B491">
            <v>106</v>
          </cell>
          <cell r="C491" t="str">
            <v>805724089892</v>
          </cell>
          <cell r="D491" t="str">
            <v>388</v>
          </cell>
        </row>
        <row r="492">
          <cell r="A492">
            <v>4</v>
          </cell>
          <cell r="B492">
            <v>107</v>
          </cell>
          <cell r="C492" t="str">
            <v>805724055598</v>
          </cell>
          <cell r="D492" t="str">
            <v>390</v>
          </cell>
        </row>
        <row r="493">
          <cell r="A493">
            <v>4</v>
          </cell>
          <cell r="B493">
            <v>108</v>
          </cell>
          <cell r="C493" t="str">
            <v>805723519609</v>
          </cell>
          <cell r="D493" t="str">
            <v>388</v>
          </cell>
        </row>
        <row r="494">
          <cell r="A494">
            <v>4</v>
          </cell>
          <cell r="B494">
            <v>109</v>
          </cell>
          <cell r="C494" t="str">
            <v>805724026822</v>
          </cell>
          <cell r="D494" t="str">
            <v>393</v>
          </cell>
        </row>
        <row r="495">
          <cell r="A495">
            <v>4</v>
          </cell>
          <cell r="B495">
            <v>110</v>
          </cell>
          <cell r="C495" t="str">
            <v>805724089876</v>
          </cell>
          <cell r="D495" t="str">
            <v>395</v>
          </cell>
        </row>
        <row r="496">
          <cell r="A496">
            <v>4</v>
          </cell>
          <cell r="B496">
            <v>111</v>
          </cell>
          <cell r="C496" t="str">
            <v>805724071333</v>
          </cell>
          <cell r="D496" t="str">
            <v>390</v>
          </cell>
        </row>
        <row r="497">
          <cell r="A497">
            <v>4</v>
          </cell>
          <cell r="B497">
            <v>112</v>
          </cell>
          <cell r="C497" t="str">
            <v>805724088774</v>
          </cell>
          <cell r="D497" t="str">
            <v>392</v>
          </cell>
        </row>
        <row r="498">
          <cell r="A498">
            <v>4</v>
          </cell>
          <cell r="B498">
            <v>113</v>
          </cell>
          <cell r="C498" t="str">
            <v>805724072071</v>
          </cell>
          <cell r="D498" t="str">
            <v>395</v>
          </cell>
        </row>
        <row r="499">
          <cell r="A499">
            <v>4</v>
          </cell>
          <cell r="B499">
            <v>114</v>
          </cell>
          <cell r="C499" t="str">
            <v>805724089993</v>
          </cell>
          <cell r="D499" t="str">
            <v>359</v>
          </cell>
        </row>
        <row r="500">
          <cell r="A500">
            <v>4</v>
          </cell>
          <cell r="B500">
            <v>115</v>
          </cell>
          <cell r="C500" t="str">
            <v>805724089659</v>
          </cell>
          <cell r="D500" t="str">
            <v>393</v>
          </cell>
        </row>
        <row r="501">
          <cell r="A501">
            <v>4</v>
          </cell>
          <cell r="B501">
            <v>116</v>
          </cell>
          <cell r="C501" t="str">
            <v>805724090263</v>
          </cell>
          <cell r="D501" t="str">
            <v>393</v>
          </cell>
        </row>
        <row r="502">
          <cell r="A502">
            <v>4</v>
          </cell>
          <cell r="B502">
            <v>117</v>
          </cell>
          <cell r="C502" t="str">
            <v>805724085575</v>
          </cell>
          <cell r="D502" t="str">
            <v>389</v>
          </cell>
        </row>
        <row r="503">
          <cell r="A503">
            <v>4</v>
          </cell>
          <cell r="B503">
            <v>118</v>
          </cell>
          <cell r="C503" t="str">
            <v>805724028281</v>
          </cell>
          <cell r="D503" t="str">
            <v>376</v>
          </cell>
        </row>
        <row r="504">
          <cell r="A504">
            <v>4</v>
          </cell>
          <cell r="B504">
            <v>119</v>
          </cell>
          <cell r="C504" t="str">
            <v>805724022161</v>
          </cell>
          <cell r="D504" t="str">
            <v>387</v>
          </cell>
        </row>
        <row r="505">
          <cell r="A505">
            <v>4</v>
          </cell>
          <cell r="B505">
            <v>120</v>
          </cell>
          <cell r="C505" t="str">
            <v>805723514175</v>
          </cell>
          <cell r="D505" t="str">
            <v>391</v>
          </cell>
        </row>
        <row r="506">
          <cell r="A506">
            <v>4</v>
          </cell>
          <cell r="B506">
            <v>121</v>
          </cell>
          <cell r="C506" t="str">
            <v>805723605047</v>
          </cell>
          <cell r="D506" t="str">
            <v>387</v>
          </cell>
        </row>
        <row r="507">
          <cell r="A507">
            <v>4</v>
          </cell>
          <cell r="B507">
            <v>122</v>
          </cell>
          <cell r="C507" t="str">
            <v>805724026194</v>
          </cell>
          <cell r="D507" t="str">
            <v>394</v>
          </cell>
        </row>
        <row r="508">
          <cell r="A508">
            <v>4</v>
          </cell>
          <cell r="B508">
            <v>123</v>
          </cell>
          <cell r="C508" t="str">
            <v>805723571783</v>
          </cell>
          <cell r="D508" t="str">
            <v>392</v>
          </cell>
        </row>
        <row r="509">
          <cell r="A509">
            <v>4</v>
          </cell>
          <cell r="B509">
            <v>124</v>
          </cell>
          <cell r="C509" t="str">
            <v>805724019283</v>
          </cell>
          <cell r="D509" t="str">
            <v>393</v>
          </cell>
        </row>
        <row r="510">
          <cell r="A510">
            <v>4</v>
          </cell>
          <cell r="B510">
            <v>125</v>
          </cell>
          <cell r="C510" t="str">
            <v>805723519115</v>
          </cell>
          <cell r="D510" t="str">
            <v>393</v>
          </cell>
        </row>
        <row r="511">
          <cell r="A511">
            <v>4</v>
          </cell>
          <cell r="B511">
            <v>126</v>
          </cell>
          <cell r="C511" t="str">
            <v>805723650278</v>
          </cell>
          <cell r="D511" t="str">
            <v>394</v>
          </cell>
        </row>
        <row r="512">
          <cell r="A512">
            <v>4</v>
          </cell>
          <cell r="B512">
            <v>127</v>
          </cell>
          <cell r="C512" t="str">
            <v>805723644807</v>
          </cell>
          <cell r="D512" t="str">
            <v>384</v>
          </cell>
        </row>
        <row r="513">
          <cell r="A513">
            <v>4</v>
          </cell>
          <cell r="B513">
            <v>128</v>
          </cell>
          <cell r="C513" t="str">
            <v>805723605684</v>
          </cell>
          <cell r="D513" t="str">
            <v>390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0612B0609015-1"/>
      <sheetName val="0612B0609027-1"/>
      <sheetName val="Fading_Data"/>
      <sheetName val="CD_Data"/>
      <sheetName val="C&amp;D_Data"/>
      <sheetName val="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TIMEOATY.XLS"/>
      <sheetName val="ISRDATA"/>
      <sheetName val="_MQADATA_TEST_TIMEOATY.XLS"/>
      <sheetName val="Rate"/>
      <sheetName val="MPS Q3 FY04"/>
      <sheetName val="MPS Q4 FY04"/>
      <sheetName val="125PIECE"/>
      <sheetName val="Data"/>
      <sheetName val="조절Panel"/>
      <sheetName val="TMK280-02"/>
      <sheetName val="11168IM1"/>
      <sheetName val="11168SH4"/>
      <sheetName val="Meal ticket"/>
      <sheetName val="\\sslrd-ser-rfile\rfile\TEST\TI"/>
      <sheetName val="TTL Yield"/>
      <sheetName val="Sheet 2"/>
      <sheetName val="\\17.91.99.189\V\MQADATA\TEST\T"/>
      <sheetName val="\\17.91.99.189\P\MQADATA\TEST\T"/>
      <sheetName val="총집계내역"/>
      <sheetName val="\@\nd-ri-rfile\rfile\MQADATA\TE"/>
      <sheetName val="Sheet371"/>
      <sheetName val="재무기준"/>
      <sheetName val="OK2x"/>
      <sheetName val="Sheet1"/>
      <sheetName val="상용"/>
      <sheetName val="Sheet2"/>
      <sheetName val="DBL LPG시험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605ML91"/>
      <sheetName val="REPAIR DATA - CONTAINER #5"/>
      <sheetName val="FA-LISTING"/>
      <sheetName val="Database"/>
      <sheetName val="__17.91.99.189_V_MQADATA_TEST_T"/>
      <sheetName val="__17.91.99.189_P_MQADATA_TEST_T"/>
      <sheetName val="[TIMEOATY.XLS][TIMEOATY.XLS]_14"/>
      <sheetName val="[TIMEOATY.XLS][TIMEOATY.XLS]_15"/>
      <sheetName val="[TIMEOATY.XLS][TIMEOATY.XLS]\TI"/>
      <sheetName val="[TIMEOATY.XLS][TIMEOATY.XLS]\D\"/>
      <sheetName val="[TIMEOATY.XLS]\MQADATA\TEST\TIM"/>
      <sheetName val="[TIMEOATY.XLS]\V\MQADATA\TEST\T"/>
      <sheetName val="[TIMEOATY.XLS]\P\MQADATA\TEST\T"/>
      <sheetName val="[TIMEOATY.XLS]_MQADATA_TEST_T_5"/>
      <sheetName val="[TIMEOATY.XLS][TIMEOATY.XLS]_18"/>
      <sheetName val="[TIMEOATY.XLS][TIMEOATY.XLS]_19"/>
      <sheetName val="[TIMEOATY.XLS]_V_MQADATA_TEST_5"/>
      <sheetName val="[TIMEOATY.XLS]_P_MQADATA_TEST_5"/>
      <sheetName val="[TIMEOATY.XLS]_MQADATA_TEST_T_2"/>
      <sheetName val="[TIMEOATY.XLS][TIMEOATY.XLS]__4"/>
      <sheetName val="[TIMEOATY.XLS][TIMEOATY.XLS]__5"/>
      <sheetName val="[TIMEOATY.XLS]_V_MQADATA_TEST_2"/>
      <sheetName val="[TIMEOATY.XLS]_P_MQADATA_TEST_2"/>
      <sheetName val="[TIMEOATY.XLS][TIMEOATY.XLS]__2"/>
      <sheetName val="[TIMEOATY.XLS][TIMEOATY.XLS]__3"/>
      <sheetName val="[TIMEOATY.XLS]_MQADATA_TEST_T_3"/>
      <sheetName val="[TIMEOATY.XLS][TIMEOATY.XLS]__8"/>
      <sheetName val="[TIMEOATY.XLS][TIMEOATY.XLS]__9"/>
      <sheetName val="[TIMEOATY.XLS]_V_MQADATA_TEST_3"/>
      <sheetName val="[TIMEOATY.XLS]_P_MQADATA_TEST_3"/>
      <sheetName val="[TIMEOATY.XLS][TIMEOATY.XLS]__6"/>
      <sheetName val="[TIMEOATY.XLS][TIMEOATY.XLS]__7"/>
      <sheetName val="[TIMEOATY.XLS][TIMEOATY.XLS]_10"/>
      <sheetName val="[TIMEOATY.XLS][TIMEOATY.XLS]_11"/>
      <sheetName val="[TIMEOATY.XLS][TIMEOATY.XLS]_12"/>
      <sheetName val="[TIMEOATY.XLS][TIMEOATY.XLS]_13"/>
      <sheetName val="[TIMEOATY.XLS]_MQADATA_TEST_T_4"/>
      <sheetName val="[TIMEOATY.XLS]_V_MQADATA_TEST_4"/>
      <sheetName val="[TIMEOATY.XLS]_P_MQADATA_TEST_4"/>
      <sheetName val="[TIMEOATY.XLS][TIMEOATY.XLS]_16"/>
      <sheetName val="[TIMEOATY.XLS][TIMEOATY.XLS]_17"/>
      <sheetName val="[TIMEOATY.XLS][TIMEOATY.XLS]_20"/>
      <sheetName val="[TIMEOATY.XLS][TIMEOATY.XLS]_21"/>
      <sheetName val="[TIMEOATY.XLS]\TIMEOATY.XLS"/>
      <sheetName val="[TIMEOATY.XLS]\D\TIMEOATY.XLS"/>
      <sheetName val="[TIMEOATY.XLS][TIMEOATY.XLS]_22"/>
      <sheetName val="[TIMEOATY.XLS][TIMEOATY.XLS]_23"/>
      <sheetName val="[TIMEOATY.XLS][TIMEOATY.XLS]_26"/>
      <sheetName val="[TIMEOATY.XLS][TIMEOATY.XLS]_27"/>
      <sheetName val="[TIMEOATY.XLS][TIMEOATY.XLS]_24"/>
      <sheetName val="[TIMEOATY.XLS][TIMEOATY.XLS]_25"/>
      <sheetName val="\MQADATA\TEST\TIMEOATY.XLS"/>
      <sheetName val="\TIMEOATY.XLS"/>
      <sheetName val="\D\TIMEOATY.XLS"/>
      <sheetName val="\V\MQADATA\TEST\TIMEOATY.XLS"/>
      <sheetName val="\P\MQADATA\TEST\TIMEOATY.XLS"/>
      <sheetName val="__sslrd-ser-rfile_rfile_TEST_TI"/>
      <sheetName val="_TIMEOATY.XLS"/>
      <sheetName val="_D_TIMEOATY.XLS"/>
      <sheetName val="_V_MQADATA_TEST_TIMEOATY.XLS"/>
      <sheetName val="_P_MQADATA_TEST_TIMEOATY.XLS"/>
      <sheetName val="_@_nd-ri-rfile_rfile_MQADATA_TE"/>
      <sheetName val="pe"/>
      <sheetName val="Ripple voltage"/>
      <sheetName val="#REF!"/>
      <sheetName val="Data lists"/>
      <sheetName val="\\ssl-rfile\rfile\V\MQADATA\TES"/>
      <sheetName val="\\ssl-rfile\rfile\P\MQADATA\TES"/>
      <sheetName val="\sslrd-ser-rfile\rfile\C\V\MQAD"/>
      <sheetName val="\@\sslrd-ser-rfile\rfile\C\V\MQ"/>
      <sheetName val="\Documents and Settings\VIOLA.Y"/>
      <sheetName val="\C\Documents and Settings\VIOLA"/>
      <sheetName val="\C\C\Documents and Settings\VIO"/>
      <sheetName val="\C\C\C\Documents and Settings\V"/>
      <sheetName val="\C\C\C\C\Documents and Settings"/>
      <sheetName val="\C\C\C\C\C\Documents and Settin"/>
      <sheetName val="\C\C\C\C\C\C\Documents and Sett"/>
      <sheetName val="液"/>
      <sheetName val="\\ssl-file\V\MQADATA\TEST\TIMEO"/>
      <sheetName val="\\sgsdspc6111\V\MQADATA\TEST\TI"/>
      <sheetName val="\\sgsdspc6111\P\MQADATA\TEST\TI"/>
      <sheetName val="\sslrd-ser-rfile\rfile\C\@\sslr"/>
      <sheetName val="\\SSLRD-ENG-RFILE\Rfile\P\MQADA"/>
      <sheetName val="\\192.168.200.1\C\V\MQADATA\TES"/>
      <sheetName val="\\192.168.200.1\V\MQADATA\TEST\"/>
      <sheetName val="\\192.168.200.1\C\P\MQADATA\TES"/>
      <sheetName val="Input commodity fallout"/>
      <sheetName val="Reporting"/>
      <sheetName val="Physical Description"/>
      <sheetName val="Data List"/>
      <sheetName val="S_H"/>
      <sheetName val="Y_H"/>
      <sheetName val="\Users\LG\AppData\Local\Microso"/>
      <sheetName val="\C\Users\LG\AppData\Local\Micro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SD-3 0%storage"/>
      <sheetName val="\C\@\sslrd-ser-rfile\rfile\C\V\"/>
      <sheetName val="OPERATION_MEETING"/>
      <sheetName val="\MQADATA\TEST\TIMEOATY_XLS"/>
      <sheetName val="TIMEOATY_XLS"/>
      <sheetName val="_MQADATA_TEST_TIMEOATY_XLS"/>
      <sheetName val="MPS_Q3_FY04"/>
      <sheetName val="MPS_Q4_FY04"/>
      <sheetName val="Meal_ticket"/>
      <sheetName val="TTL_Yield"/>
      <sheetName val="Sheet_2"/>
      <sheetName val="\\17_91_99_189\V\MQADATA\TEST\T"/>
      <sheetName val="\\17_91_99_189\P\MQADATA\TEST\T"/>
      <sheetName val="\TIMEOATY_XLS"/>
      <sheetName val="\D\TIMEOATY_XLS"/>
      <sheetName val="\V\MQADATA\TEST\TIMEOATY_XLS"/>
      <sheetName val="\P\MQADATA\TEST\TIMEOATY_XLS"/>
      <sheetName val="DBL_LPG시험"/>
      <sheetName val="REPAIR_DATA_-_CONTAINER_#5"/>
      <sheetName val="__17_91_99_189_V_MQADATA_TEST_T"/>
      <sheetName val="__17_91_99_189_P_MQADATA_TEST_T"/>
      <sheetName val="_TIMEOATY_XLS"/>
      <sheetName val="_D_TIMEOATY_XLS"/>
      <sheetName val="_V_MQADATA_TEST_TIMEOATY_XLS"/>
      <sheetName val="_P_MQADATA_TEST_TIMEOATY_XLS"/>
      <sheetName val="\D\D\TIMEOATY_XLS"/>
      <sheetName val="Ripple_voltage"/>
      <sheetName val="Data_lists"/>
      <sheetName val="\C\V\MQADATA\TEST\TIMEOATY_XLS"/>
      <sheetName val="\C\P\MQADATA\TEST\TIMEOATY_XLS"/>
      <sheetName val="\Documents_and_Settings\VIOLA_Y"/>
      <sheetName val="\C\Documents_and_Settings\VIOLA"/>
      <sheetName val="\C\C\Documents_and_Settings\VIO"/>
      <sheetName val="\C\C\C\Documents_and_Settings\V"/>
      <sheetName val="\C\C\C\C\Documents_and_Settings"/>
      <sheetName val="\C\C\C\C\C\Documents_and_Settin"/>
      <sheetName val="\C\C\C\C\C\C\Documents_and_Sett"/>
      <sheetName val="\TEST\TIMEOATY_XLS"/>
      <sheetName val="\\192_168_200_1\C\V\MQADATA\TES"/>
      <sheetName val="\\192_168_200_1\V\MQADATA\TEST\"/>
      <sheetName val="\\192_168_200_1\C\P\MQADATA\TES"/>
      <sheetName val="Input_commodity_fallout"/>
      <sheetName val="Physical_Description"/>
      <sheetName val="Data_List"/>
      <sheetName val="\\17_91_41_171\server\V\MQADATA"/>
      <sheetName val="\\17_91_41_171\server\P\MQADATA"/>
      <sheetName val="SD-3_0%storage"/>
      <sheetName val="OPERATION_MEETING1"/>
      <sheetName val="\MQADATA\TEST\TIMEOATY_XLS1"/>
      <sheetName val="TIMEOATY_XLS1"/>
      <sheetName val="_MQADATA_TEST_TIMEOATY_XLS1"/>
      <sheetName val="MPS_Q3_FY041"/>
      <sheetName val="MPS_Q4_FY041"/>
      <sheetName val="Meal_ticket1"/>
      <sheetName val="TTL_Yield1"/>
      <sheetName val="Sheet_21"/>
      <sheetName val="\\17_91_99_189\V\MQADATA\TEST\1"/>
      <sheetName val="\\17_91_99_189\P\MQADATA\TEST\1"/>
      <sheetName val="\TIMEOATY_XLS1"/>
      <sheetName val="\D\TIMEOATY_XLS1"/>
      <sheetName val="\V\MQADATA\TEST\TIMEOATY_XLS1"/>
      <sheetName val="\P\MQADATA\TEST\TIMEOATY_XLS1"/>
      <sheetName val="DBL_LPG시험1"/>
      <sheetName val="REPAIR_DATA_-_CONTAINER_#51"/>
      <sheetName val="__17_91_99_189_V_MQADATA_TEST_1"/>
      <sheetName val="__17_91_99_189_P_MQADATA_TEST_1"/>
      <sheetName val="_TIMEOATY_XLS1"/>
      <sheetName val="_D_TIMEOATY_XLS1"/>
      <sheetName val="_V_MQADATA_TEST_TIMEOATY_XLS1"/>
      <sheetName val="_P_MQADATA_TEST_TIMEOATY_XLS1"/>
      <sheetName val="\D\D\TIMEOATY_XLS1"/>
      <sheetName val="Ripple_voltage1"/>
      <sheetName val="Data_lists1"/>
      <sheetName val="\C\V\MQADATA\TEST\TIMEOATY_XLS1"/>
      <sheetName val="\C\P\MQADATA\TEST\TIMEOATY_XLS1"/>
      <sheetName val="\Documents_and_Settings\VIOLA_1"/>
      <sheetName val="\C\Documents_and_Settings\VIOL1"/>
      <sheetName val="\C\C\Documents_and_Settings\VI1"/>
      <sheetName val="\C\C\C\Documents_and_Settings\1"/>
      <sheetName val="\C\C\C\C\Documents_and_Setting1"/>
      <sheetName val="\C\C\C\C\C\Documents_and_Setti1"/>
      <sheetName val="\C\C\C\C\C\C\Documents_and_Set1"/>
      <sheetName val="\TEST\TIMEOATY_XLS1"/>
      <sheetName val="\\192_168_200_1\C\V\MQADATA\TE1"/>
      <sheetName val="\\192_168_200_1\V\MQADATA\TEST1"/>
      <sheetName val="\\192_168_200_1\C\P\MQADATA\TE1"/>
      <sheetName val="Input_commodity_fallout1"/>
      <sheetName val="Physical_Description1"/>
      <sheetName val="Data_List1"/>
      <sheetName val="\\17_91_41_171\server\V\MQADAT1"/>
      <sheetName val="\\17_91_41_171\server\P\MQADAT1"/>
      <sheetName val="SD-3_0%storage1"/>
      <sheetName val="OPERATION_MEETING2"/>
      <sheetName val="\MQADATA\TEST\TIMEOATY_XLS2"/>
      <sheetName val="TIMEOATY_XLS2"/>
      <sheetName val="_MQADATA_TEST_TIMEOATY_XLS2"/>
      <sheetName val="MPS_Q3_FY042"/>
      <sheetName val="MPS_Q4_FY042"/>
      <sheetName val="Meal_ticket2"/>
      <sheetName val="TTL_Yield2"/>
      <sheetName val="Sheet_22"/>
      <sheetName val="\\17_91_99_189\V\MQADATA\TEST\2"/>
      <sheetName val="\\17_91_99_189\P\MQADATA\TEST\2"/>
      <sheetName val="\TIMEOATY_XLS2"/>
      <sheetName val="\D\TIMEOATY_XLS2"/>
      <sheetName val="\V\MQADATA\TEST\TIMEOATY_XLS2"/>
      <sheetName val="\P\MQADATA\TEST\TIMEOATY_XLS2"/>
      <sheetName val="DBL_LPG시험2"/>
      <sheetName val="REPAIR_DATA_-_CONTAINER_#52"/>
      <sheetName val="__17_91_99_189_V_MQADATA_TEST_2"/>
      <sheetName val="__17_91_99_189_P_MQADATA_TEST_2"/>
      <sheetName val="_TIMEOATY_XLS2"/>
      <sheetName val="_D_TIMEOATY_XLS2"/>
      <sheetName val="_V_MQADATA_TEST_TIMEOATY_XLS2"/>
      <sheetName val="_P_MQADATA_TEST_TIMEOATY_XLS2"/>
      <sheetName val="\D\D\TIMEOATY_XLS2"/>
      <sheetName val="Ripple_voltage2"/>
      <sheetName val="Data_lists2"/>
      <sheetName val="\C\V\MQADATA\TEST\TIMEOATY_XLS2"/>
      <sheetName val="\C\P\MQADATA\TEST\TIMEOATY_XLS2"/>
      <sheetName val="\Documents_and_Settings\VIOLA_2"/>
      <sheetName val="\C\Documents_and_Settings\VIOL2"/>
      <sheetName val="\C\C\Documents_and_Settings\VI2"/>
      <sheetName val="\C\C\C\Documents_and_Settings\2"/>
      <sheetName val="\C\C\C\C\Documents_and_Setting2"/>
      <sheetName val="\C\C\C\C\C\Documents_and_Setti2"/>
      <sheetName val="\C\C\C\C\C\C\Documents_and_Set2"/>
      <sheetName val="\TEST\TIMEOATY_XLS2"/>
      <sheetName val="\\192_168_200_1\C\V\MQADATA\TE2"/>
      <sheetName val="\\192_168_200_1\V\MQADATA\TEST2"/>
      <sheetName val="\\192_168_200_1\C\P\MQADATA\TE2"/>
      <sheetName val="Input_commodity_fallout2"/>
      <sheetName val="Physical_Description2"/>
      <sheetName val="Data_List2"/>
      <sheetName val="\\17_91_41_171\server\V\MQADAT2"/>
      <sheetName val="\\17_91_41_171\server\P\MQADAT2"/>
      <sheetName val="SD-3_0%storage2"/>
      <sheetName val="Administrative"/>
      <sheetName val="Extraction Elga"/>
      <sheetName val="Capa réelle TPT S49"/>
      <sheetName val="Récap capa TPT S49"/>
      <sheetName val="\rfile\V\MQADATA\TEST\TIMEOATY."/>
      <sheetName val="\\SSLRD-ENG-RFILE\Rfile\V\MQADA"/>
      <sheetName val="\rfile\P\MQADATA\TEST\TIMEOATY."/>
      <sheetName val="45℃可逆容量"/>
      <sheetName val="Pressure_Data"/>
      <sheetName val="DRATE-Summary"/>
      <sheetName val="DR-0617AA701117"/>
      <sheetName val="DR-0617AA701118"/>
      <sheetName val="Para Grille"/>
      <sheetName val="[TIMEOATY.XLS][TIMEOATY.XLS]_46"/>
      <sheetName val="[TIMEOATY.XLS][TIMEOATY.XLS]_47"/>
      <sheetName val="[TIMEOATY.XLS]_MQADATA_TEST__19"/>
      <sheetName val="[TIMEOATY.XLS]_V_MQADATA_TES_19"/>
      <sheetName val="[TIMEOATY.XLS]_P_MQADATA_TES_19"/>
      <sheetName val="[TIMEOATY.XLS]_MQADATA_TEST__11"/>
      <sheetName val="[TIMEOATY.XLS]_V_MQADATA_TES_11"/>
      <sheetName val="[TIMEOATY.XLS]_P_MQADATA_TES_11"/>
      <sheetName val="[TIMEOATY.XLS]_MQADATA_TEST_T_9"/>
      <sheetName val="[TIMEOATY.XLS]_V_MQADATA_TEST_9"/>
      <sheetName val="[TIMEOATY.XLS]_P_MQADATA_TEST_9"/>
      <sheetName val="[TIMEOATY.XLS]_MQADATA_TEST_T_8"/>
      <sheetName val="[TIMEOATY.XLS]_V_MQADATA_TEST_8"/>
      <sheetName val="[TIMEOATY.XLS]_P_MQADATA_TEST_8"/>
      <sheetName val="[TIMEOATY.XLS]_MQADATA_TEST_T_6"/>
      <sheetName val="[TIMEOATY.XLS]_V_MQADATA_TEST_6"/>
      <sheetName val="[TIMEOATY.XLS]_P_MQADATA_TEST_6"/>
      <sheetName val="[TIMEOATY.XLS]_MQADATA_TEST_T_7"/>
      <sheetName val="[TIMEOATY.XLS]_V_MQADATA_TEST_7"/>
      <sheetName val="[TIMEOATY.XLS]_P_MQADATA_TEST_7"/>
      <sheetName val="[TIMEOATY.XLS]_MQADATA_TEST__10"/>
      <sheetName val="[TIMEOATY.XLS]_V_MQADATA_TES_10"/>
      <sheetName val="[TIMEOATY.XLS]_P_MQADATA_TES_10"/>
      <sheetName val="[TIMEOATY.XLS][TIMEOATY.XLS]_28"/>
      <sheetName val="[TIMEOATY.XLS][TIMEOATY.XLS]_29"/>
      <sheetName val="[TIMEOATY.XLS]_MQADATA_TEST__12"/>
      <sheetName val="[TIMEOATY.XLS][TIMEOATY.XLS]_30"/>
      <sheetName val="[TIMEOATY.XLS][TIMEOATY.XLS]_31"/>
      <sheetName val="[TIMEOATY.XLS]_V_MQADATA_TES_12"/>
      <sheetName val="[TIMEOATY.XLS]_P_MQADATA_TES_12"/>
      <sheetName val="[TIMEOATY.XLS][TIMEOATY.XLS]_32"/>
      <sheetName val="[TIMEOATY.XLS][TIMEOATY.XLS]_33"/>
      <sheetName val="[TIMEOATY.XLS]_MQADATA_TEST__14"/>
      <sheetName val="[TIMEOATY.XLS][TIMEOATY.XLS]_34"/>
      <sheetName val="[TIMEOATY.XLS][TIMEOATY.XLS]_35"/>
      <sheetName val="[TIMEOATY.XLS]_V_MQADATA_TES_14"/>
      <sheetName val="[TIMEOATY.XLS]_P_MQADATA_TES_14"/>
      <sheetName val="[TIMEOATY.XLS]_MQADATA_TEST__13"/>
      <sheetName val="[TIMEOATY.XLS]_V_MQADATA_TES_13"/>
      <sheetName val="[TIMEOATY.XLS]_P_MQADATA_TES_13"/>
      <sheetName val="[TIMEOATY.XLS][TIMEOATY.XLS]_36"/>
      <sheetName val="[TIMEOATY.XLS][TIMEOATY.XLS]_37"/>
      <sheetName val="[TIMEOATY.XLS]_MQADATA_TEST__15"/>
      <sheetName val="[TIMEOATY.XLS][TIMEOATY.XLS]_38"/>
      <sheetName val="[TIMEOATY.XLS][TIMEOATY.XLS]_39"/>
      <sheetName val="[TIMEOATY.XLS]_V_MQADATA_TES_15"/>
      <sheetName val="[TIMEOATY.XLS]_P_MQADATA_TES_15"/>
      <sheetName val="[TIMEOATY.XLS][TIMEOATY.XLS]_40"/>
      <sheetName val="[TIMEOATY.XLS][TIMEOATY.XLS]_41"/>
      <sheetName val="[TIMEOATY.XLS]_MQADATA_TEST__16"/>
      <sheetName val="[TIMEOATY.XLS]_V_MQADATA_TES_16"/>
      <sheetName val="[TIMEOATY.XLS]_P_MQADATA_TES_16"/>
      <sheetName val="[TIMEOATY.XLS][TIMEOATY.XLS]_42"/>
      <sheetName val="[TIMEOATY.XLS][TIMEOATY.XLS]_43"/>
      <sheetName val="[TIMEOATY.XLS]_MQADATA_TEST__17"/>
      <sheetName val="[TIMEOATY.XLS]_V_MQADATA_TES_17"/>
      <sheetName val="[TIMEOATY.XLS]_P_MQADATA_TES_17"/>
      <sheetName val="[TIMEOATY.XLS][TIMEOATY.XLS]_44"/>
      <sheetName val="[TIMEOATY.XLS][TIMEOATY.XLS]_45"/>
      <sheetName val="[TIMEOATY.XLS]_MQADATA_TEST__18"/>
      <sheetName val="[TIMEOATY.XLS]_V_MQADATA_TES_18"/>
      <sheetName val="[TIMEOATY.XLS]_P_MQADATA_TES_18"/>
      <sheetName val="[TIMEOATY.XLS][TIMEOATY.XLS]_48"/>
      <sheetName val="[TIMEOATY.XLS][TIMEOATY.XLS]_49"/>
      <sheetName val="[TIMEOATY.XLS]_MQADATA_TEST__20"/>
      <sheetName val="[TIMEOATY.XLS]_V_MQADATA_TES_20"/>
      <sheetName val="[TIMEOATY.XLS]_P_MQADATA_TES_20"/>
      <sheetName val="[TIMEOATY.XLS]_C_V_MQADATA_TE_3"/>
      <sheetName val="[TIMEOATY.XLS]_C_P_MQADATA_TE_3"/>
      <sheetName val="[TIMEOATY.XLS]_TEST_TIMEOATY__3"/>
      <sheetName val="[TIMEOATY.XLS]_C_V_MQADATA_TE_2"/>
      <sheetName val="[TIMEOATY.XLS]_C_P_MQADATA_TE_2"/>
      <sheetName val="[TIMEOATY.XLS]_TEST_TIMEOATY__2"/>
      <sheetName val="[TIMEOATY.XLS]_C_V_MQADATA_TE_7"/>
      <sheetName val="[TIMEOATY.XLS]_C_P_MQADATA_TE_7"/>
      <sheetName val="[TIMEOATY.XLS]_TEST_TIMEOATY__7"/>
      <sheetName val="[TIMEOATY.XLS]_C_V_MQADATA_TE_5"/>
      <sheetName val="[TIMEOATY.XLS]_C_P_MQADATA_TE_5"/>
      <sheetName val="[TIMEOATY.XLS]_TEST_TIMEOATY__5"/>
      <sheetName val="[TIMEOATY.XLS]_C_V_MQADATA_TE_4"/>
      <sheetName val="[TIMEOATY.XLS]_C_P_MQADATA_TE_4"/>
      <sheetName val="[TIMEOATY.XLS]_TEST_TIMEOATY__4"/>
      <sheetName val="[TIMEOATY.XLS]_C_V_MQADATA_TE_6"/>
      <sheetName val="[TIMEOATY.XLS]_C_P_MQADATA_TE_6"/>
      <sheetName val="[TIMEOATY.XLS]_TEST_TIMEOATY__6"/>
      <sheetName val="[TIMEOATY.XLS]\D\D\TIMEOATY.XLS"/>
      <sheetName val="[TIMEOATY.XLS]__192_168_200_1_2"/>
      <sheetName val="[TIMEOATY.XLS]__192_168_200_1_3"/>
      <sheetName val="[TIMEOATY.XLS][TIMEOATY.XLS]_52"/>
      <sheetName val="[TIMEOATY.XLS][TIMEOATY.XLS]_53"/>
      <sheetName val="[TIMEOATY.XLS]_MQADATA_TEST__21"/>
      <sheetName val="[TIMEOATY.XLS][TIMEOATY.XLS]_54"/>
      <sheetName val="[TIMEOATY.XLS][TIMEOATY.XLS]_55"/>
      <sheetName val="[TIMEOATY.XLS]_V_MQADATA_TES_21"/>
      <sheetName val="[TIMEOATY.XLS]_P_MQADATA_TES_21"/>
      <sheetName val="[TIMEOATY.XLS][TIMEOATY.XLS]_50"/>
      <sheetName val="[TIMEOATY.XLS][TIMEOATY.XLS]_51"/>
      <sheetName val="[TIMEOATY.XLS][TIMEOATY.XLS]_60"/>
      <sheetName val="[TIMEOATY.XLS][TIMEOATY.XLS]_61"/>
      <sheetName val="[TIMEOATY.XLS]_MQADATA_TEST__24"/>
      <sheetName val="[TIMEOATY.XLS][TIMEOATY.XLS]_62"/>
      <sheetName val="[TIMEOATY.XLS][TIMEOATY.XLS]_63"/>
      <sheetName val="[TIMEOATY.XLS]_V_MQADATA_TES_24"/>
      <sheetName val="[TIMEOATY.XLS]_P_MQADATA_TES_24"/>
      <sheetName val="[TIMEOATY.XLS][TIMEOATY.XLS]_58"/>
      <sheetName val="[TIMEOATY.XLS][TIMEOATY.XLS]_59"/>
      <sheetName val="[TIMEOATY.XLS]_MQADATA_TEST__23"/>
      <sheetName val="[TIMEOATY.XLS]_V_MQADATA_TES_23"/>
      <sheetName val="[TIMEOATY.XLS]_P_MQADATA_TES_23"/>
      <sheetName val="[TIMEOATY.XLS][TIMEOATY.XLS]_56"/>
      <sheetName val="[TIMEOATY.XLS][TIMEOATY.XLS]_57"/>
      <sheetName val="[TIMEOATY.XLS]_MQADATA_TEST__22"/>
      <sheetName val="[TIMEOATY.XLS]_V_MQADATA_TES_22"/>
      <sheetName val="[TIMEOATY.XLS]_P_MQADATA_TES_22"/>
      <sheetName val="[TIMEOATY.XLS][TIMEOATY.XLS]_64"/>
      <sheetName val="[TIMEOATY.XLS][TIMEOATY.XLS]_65"/>
      <sheetName val="[TIMEOATY.XLS]_MQADATA_TEST__25"/>
      <sheetName val="[TIMEOATY.XLS][TIMEOATY.XLS]_66"/>
      <sheetName val="[TIMEOATY.XLS][TIMEOATY.XLS]_67"/>
      <sheetName val="[TIMEOATY.XLS]_V_MQADATA_TES_25"/>
      <sheetName val="[TIMEOATY.XLS]_P_MQADATA_TES_25"/>
      <sheetName val="[TIMEOATY.XLS]__192_168_200_1_4"/>
      <sheetName val="[TIMEOATY.XLS]__192_168_200_1_5"/>
      <sheetName val="[TIMEOATY.XLS]__192_168_200_1_8"/>
      <sheetName val="[TIMEOATY.XLS]__192_168_200_1_9"/>
      <sheetName val="[TIMEOATY.XLS]__192_168_200_1_6"/>
      <sheetName val="[TIMEOATY.XLS]__192_168_200_1_7"/>
      <sheetName val="[TIMEOATY.XLS]__192_168_200__10"/>
      <sheetName val="[TIMEOATY.XLS]__192_168_200__11"/>
      <sheetName val="[TIMEOATY.XLS][TIMEOATY.XLS]_68"/>
      <sheetName val="[TIMEOATY.XLS][TIMEOATY.XLS]_69"/>
      <sheetName val="[TIMEOATY.XLS]_MQADATA_TEST__26"/>
      <sheetName val="[TIMEOATY.XLS][TIMEOATY.XLS]_71"/>
      <sheetName val="[TIMEOATY.XLS][TIMEOATY.XLS]_72"/>
      <sheetName val="[TIMEOATY.XLS]_V_MQADATA_TES_26"/>
      <sheetName val="[TIMEOATY.XLS]_P_MQADATA_TES_26"/>
      <sheetName val="[TIMEOATY.XLS]__192_168_200__12"/>
      <sheetName val="[TIMEOATY.XLS]__192_168_200__13"/>
      <sheetName val="[TIMEOATY.XLS][TIMEOATY.XLS]_70"/>
      <sheetName val="GB-IC Villingen GG"/>
      <sheetName val="Internal_Pressure_Data"/>
      <sheetName val="811Pressure_Data"/>
      <sheetName val="[TIMEOATY.XLS][TIMEOATY.XLS][TI"/>
      <sheetName val="_D_D_TIMEOATY.XLS"/>
      <sheetName val="_sslrd-ser-rfile_rfile_C_V_MQAD"/>
      <sheetName val="__ssl-rfile_rfile_V_MQADATA_TES"/>
      <sheetName val="__ssl-rfile_rfile_P_MQADATA_TES"/>
      <sheetName val="_C_V_MQADATA_TEST_TIMEOATY.XLS"/>
      <sheetName val="_C_P_MQADATA_TEST_TIMEOATY.XLS"/>
      <sheetName val="_@_sslrd-ser-rfile_rfile_C_V_MQ"/>
      <sheetName val="_Documents and Settings_VIOLA.Y"/>
      <sheetName val="_C_Documents and Settings_VIOLA"/>
      <sheetName val="_C_C_Documents and Settings_VIO"/>
      <sheetName val="_C_C_C_Documents and Settings_V"/>
      <sheetName val="_C_C_C_C_Documents and Settings"/>
      <sheetName val="_C_C_C_C_C_Documents and Settin"/>
      <sheetName val="_C_C_C_C_C_C_Documents and Sett"/>
      <sheetName val="_sslrd-ser-rfile_rfile_C_@_sslr"/>
      <sheetName val="__SSLRD-ENG-RFILE_Rfile_P_MQADA"/>
      <sheetName val="_TEST_TIMEOATY.XLS"/>
      <sheetName val="__ssl-file_V_MQADATA_TEST_TIMEO"/>
      <sheetName val="__sgsdspc6111_V_MQADATA_TEST_TI"/>
      <sheetName val="__sgsdspc6111_P_MQADATA_TEST_TI"/>
      <sheetName val="__192.168.200.1_C_V_MQADATA_TES"/>
      <sheetName val="__192.168.200.1_V_MQADATA_TEST_"/>
      <sheetName val="__192.168.200.1_C_P_MQADATA_TES"/>
      <sheetName val="_Users_sanjaysheth_Library_Cont"/>
      <sheetName val="_C_Users_sanjaysheth_Library_Co"/>
      <sheetName val="_C_C_Users_sanjaysheth_Library_"/>
      <sheetName val="__17.91.41.171_server_V_MQADATA"/>
      <sheetName val="__17.91.41.171_server_P_MQADATA"/>
      <sheetName val="_Users_LG_AppData_Local_Microso"/>
      <sheetName val="_C_Users_LG_AppData_Local_Micro"/>
      <sheetName val="_C_@_sslrd-ser-rfile_rfile_C_V_"/>
      <sheetName val="_D_D_TIMEOATY_XLS"/>
      <sheetName val="_C_V_MQADATA_TEST_TIMEOATY_XLS"/>
      <sheetName val="_C_P_MQADATA_TEST_TIMEOATY_XLS"/>
      <sheetName val="_Documents_and_Settings_VIOLA_Y"/>
      <sheetName val="_C_Documents_and_Settings_VIOLA"/>
      <sheetName val="_C_C_Documents_and_Settings_VIO"/>
      <sheetName val="_C_C_C_Documents_and_Settings_V"/>
      <sheetName val="_C_C_C_C_Documents_and_Settings"/>
      <sheetName val="_C_C_C_C_C_Documents_and_Settin"/>
      <sheetName val="_C_C_C_C_C_C_Documents_and_Sett"/>
      <sheetName val="_TEST_TIMEOATY_XLS"/>
      <sheetName val="__192_168_200_1_C_V_MQADATA_TES"/>
      <sheetName val="__192_168_200_1_V_MQADATA_TEST_"/>
      <sheetName val="__192_168_200_1_C_P_MQADATA_TES"/>
      <sheetName val="__17_91_41_171_server_V_MQADATA"/>
      <sheetName val="__17_91_41_171_server_P_MQADATA"/>
      <sheetName val="_D_D_TIMEOATY_XLS1"/>
      <sheetName val="_C_V_MQADATA_TEST_TIMEOATY_XLS1"/>
      <sheetName val="_C_P_MQADATA_TEST_TIMEOATY_XLS1"/>
      <sheetName val="_Documents_and_Settings_VIOLA_1"/>
      <sheetName val="_C_Documents_and_Settings_VIOL1"/>
      <sheetName val="_C_C_Documents_and_Settings_VI1"/>
      <sheetName val="_C_C_C_Documents_and_Settings_1"/>
      <sheetName val="_C_C_C_C_Documents_and_Setting1"/>
      <sheetName val="_C_C_C_C_C_Documents_and_Setti1"/>
      <sheetName val="_C_C_C_C_C_C_Documents_and_Set1"/>
      <sheetName val="\Users\LIUJIANF\AppData\Local\M"/>
      <sheetName val="\C\Users\LIUJIANF\AppData\Local"/>
      <sheetName val="\Users\623840\AppData\Roaming\M"/>
      <sheetName val="\@\Users\623840\AppData\Roaming"/>
      <sheetName val="\C\@\Users\623840\AppData\Roami"/>
      <sheetName val="\Users\c-3202\AppData\Roaming\M"/>
      <sheetName val="\Users\c1978\AppData\Roaming\Fo"/>
      <sheetName val="&amp;MPS#Q1#FY08"/>
      <sheetName val="\Users\admin\Documents\Microsof"/>
      <sheetName val="\C\Users\admin\Documents\Micros"/>
      <sheetName val="\C\C\Users\admin\Documents\Micr"/>
      <sheetName val="\C\C\C\Users\admin\Documents\Mi"/>
      <sheetName val="\Volumes\246 302资料\CTB\TIMEOATY"/>
      <sheetName val="\C\Volumes\246 302资料\CTB\TIMEOA"/>
      <sheetName val="\C\C\Volumes\246 302资料\CTB\TIME"/>
      <sheetName val="\C\C\C\Volumes\246 302资料\CTB\TI"/>
      <sheetName val="\\10.12.8.248\C\C\C\C\Users\adm"/>
      <sheetName val="\\vmware-host\Shared Folders\P\"/>
      <sheetName val="\\csg00fls01\V\MQADATA\TEST\TIM"/>
      <sheetName val="\\vmware-host\Shared Folders\V\"/>
      <sheetName val="\\csg00fls01\P\MQADATA\TEST\TIM"/>
      <sheetName val="\Documents and Settings\LYDIA.Z"/>
      <sheetName val="combine"/>
      <sheetName val="O1OB"/>
      <sheetName val="\\192.168.100.11\V\MQADATA\TEST"/>
      <sheetName val="\Documents and Settings\wang_zh"/>
      <sheetName val="합제밀도에의한 계산"/>
      <sheetName val="\C\C\Users\LG\AppData\Local\Mic"/>
      <sheetName val="__vmware-host_Shared Folders_V_"/>
      <sheetName val="__vmware-host_Shared Folders_P_"/>
      <sheetName val="\\10.12.8.39\V\MQADATA\TEST\TIM"/>
      <sheetName val="\\10.12.8.39\P\MQADATA\TEST\TIM"/>
      <sheetName val="\Users\sandyyang\Library\Contai"/>
      <sheetName val="\Users\lianglu\AppData\Local\Mi"/>
      <sheetName val="\Library\Containers\com.apple.m"/>
      <sheetName val="\C\Library\Containers\com.apple"/>
      <sheetName val="\\Users\623840\AppData\Roaming\"/>
      <sheetName val="\\Jgsp-fsv4\con_ga1$\V\MQADATA\"/>
      <sheetName val="\Volumes\Document\! Temp 不要放重要文"/>
      <sheetName val="\C\Volumes\Document\! Temp 不要放重"/>
      <sheetName val="\C\C\Volumes\Document\! Temp 不要"/>
      <sheetName val="\C\C\C\Volumes\Document\! Temp "/>
      <sheetName val="\D\C\C\C\Volumes\Document\! Tem"/>
      <sheetName val="\C\D\C\C\C\Volumes\Document\! T"/>
      <sheetName val="\C\C\D\C\C\C\Volumes\Document\!"/>
      <sheetName val="\Users\test11\Library\Mail Down"/>
      <sheetName val="\D\Users\test11\Library\Mail Do"/>
      <sheetName val="\C\C\C\D\C\C\C\Volumes\Document"/>
      <sheetName val="_Users_623840_AppData_Roaming_M"/>
      <sheetName val="_@_Users_623840_AppData_Roaming"/>
      <sheetName val="_C_@_Users_623840_AppData_Roami"/>
      <sheetName val="期初B"/>
      <sheetName val="New Sys Spreaddsht Instructions"/>
      <sheetName val="Calculation"/>
      <sheetName val="01"/>
      <sheetName val="2004-4"/>
      <sheetName val="0414data"/>
      <sheetName val="Raw Data"/>
      <sheetName val="Model HourSet-sw"/>
      <sheetName val="ENG_1_Workmanship_Defect"/>
      <sheetName val="040126"/>
      <sheetName val="TORNADO_RANGE"/>
      <sheetName val="Main"/>
      <sheetName val="\C\C\Library\Containers\com.app"/>
      <sheetName val="__Users_623840_AppData_Roaming_"/>
      <sheetName val="Receiving Inspection"/>
      <sheetName val="dmvt"/>
      <sheetName val="\\jgsp-fsv4\Macintosh HD\V\MQAD"/>
      <sheetName val="\\172.17.31.252\C\C\@\Users\623"/>
      <sheetName val="\\172.17.31.252\Volumes\专案文件服务器"/>
      <sheetName val="\\172.17.31.252\@\172.17.31.252"/>
      <sheetName val="[TIMEOATY.XLS][TIMEOATY.XLS]\MQ"/>
      <sheetName val="03 市场调研报告"/>
      <sheetName val="CAUDIT"/>
      <sheetName val="D-Rate_2.5V"/>
      <sheetName val="CsvFile"/>
      <sheetName val="T진도"/>
      <sheetName val="Attachment A"/>
      <sheetName val="Data liets"/>
      <sheetName val="Data Liet"/>
      <sheetName val="Data_liets"/>
      <sheetName val="Data_Liet"/>
      <sheetName val="Data_liets1"/>
      <sheetName val="Data_Liet1"/>
      <sheetName val="Data_liets2"/>
      <sheetName val="Data_Liet2"/>
      <sheetName val="Adminietrative"/>
      <sheetName val="\Users\teet11\Library\Mail Down"/>
      <sheetName val="\D\Users\teet11\Library\Mail Do"/>
      <sheetName val="New Sys Spreaddsht Inetructions"/>
      <sheetName val="Receiving Inepection"/>
      <sheetName val="[TIMEOATY.XLS][TI"/>
      <sheetName val="[TIMEOATY.XLS]\MQ"/>
      <sheetName val="_TIMEOATY.XLS__TIMEOATY.XLS"/>
      <sheetName val="_TIMEOATY.XLS__D_TIMEOATY.XLS"/>
      <sheetName val="_TIMEOATY.XLS__D_D_TIMEOATY.XLS"/>
      <sheetName val="_TEST_TIMEOATY_XLS1"/>
      <sheetName val="__192_168_200_1_C_V_MQADATA_TE1"/>
      <sheetName val="25度循环2"/>
      <sheetName val="TTL-M3"/>
      <sheetName val="[TI"/>
      <sheetName val="Tab"/>
      <sheetName val="Foil"/>
      <sheetName val="隔离膜"/>
      <sheetName val="BOM"/>
      <sheetName val="新BOM"/>
      <sheetName val="铜铝箔"/>
      <sheetName val="Anode"/>
      <sheetName val="Cathode"/>
      <sheetName val="4原始数据"/>
      <sheetName val="TCA"/>
      <sheetName val="5 PFC"/>
      <sheetName val="HL_2.5V"/>
      <sheetName val="HL_2.0V"/>
      <sheetName val="__192_168_200_1_V_MQADATA_TEST1"/>
      <sheetName val="__192_168_200_1_C_P_MQADATA_TE1"/>
      <sheetName val="\D\D\TIMEOATY.XLS"/>
      <sheetName val="\C\V\MQADATA\TEST\TIMEOATY.XLS"/>
      <sheetName val="\C\P\MQADATA\TEST\TIMEOATY.XLS"/>
      <sheetName val="\TEST\TIMEOATY.XLS"/>
      <sheetName val="\D\V\MQADATA\TEST\TIMEOATY.XLS"/>
      <sheetName val="\MQ"/>
      <sheetName val="__17_91_41_171_server_V_MQADAT1"/>
      <sheetName val="__17_91_41_171_server_P_MQADAT1"/>
      <sheetName val="_D_D_TIMEOATY_XLS2"/>
      <sheetName val="_C_V_MQADATA_TEST_TIMEOATY_XLS2"/>
      <sheetName val="_C_P_MQADATA_TEST_TIMEOATY_XLS2"/>
      <sheetName val="_Documents_and_Settings_VIOLA_2"/>
      <sheetName val="_C_Documents_and_Settings_VIOL2"/>
      <sheetName val="_C_C_Documents_and_Settings_VI2"/>
      <sheetName val="_C_C_C_Documents_and_Settings_2"/>
      <sheetName val="_C_C_C_C_Documents_and_Setting2"/>
      <sheetName val="_C_C_C_C_C_Documents_and_Setti2"/>
      <sheetName val="_C_C_C_C_C_C_Documents_and_Set2"/>
      <sheetName val="_TEST_TIMEOATY_XLS2"/>
      <sheetName val="__192_168_200_1_C_V_MQADATA_TE2"/>
      <sheetName val="__192_168_200_1_V_MQADATA_TEST2"/>
      <sheetName val="__192_168_200_1_C_P_MQADATA_TE2"/>
      <sheetName val="__17_91_41_171_server_V_MQADAT2"/>
      <sheetName val="__17_91_41_171_server_P_MQADAT2"/>
      <sheetName val="_rfile_V_MQADATA_TEST_TIMEOATY."/>
      <sheetName val="__SSLRD-ENG-RFILE_Rfile_V_MQADA"/>
      <sheetName val="_rfile_P_MQADATA_TEST_TIMEOATY."/>
      <sheetName val="비용명세1"/>
      <sheetName val="_Users_c-3202_AppData_Roaming_M"/>
      <sheetName val="_Users_c1978_AppData_Roaming_Fo"/>
      <sheetName val="_Users_admin_Documents_Microsof"/>
      <sheetName val="_C_Users_admin_Documents_Micros"/>
      <sheetName val="_C_C_Users_admin_Documents_Micr"/>
      <sheetName val="_C_C_C_Users_admin_Documents_Mi"/>
      <sheetName val="_Volumes_246 302资料_CTB_TIMEOATY"/>
      <sheetName val="_C_Volumes_246 302资料_CTB_TIMEOA"/>
      <sheetName val="_C_C_Volumes_246 302资料_CTB_TIME"/>
      <sheetName val="_C_C_C_Volumes_246 302资料_CTB_TI"/>
      <sheetName val="__10.12.8.248_C_C_C_C_Users_adm"/>
      <sheetName val="__csg00fls01_V_MQADATA_TEST_TIM"/>
      <sheetName val="__csg00fls01_P_MQADATA_TEST_TIM"/>
      <sheetName val="_Documents and Settings_LYDIA.Z"/>
      <sheetName val="_Users_LIUJIANF_AppData_Local_M"/>
      <sheetName val="_C_Users_LIUJIANF_AppData_Local"/>
      <sheetName val="__192.168.100.11_V_MQADATA_TEST"/>
      <sheetName val="_Documents and Settings_wang_zh"/>
      <sheetName val="_C_C_Users_LG_AppData_Local_Mic"/>
      <sheetName val="Abbreviations"/>
      <sheetName val="[TIMEOATY.XLS]\C\V\MQADATA\TEST"/>
      <sheetName val="[TIMEOATY.XLS]\C\P\MQADATA\TEST"/>
      <sheetName val="[TIMEOATY.XLS][TIMEOATY.XLS]\TE"/>
      <sheetName val="_TIMEOATY.XLS__TIMEOATY.XLS__27"/>
      <sheetName val="_TIMEOATY.XLS__TIMEOATY.XLS__28"/>
      <sheetName val="_TIMEOATY.XLS__MQADATA_TEST__11"/>
      <sheetName val="_TIMEOATY.XLS__TIMEOATY.XLS__30"/>
      <sheetName val="_TIMEOATY.XLS__TIMEOATY.XLS__31"/>
      <sheetName val="_TIMEOATY.XLS__V_MQADATA_TES_11"/>
      <sheetName val="_TIMEOATY.XLS__P_MQADATA_TES_11"/>
      <sheetName val="_TIMEOATY.XLS__TIMEOATY.XLS__TI"/>
      <sheetName val="_TIMEOATY.XLS__TIMEOATY.XLS__D_"/>
      <sheetName val="_TIMEOATY.XLS__MQADATA_TEST_TIM"/>
      <sheetName val="_TIMEOATY.XLS__V_MQADATA_TEST_T"/>
      <sheetName val="_TIMEOATY.XLS__P_MQADATA_TEST_T"/>
      <sheetName val="_TIMEOATY.XLS__TIMEOATY.XLS__20"/>
      <sheetName val="_TIMEOATY.XLS__TIMEOATY.XLS__21"/>
      <sheetName val="_TIMEOATY.XLS__MQADATA_TEST_T_8"/>
      <sheetName val="_TIMEOATY.XLS__V_MQADATA_TEST_8"/>
      <sheetName val="_TIMEOATY.XLS__P_MQADATA_TEST_8"/>
      <sheetName val="_TIMEOATY.XLS__MQADATA_TEST_T_3"/>
      <sheetName val="_TIMEOATY.XLS__TIMEOATY.XLS___5"/>
      <sheetName val="_TIMEOATY.XLS__TIMEOATY.XLS___6"/>
      <sheetName val="_TIMEOATY.XLS__V_MQADATA_TEST_3"/>
      <sheetName val="_TIMEOATY.XLS__P_MQADATA_TEST_3"/>
      <sheetName val="_TIMEOATY.XLS__TIMEOATY.XLS___7"/>
      <sheetName val="_TIMEOATY.XLS__C_V_MQADATA_TE_3"/>
      <sheetName val="_TIMEOATY.XLS__C_P_MQADATA_TE_3"/>
      <sheetName val="_TIMEOATY.XLS__TEST_TIMEOATY__3"/>
      <sheetName val="_TIMEOATY.XLS___192_168_200_1_2"/>
      <sheetName val="_TIMEOATY.XLS___192_168_200_1_3"/>
      <sheetName val="_TIMEOATY.XLS__MQADATA_TEST_T_2"/>
      <sheetName val="_TIMEOATY.XLS__TIMEOATY.XLS___2"/>
      <sheetName val="_TIMEOATY.XLS__TIMEOATY.XLS___3"/>
      <sheetName val="_TIMEOATY.XLS__V_MQADATA_TEST_2"/>
      <sheetName val="_TIMEOATY.XLS__P_MQADATA_TEST_2"/>
      <sheetName val="_TIMEOATY.XLS__TIMEOATY.XLS___4"/>
      <sheetName val="_TIMEOATY.XLS__C_V_MQADATA_TE_2"/>
      <sheetName val="_TIMEOATY.XLS__C_P_MQADATA_TE_2"/>
      <sheetName val="_TIMEOATY.XLS__TEST_TIMEOATY__2"/>
      <sheetName val="_TIMEOATY.XLS__MQADATA_TEST_T_7"/>
      <sheetName val="_TIMEOATY.XLS__TIMEOATY.XLS__17"/>
      <sheetName val="_TIMEOATY.XLS__TIMEOATY.XLS__18"/>
      <sheetName val="_TIMEOATY.XLS__V_MQADATA_TEST_7"/>
      <sheetName val="_TIMEOATY.XLS__P_MQADATA_TEST_7"/>
      <sheetName val="_TIMEOATY.XLS__TIMEOATY.XLS__19"/>
      <sheetName val="_TIMEOATY.XLS__C_V_MQADATA_TE_7"/>
      <sheetName val="_TIMEOATY.XLS__C_P_MQADATA_TE_7"/>
      <sheetName val="_TIMEOATY.XLS__TEST_TIMEOATY__7"/>
      <sheetName val="_TIMEOATY.XLS__MQADATA_TEST_T_5"/>
      <sheetName val="_TIMEOATY.XLS__TIMEOATY.XLS__11"/>
      <sheetName val="_TIMEOATY.XLS__TIMEOATY.XLS__12"/>
      <sheetName val="_TIMEOATY.XLS__V_MQADATA_TEST_5"/>
      <sheetName val="_TIMEOATY.XLS__P_MQADATA_TEST_5"/>
      <sheetName val="_TIMEOATY.XLS__TIMEOATY.XLS__13"/>
      <sheetName val="_TIMEOATY.XLS__C_V_MQADATA_TE_5"/>
      <sheetName val="_TIMEOATY.XLS__C_P_MQADATA_TE_5"/>
      <sheetName val="_TIMEOATY.XLS__TEST_TIMEOATY__5"/>
      <sheetName val="_TIMEOATY.XLS__MQADATA_TEST_T_4"/>
      <sheetName val="_TIMEOATY.XLS__TIMEOATY.XLS___8"/>
      <sheetName val="_TIMEOATY.XLS__TIMEOATY.XLS___9"/>
      <sheetName val="_TIMEOATY.XLS__V_MQADATA_TEST_4"/>
      <sheetName val="_TIMEOATY.XLS__P_MQADATA_TEST_4"/>
      <sheetName val="_TIMEOATY.XLS__TIMEOATY.XLS__10"/>
      <sheetName val="_TIMEOATY.XLS__C_V_MQADATA_TE_4"/>
      <sheetName val="_TIMEOATY.XLS__C_P_MQADATA_TE_4"/>
      <sheetName val="_TIMEOATY.XLS__TEST_TIMEOATY__4"/>
      <sheetName val="_TIMEOATY.XLS__MQADATA_TEST_T_6"/>
      <sheetName val="_TIMEOATY.XLS__TIMEOATY.XLS__14"/>
      <sheetName val="_TIMEOATY.XLS__TIMEOATY.XLS__15"/>
      <sheetName val="_TIMEOATY.XLS__V_MQADATA_TEST_6"/>
      <sheetName val="_TIMEOATY.XLS__P_MQADATA_TEST_6"/>
      <sheetName val="_TIMEOATY.XLS__TIMEOATY.XLS__16"/>
      <sheetName val="_TIMEOATY.XLS__C_V_MQADATA_TE_6"/>
      <sheetName val="_TIMEOATY.XLS__C_P_MQADATA_TE_6"/>
      <sheetName val="_TIMEOATY.XLS__TEST_TIMEOATY__6"/>
      <sheetName val="_TIMEOATY.XLS__TIMEOATY.XLS__22"/>
      <sheetName val="_TIMEOATY.XLS__TIMEOATY.XLS__25"/>
      <sheetName val="_TIMEOATY.XLS__TIMEOATY.XLS__26"/>
      <sheetName val="_TIMEOATY.XLS__MQADATA_TEST__10"/>
      <sheetName val="_TIMEOATY.XLS__V_MQADATA_TES_10"/>
      <sheetName val="_TIMEOATY.XLS__P_MQADATA_TES_10"/>
      <sheetName val="_TIMEOATY.XLS__TIMEOATY.XLS__23"/>
      <sheetName val="_TIMEOATY.XLS__TIMEOATY.XLS__24"/>
      <sheetName val="_TIMEOATY.XLS__MQADATA_TEST_T_9"/>
      <sheetName val="_TIMEOATY.XLS__V_MQADATA_TEST_9"/>
      <sheetName val="_TIMEOATY.XLS__P_MQADATA_TEST_9"/>
      <sheetName val="_TIMEOATY.XLS___192_168_200_1_4"/>
      <sheetName val="_TIMEOATY.XLS___192_168_200_1_5"/>
      <sheetName val="_TIMEOATY.XLS__TIMEOATY.XLS__29"/>
      <sheetName val="_TIMEOATY.XLS__TIMEOATY.XLS__37"/>
      <sheetName val="_TIMEOATY.XLS__TIMEOATY.XLS__38"/>
      <sheetName val="_TIMEOATY.XLS__MQADATA_TEST__13"/>
      <sheetName val="_TIMEOATY.XLS__V_MQADATA_TES_13"/>
      <sheetName val="_TIMEOATY.XLS__P_MQADATA_TES_13"/>
      <sheetName val="_TIMEOATY.XLS___192_168_200_1_8"/>
      <sheetName val="_TIMEOATY.XLS___192_168_200_1_9"/>
      <sheetName val="_TIMEOATY.XLS__TIMEOATY.XLS__39"/>
      <sheetName val="_TIMEOATY.XLS__TIMEOATY.XLS__32"/>
      <sheetName val="_TIMEOATY.XLS__TIMEOATY.XLS__33"/>
      <sheetName val="_TIMEOATY.XLS__MQADATA_TEST__12"/>
      <sheetName val="_TIMEOATY.XLS__TIMEOATY.XLS__35"/>
      <sheetName val="_TIMEOATY.XLS__TIMEOATY.XLS__36"/>
      <sheetName val="_TIMEOATY.XLS__V_MQADATA_TES_12"/>
      <sheetName val="_TIMEOATY.XLS__P_MQADATA_TES_12"/>
      <sheetName val="_TIMEOATY.XLS___192_168_200_1_6"/>
      <sheetName val="_TIMEOATY.XLS___192_168_200_1_7"/>
      <sheetName val="_TIMEOATY.XLS__TIMEOATY.XLS__34"/>
      <sheetName val="_TIMEOATY.XLS__TIMEOATY.XLS__40"/>
      <sheetName val="_TIMEOATY.XLS__TIMEOATY.XLS__41"/>
      <sheetName val="_TIMEOATY.XLS__MQADATA_TEST__14"/>
      <sheetName val="_TIMEOATY.XLS__V_MQADATA_TES_14"/>
      <sheetName val="_TIMEOATY.XLS__P_MQADATA_TES_14"/>
      <sheetName val="_TIMEOATY.XLS___192_168_200__10"/>
      <sheetName val="_TIMEOATY.XLS___192_168_200__11"/>
      <sheetName val="_TIMEOATY.XLS__TIMEOATY.XLS__42"/>
      <sheetName val="_TIMEOATY.XLS__MQADATA_TEST__15"/>
      <sheetName val="_TIMEOATY.XLS__V_MQADATA_TES_15"/>
      <sheetName val="_TIMEOATY.XLS__P_MQADATA_TES_15"/>
      <sheetName val="_TIMEOATY.XLS__TIMEOATY.XLS__52"/>
      <sheetName val="_TIMEOATY.XLS__TIMEOATY.XLS__53"/>
      <sheetName val="_TIMEOATY.XLS__MQADATA_TEST__21"/>
      <sheetName val="_TIMEOATY.XLS__TIMEOATY.XLS__54"/>
      <sheetName val="_TIMEOATY.XLS__TIMEOATY.XLS__55"/>
      <sheetName val="_TIMEOATY.XLS__V_MQADATA_TES_21"/>
      <sheetName val="_TIMEOATY.XLS__P_MQADATA_TES_21"/>
      <sheetName val="_TIMEOATY.XLS__MQADATA_TEST__16"/>
      <sheetName val="_TIMEOATY.XLS__V_MQADATA_TES_16"/>
      <sheetName val="_TIMEOATY.XLS__P_MQADATA_TES_16"/>
      <sheetName val="_TIMEOATY.XLS__MQADATA_TEST__17"/>
      <sheetName val="_TIMEOATY.XLS__TIMEOATY.XLS__43"/>
      <sheetName val="_TIMEOATY.XLS__V_MQADATA_TES_17"/>
      <sheetName val="_TIMEOATY.XLS__P_MQADATA_TES_17"/>
      <sheetName val="_TIMEOATY.XLS__TIMEOATY.XLS__44"/>
      <sheetName val="_TIMEOATY.XLS__TIMEOATY.XLS__45"/>
      <sheetName val="_TIMEOATY.XLS__MQADATA_TEST__18"/>
      <sheetName val="_TIMEOATY.XLS__TIMEOATY.XLS__46"/>
      <sheetName val="_TIMEOATY.XLS__TIMEOATY.XLS__47"/>
      <sheetName val="_TIMEOATY.XLS__V_MQADATA_TES_18"/>
      <sheetName val="_TIMEOATY.XLS__P_MQADATA_TES_18"/>
      <sheetName val="_TIMEOATY.XLS__MQADATA_TEST__19"/>
      <sheetName val="_TIMEOATY.XLS__TIMEOATY.XLS__48"/>
      <sheetName val="_TIMEOATY.XLS__TIMEOATY.XLS__49"/>
      <sheetName val="_TIMEOATY.XLS__V_MQADATA_TES_19"/>
      <sheetName val="_TIMEOATY.XLS__P_MQADATA_TES_19"/>
      <sheetName val="_TIMEOATY.XLS__MQADATA_TEST__20"/>
      <sheetName val="_TIMEOATY.XLS__TIMEOATY.XLS__50"/>
      <sheetName val="_TIMEOATY.XLS__TIMEOATY.XLS__51"/>
      <sheetName val="_TIMEOATY.XLS__V_MQADATA_TES_20"/>
      <sheetName val="_TIMEOATY.XLS__P_MQADATA_TES_20"/>
      <sheetName val="_TIMEOATY.XLS__TIMEOATY.XLS__64"/>
      <sheetName val="_TIMEOATY.XLS__TIMEOATY.XLS__65"/>
      <sheetName val="_TIMEOATY.XLS__MQADATA_TEST__25"/>
      <sheetName val="_TIMEOATY.XLS__TIMEOATY.XLS__66"/>
      <sheetName val="_TIMEOATY.XLS__TIMEOATY.XLS__67"/>
      <sheetName val="_TIMEOATY.XLS__V_MQADATA_TES_25"/>
      <sheetName val="_TIMEOATY.XLS__P_MQADATA_TES_25"/>
      <sheetName val="_TIMEOATY.XLS__TIMEOATY.XLS__56"/>
      <sheetName val="_TIMEOATY.XLS__TIMEOATY.XLS__57"/>
      <sheetName val="_TIMEOATY.XLS__MQADATA_TEST__22"/>
      <sheetName val="_TIMEOATY.XLS__TIMEOATY.XLS__60"/>
      <sheetName val="_TIMEOATY.XLS__TIMEOATY.XLS__61"/>
      <sheetName val="_TIMEOATY.XLS__V_MQADATA_TES_22"/>
      <sheetName val="_TIMEOATY.XLS__P_MQADATA_TES_22"/>
      <sheetName val="_TIMEOATY.XLS__TIMEOATY.XLS__58"/>
      <sheetName val="_TIMEOATY.XLS__TIMEOATY.XLS__59"/>
      <sheetName val="_TIMEOATY.XLS__MQADATA_TEST__24"/>
      <sheetName val="_TIMEOATY.XLS__V_MQADATA_TES_24"/>
      <sheetName val="_TIMEOATY.XLS__P_MQADATA_TES_24"/>
      <sheetName val="_TIMEOATY.XLS__MQADATA_TEST__23"/>
      <sheetName val="_TIMEOATY.XLS__V_MQADATA_TES_23"/>
      <sheetName val="_TIMEOATY.XLS__P_MQADATA_TES_23"/>
      <sheetName val="_TIMEOATY.XLS__TIMEOATY.XLS__62"/>
      <sheetName val="_TIMEOATY.XLS__TIMEOATY.XLS__63"/>
      <sheetName val="_TIMEOATY.XLS__TIMEOATY.XLS__68"/>
      <sheetName val="_TIMEOATY.XLS__TIMEOATY.XLS__69"/>
      <sheetName val="_TIMEOATY.XLS__MQADATA_TEST__26"/>
      <sheetName val="_TIMEOATY.XLS__TIMEOATY.XLS__71"/>
      <sheetName val="_TIMEOATY.XLS__TIMEOATY.XLS__72"/>
      <sheetName val="_TIMEOATY.XLS__V_MQADATA_TES_26"/>
      <sheetName val="_TIMEOATY.XLS__P_MQADATA_TES_26"/>
      <sheetName val="_TIMEOATY.XLS___192_168_200__12"/>
      <sheetName val="_TIMEOATY.XLS___192_168_200__13"/>
      <sheetName val="_TIMEOATY.XLS__TIMEOATY.XLS__70"/>
      <sheetName val="__10.12.8.39_V_MQADATA_TEST_TIM"/>
      <sheetName val="__10.12.8.39_P_MQADATA_TEST_TIM"/>
      <sheetName val="_Users_sandyyang_Library_Contai"/>
      <sheetName val="_Users_lianglu_AppData_Local_Mi"/>
      <sheetName val="_Library_Containers_com.apple.m"/>
      <sheetName val="_C_Library_Containers_com.apple"/>
      <sheetName val="__Jgsp-fsv4_con_ga1$_V_MQADATA_"/>
      <sheetName val="_Volumes_Document_! Temp 不要放重要文"/>
      <sheetName val="_C_Volumes_Document_! Temp 不要放重"/>
      <sheetName val="_C_C_Volumes_Document_! Temp 不要"/>
      <sheetName val="_C_C_C_Volumes_Document_! Temp "/>
      <sheetName val="_D_C_C_C_Volumes_Document_! Tem"/>
      <sheetName val="_C_D_C_C_C_Volumes_Document_! T"/>
      <sheetName val="_C_C_D_C_C_C_Volumes_Document_!"/>
      <sheetName val="_Users_test11_Library_Mail Down"/>
      <sheetName val="_D_Users_test11_Library_Mail Do"/>
      <sheetName val="_C_C_C_D_C_C_C_Volumes_Document"/>
      <sheetName val="_C_C_Library_Containers_com.app"/>
      <sheetName val="__jgsp-fsv4_Macintosh HD_V_MQAD"/>
      <sheetName val="__172.17.31.252_C_C_@_Users_623"/>
      <sheetName val="__172.17.31.252_Volumes_专案文件服务器"/>
      <sheetName val="__172.17.31.252_@_172.17.31.252"/>
      <sheetName val="_TIMEOATY.XLS__TIMEOATY.XLS__MQ"/>
      <sheetName val="_Users_teet11_Library_Mail Down"/>
      <sheetName val="_D_Users_teet11_Library_Mail Do"/>
      <sheetName val="_TIMEOATY.XLS__TI"/>
      <sheetName val="_TIMEOATY.XLS__MQ"/>
      <sheetName val="_TI"/>
      <sheetName val="_D_V_MQADATA_TEST_TIMEOATY.XLS"/>
      <sheetName val="_MQ"/>
      <sheetName val="_TIMEOATY.XLS__C_V_MQADATA_TEST"/>
      <sheetName val="_TIMEOATY.XLS__C_P_MQADATA_TEST"/>
      <sheetName val="_TIMEOATY.XLS__TIMEOATY.XLS__TE"/>
      <sheetName val="[TIMEOATY.XLS]_MQADATA_TEST__27"/>
      <sheetName val="[TIMEOATY.XLS]_V_MQADATA_TES_27"/>
      <sheetName val="[TIMEOATY.XLS]_P_MQADATA_TES_27"/>
      <sheetName val="[TIMEOATY.XLS][TIMEOATY.XLS]_73"/>
      <sheetName val="[TIMEOATY.XLS][TIMEOATY.XLS]_74"/>
      <sheetName val="[TIMEOATY.XLS]_MQADATA_TEST__28"/>
      <sheetName val="[TIMEOATY.XLS]_V_MQADATA_TES_28"/>
      <sheetName val="[TIMEOATY.XLS]_P_MQADATA_TES_28"/>
      <sheetName val="[TIMEOATY.XLS][TIMEOATY.XLS]_75"/>
      <sheetName val="[TIMEOATY.XLS]__10_12_8_248_C_3"/>
      <sheetName val="[TIMEOATY.XLS]_D_V_MQADATA_TE_3"/>
      <sheetName val="[TIMEOATY.XLS]__172_17_31_252_3"/>
      <sheetName val="[TIMEOATY.XLS]__10_12_8_248_C_2"/>
      <sheetName val="[TIMEOATY.XLS]_D_V_MQADATA_TE_2"/>
      <sheetName val="[TIMEOATY.XLS]__172_17_31_252_2"/>
      <sheetName val="[TIMEOATY.XLS][TIMEOATY.XLS]_85"/>
      <sheetName val="[TIMEOATY.XLS][TIMEOATY.XLS]_86"/>
      <sheetName val="[TIMEOATY.XLS]__192_168_200__14"/>
      <sheetName val="[TIMEOATY.XLS]__192_168_200__15"/>
      <sheetName val="[TIMEOATY.XLS][TIMEOATY.XLS]_87"/>
      <sheetName val="[TIMEOATY.XLS]_C_V_MQADATA_TE_8"/>
      <sheetName val="[TIMEOATY.XLS]_C_P_MQADATA_TE_8"/>
      <sheetName val="[TIMEOATY.XLS]_TEST_TIMEOATY__8"/>
      <sheetName val="[TIMEOATY.XLS][TIMEOATY.XLS]_76"/>
      <sheetName val="[TIMEOATY.XLS][TIMEOATY.XLS]_77"/>
      <sheetName val="[TIMEOATY.XLS][TIMEOATY.XLS]_78"/>
      <sheetName val="[TIMEOATY.XLS][TIMEOATY.XLS]_79"/>
      <sheetName val="[TIMEOATY.XLS][TIMEOATY.XLS]_80"/>
      <sheetName val="[TIMEOATY.XLS][TIMEOATY.XLS]_82"/>
      <sheetName val="[TIMEOATY.XLS][TIMEOATY.XLS]_83"/>
      <sheetName val="[TIMEOATY.XLS]__192_168_200__16"/>
      <sheetName val="[TIMEOATY.XLS]__192_168_200__17"/>
      <sheetName val="[TIMEOATY.XLS][TIMEOATY.XLS]_81"/>
      <sheetName val="[TIMEOATY.XLS][TIMEOATY.XLS]_84"/>
      <sheetName val="[TIMEOATY.XLS]_C_V_MQADATA_TE_9"/>
      <sheetName val="[TIMEOATY.XLS]_C_P_MQADATA_TE_9"/>
      <sheetName val="[TIMEOATY.XLS]_TEST_TIMEOATY__9"/>
      <sheetName val="[TIMEOATY.XLS][TIMEOATY.XLS]_88"/>
      <sheetName val="[TIMEOATY.XLS][TIMEOATY.XLS]_89"/>
      <sheetName val="[TIMEOATY.XLS]_MQADATA_TEST__29"/>
      <sheetName val="[TIMEOATY.XLS][TIMEOATY.XLS]_91"/>
      <sheetName val="[TIMEOATY.XLS][TIMEOATY.XLS]_92"/>
      <sheetName val="[TIMEOATY.XLS]_V_MQADATA_TES_29"/>
      <sheetName val="[TIMEOATY.XLS]_P_MQADATA_TES_29"/>
      <sheetName val="[TIMEOATY.XLS]__192_168_200__18"/>
      <sheetName val="[TIMEOATY.XLS]__192_168_200__19"/>
      <sheetName val="[TIMEOATY.XLS][TIMEOATY.XLS]_90"/>
      <sheetName val="[TIMEOATY.XLS]__10_12_8_248_C_4"/>
      <sheetName val="[TIMEOATY.XLS]__172_17_31_252_4"/>
      <sheetName val="[TIMEOATY.XLS][TIMEOATY.XLS]_93"/>
      <sheetName val="[TIMEOATY.XLS]_C_V_MQADATA_T_10"/>
      <sheetName val="[TIMEOATY.XLS]_C_P_MQADATA_T_10"/>
      <sheetName val="[TIMEOATY.XLS]_TEST_TIMEOATY_10"/>
      <sheetName val="[TIMEOATY.XLS]_D_V_MQADATA_TE_4"/>
      <sheetName val="[TIMEOATY.XLS][TIMEOATY.XLS]_94"/>
      <sheetName val="[TIMEOATY.XLS][TIMEOATY.XLS]_95"/>
      <sheetName val="[TIMEOATY.XLS]_MQADATA_TEST__30"/>
      <sheetName val="[TIMEOATY.XLS]_V_MQADATA_TES_30"/>
      <sheetName val="[TIMEOATY.XLS]_P_MQADATA_TES_30"/>
      <sheetName val="[TIMEOATY.XLS]__192_168_200__20"/>
      <sheetName val="[TIMEOATY.XLS]__192_168_200__21"/>
      <sheetName val="[TIMEOATY.XLS][TIMEOATY.XLS]_96"/>
      <sheetName val="[TIMEOATY.XLS]__10_12_8_248_C_5"/>
      <sheetName val="[TIMEOATY.XLS]__172_17_31_252_5"/>
      <sheetName val="[TIMEOATY.XLS]_C_V_MQADATA_T_11"/>
      <sheetName val="[TIMEOATY.XLS]_C_P_MQADATA_T_11"/>
      <sheetName val="[TIMEOATY.XLS]_TEST_TIMEOATY_11"/>
      <sheetName val="[TIMEOATY.XLS]_D_V_MQADATA_TE_5"/>
      <sheetName val="[TIMEOATY.XLS][TIMEOATY.XLS]_97"/>
      <sheetName val="[TIMEOATY.XLS][TIMEOATY.XLS]_98"/>
      <sheetName val="[TIMEOATY.XLS][TIMEOATY.XLS]_99"/>
      <sheetName val="[TIMEOATY.XLS]_MQADATA_TEST__31"/>
      <sheetName val="[TIMEOATY.XLS]_TIMEOATY_XLS_100"/>
      <sheetName val="[TIMEOATY.XLS]_TIMEOATY_XLS_101"/>
      <sheetName val="[TIMEOATY.XLS]_V_MQADATA_TES_31"/>
      <sheetName val="[TIMEOATY.XLS]_P_MQADATA_TES_31"/>
      <sheetName val="[TIMEOATY.XLS]__192_168_200__22"/>
      <sheetName val="[TIMEOATY.XLS]__192_168_200__23"/>
      <sheetName val="[TIMEOATY.XLS]__10_12_8_248_C_6"/>
      <sheetName val="[TIMEOATY.XLS]__172_17_31_252_6"/>
      <sheetName val="[TIMEOATY.XLS]_TIMEOATY_XLS_102"/>
      <sheetName val="[TIMEOATY.XLS]_C_V_MQADATA_T_12"/>
      <sheetName val="[TIMEOATY.XLS]_C_P_MQADATA_T_12"/>
      <sheetName val="[TIMEOATY.XLS]_TEST_TIMEOATY_12"/>
      <sheetName val="[TIMEOATY.XLS]_D_V_MQADATA_TE_6"/>
      <sheetName val="[TIMEOATY.XLS]_TIMEOATY_XLS_103"/>
      <sheetName val="[TIMEOATY.XLS]_TIMEOATY_XLS_104"/>
      <sheetName val="[TIMEOATY.XLS]_TIMEOATY_XLS_105"/>
      <sheetName val="[TIMEOATY.XLS]_MQADATA_TEST__32"/>
      <sheetName val="[TIMEOATY.XLS]_TIMEOATY_XLS_106"/>
      <sheetName val="[TIMEOATY.XLS]_TIMEOATY_XLS_107"/>
      <sheetName val="[TIMEOATY.XLS]_V_MQADATA_TES_32"/>
      <sheetName val="[TIMEOATY.XLS]_P_MQADATA_TES_32"/>
      <sheetName val="[TIMEOATY.XLS]__192_168_200__24"/>
      <sheetName val="[TIMEOATY.XLS]__192_168_200__25"/>
      <sheetName val="[TIMEOATY.XLS]__10_12_8_248_C_7"/>
      <sheetName val="[TIMEOATY.XLS]__172_17_31_252_7"/>
      <sheetName val="[TIMEOATY.XLS]_TIMEOATY_XLS_108"/>
      <sheetName val="[TIMEOATY.XLS]_C_V_MQADATA_T_13"/>
      <sheetName val="[TIMEOATY.XLS]_C_P_MQADATA_T_13"/>
      <sheetName val="[TIMEOATY.XLS]_TEST_TIMEOATY_13"/>
      <sheetName val="[TIMEOATY.XLS]_D_V_MQADATA_TE_7"/>
      <sheetName val="[TIMEOATY.XLS]_TIMEOATY_XLS_109"/>
      <sheetName val="[TIMEOATY.XLS]_TIMEOATY_XLS_110"/>
      <sheetName val="[TIMEOATY.XLS]_TIMEOATY_XLS_111"/>
      <sheetName val="[TIMEOATY.XLS]_TIMEOATY_XLS_112"/>
      <sheetName val="[TIMEOATY.XLS]_TIMEOATY_XLS_113"/>
      <sheetName val="[TIMEOATY.XLS]_TIMEOATY_XLS_114"/>
      <sheetName val="[TIMEOATY.XLS]_MQADATA_TEST__33"/>
      <sheetName val="[TIMEOATY.XLS]_TIMEOATY_XLS_115"/>
      <sheetName val="[TIMEOATY.XLS]_TIMEOATY_XLS_116"/>
      <sheetName val="[TIMEOATY.XLS]_V_MQADATA_TES_33"/>
      <sheetName val="[TIMEOATY.XLS]_P_MQADATA_TES_33"/>
      <sheetName val="[TIMEOATY.XLS]__192_168_200__26"/>
      <sheetName val="[TIMEOATY.XLS]__192_168_200__27"/>
      <sheetName val="[TIMEOATY.XLS]__10_12_8_248_C_8"/>
      <sheetName val="[TIMEOATY.XLS]__172_17_31_252_8"/>
      <sheetName val="[TIMEOATY.XLS]_TIMEOATY_XLS_117"/>
      <sheetName val="[TIMEOATY.XLS]_C_V_MQADATA_T_14"/>
      <sheetName val="[TIMEOATY.XLS]_C_P_MQADATA_T_14"/>
      <sheetName val="[TIMEOATY.XLS]_TEST_TIMEOATY_14"/>
      <sheetName val="[TIMEOATY.XLS]_D_V_MQADATA_TE_8"/>
      <sheetName val="[TIMEOATY.XLS]_TIMEOATY_XLS_118"/>
      <sheetName val="[TIMEOATY.XLS]_TIMEOATY_XLS_119"/>
      <sheetName val="[TIMEOATY.XLS]_TIMEOATY_XLS_120"/>
      <sheetName val="[TIMEOATY.XLS]_MQADATA_TEST__34"/>
      <sheetName val="[TIMEOATY.XLS]_V_MQADATA_TES_34"/>
      <sheetName val="[TIMEOATY.XLS]_P_MQADATA_TES_34"/>
      <sheetName val="[TIMEOATY.XLS]__192_168_200__28"/>
      <sheetName val="[TIMEOATY.XLS]__192_168_200__29"/>
      <sheetName val="[TIMEOATY.XLS]__10_12_8_248_C_9"/>
      <sheetName val="[TIMEOATY.XLS]__172_17_31_252_9"/>
      <sheetName val="[TIMEOATY.XLS]_C_V_MQADATA_T_15"/>
      <sheetName val="[TIMEOATY.XLS]_C_P_MQADATA_T_15"/>
      <sheetName val="[TIMEOATY.XLS]_TEST_TIMEOATY_15"/>
      <sheetName val="[TIMEOATY.XLS]_D_V_MQADATA_TE_9"/>
      <sheetName val="[TIMEOATY.XLS]_C_V_MQADATA_T_17"/>
      <sheetName val="[TIMEOATY.XLS]_C_P_MQADATA_T_17"/>
      <sheetName val="[TIMEOATY.XLS]_C_V_MQADATA_T_16"/>
      <sheetName val="[TIMEOATY.XLS]_C_P_MQADATA_T_16"/>
      <sheetName val="[TIMEOATY.XLS]_C_V_MQADATA_T_18"/>
      <sheetName val="[TIMEOATY.XLS]_C_P_MQADATA_T_18"/>
      <sheetName val="[TIMEOATY.XLS]_C_V_MQADATA_T_19"/>
      <sheetName val="[TIMEOATY.XLS]_C_P_MQADATA_T_19"/>
      <sheetName val="Equipment Req Plan"/>
      <sheetName val="附图"/>
      <sheetName val="物料清单"/>
      <sheetName val="供应商清单"/>
      <sheetName val="[TIMEOATY.XLS]__10_12_8_248__11"/>
      <sheetName val="[TIMEOATY.XLS]__172_17_31_25_11"/>
      <sheetName val="[TIMEOATY.XLS]_C_V_MQADATA_T_22"/>
      <sheetName val="[TIMEOATY.XLS]_C_P_MQADATA_T_22"/>
      <sheetName val="[TIMEOATY.XLS]_D_V_MQADATA_T_11"/>
      <sheetName val="[TIMEOATY.XLS]__10_12_8_248__10"/>
      <sheetName val="[TIMEOATY.XLS]__172_17_31_25_10"/>
      <sheetName val="[TIMEOATY.XLS]_C_V_MQADATA_T_21"/>
      <sheetName val="[TIMEOATY.XLS]_C_P_MQADATA_T_21"/>
      <sheetName val="[TIMEOATY.XLS]_D_V_MQADATA_T_10"/>
      <sheetName val="[TIMEOATY.XLS]_C_V_MQADATA_T_20"/>
      <sheetName val="[TIMEOATY.XLS]_C_P_MQADATA_T_20"/>
      <sheetName val="[TIMEOATY.XLS]_MQADATA_TEST__35"/>
      <sheetName val="[TIMEOATY.XLS]_V_MQADATA_TES_35"/>
      <sheetName val="[TIMEOATY.XLS]_P_MQADATA_TES_35"/>
      <sheetName val="[TIMEOATY.XLS]__192_168_200__30"/>
      <sheetName val="[TIMEOATY.XLS]__192_168_200__31"/>
      <sheetName val="[TIMEOATY.XLS]__10_12_8_248__12"/>
      <sheetName val="[TIMEOATY.XLS]__172_17_31_25_12"/>
      <sheetName val="[TIMEOATY.XLS]_C_V_MQADATA_T_23"/>
      <sheetName val="[TIMEOATY.XLS]_C_P_MQADATA_T_23"/>
      <sheetName val="[TIMEOATY.XLS]_TEST_TIMEOATY_16"/>
      <sheetName val="[TIMEOATY.XLS]_D_V_MQADATA_T_12"/>
      <sheetName val="[TIMEOATY.XLS]_TIMEOATY_XLS_121"/>
      <sheetName val="[TIMEOATY.XLS]_TIMEOATY_XLS_122"/>
      <sheetName val="[TIMEOATY.XLS]_TIMEOATY_XLS_124"/>
      <sheetName val="[TIMEOATY.XLS]_TIMEOATY_XLS_125"/>
      <sheetName val="[TIMEOATY.XLS]_TIMEOATY_XLS_123"/>
      <sheetName val="[TIMEOATY.XLS]_TIMEOATY_XLS_126"/>
      <sheetName val="[TIMEOATY.XLS]_TIMEOATY_XLS_127"/>
      <sheetName val="[TIMEOATY.XLS]_TIMEOATY_XLS_128"/>
      <sheetName val="[TIMEOATY.XLS]_MQADATA_TEST__36"/>
      <sheetName val="[TIMEOATY.XLS]_V_MQADATA_TES_36"/>
      <sheetName val="[TIMEOATY.XLS]_P_MQADATA_TES_36"/>
      <sheetName val="[TIMEOATY.XLS]__192_168_200__32"/>
      <sheetName val="[TIMEOATY.XLS]__192_168_200__33"/>
      <sheetName val="[TIMEOATY.XLS]_TIMEOATY_XLS_129"/>
      <sheetName val="[TIMEOATY.XLS]_TEST_TIMEOATY_17"/>
      <sheetName val="[TIMEOATY.XLS]_TIMEOATY_XLS_130"/>
      <sheetName val="[TIMEOATY.XLS]_TIMEOATY_XLS_131"/>
      <sheetName val="[TIMEOATY.XLS]_MQADATA_TEST__37"/>
      <sheetName val="[TIMEOATY.XLS]_V_MQADATA_TES_37"/>
      <sheetName val="[TIMEOATY.XLS]_P_MQADATA_TES_37"/>
      <sheetName val="[TIMEOATY.XLS]__192_168_200__34"/>
      <sheetName val="[TIMEOATY.XLS]__192_168_200__35"/>
      <sheetName val="[TIMEOATY.XLS]_TIMEOATY_XLS_132"/>
      <sheetName val="[TIMEOATY.XLS]_TEST_TIMEOATY_18"/>
      <sheetName val="[TIMEOATY.XLS]_D_V_MQADATA_T_13"/>
      <sheetName val="[TIMEOATY.XLS]__10_12_8_248__13"/>
      <sheetName val="[TIMEOATY.XLS]__172_17_31_25_13"/>
      <sheetName val="[TIMEOATY.XLS]_D_V_MQADATA_T_14"/>
      <sheetName val="[TIMEOATY.XLS]__10_12_8_248__14"/>
      <sheetName val="[TIMEOATY.XLS]__172_17_31_25_14"/>
      <sheetName val="[TIMEOATY.XLS]_D_V_MQADATA_T_15"/>
      <sheetName val="[TIMEOATY.XLS]__192_168_200__72"/>
      <sheetName val="[TIMEOATY.XLS]__192_168_200__73"/>
      <sheetName val="[TIMEOATY.XLS]__10_12_8_248__37"/>
      <sheetName val="[TIMEOATY.XLS]__172_17_31_25_37"/>
      <sheetName val="[TIMEOATY.XLS]__10_12_8_248__15"/>
      <sheetName val="[TIMEOATY.XLS]__172_17_31_25_15"/>
      <sheetName val="[TIMEOATY.XLS]_D_V_MQADATA_T_16"/>
      <sheetName val="[TIMEOATY.XLS]__10_12_8_248__16"/>
      <sheetName val="[TIMEOATY.XLS]__172_17_31_25_16"/>
      <sheetName val="[TIMEOATY.XLS]_TEST_TIMEOATY_19"/>
      <sheetName val="[TIMEOATY.XLS]_D_V_MQADATA_T_17"/>
      <sheetName val="[TIMEOATY.XLS]__10_12_8_248__17"/>
      <sheetName val="[TIMEOATY.XLS]__172_17_31_25_17"/>
      <sheetName val="[TIMEOATY.XLS]__10_12_8_248__18"/>
      <sheetName val="[TIMEOATY.XLS]__172_17_31_25_18"/>
      <sheetName val="[TIMEOATY.XLS]__192_168_200__36"/>
      <sheetName val="[TIMEOATY.XLS]__192_168_200__37"/>
      <sheetName val="[TIMEOATY.XLS]__10_12_8_248__19"/>
      <sheetName val="[TIMEOATY.XLS]__172_17_31_25_19"/>
      <sheetName val="[TIMEOATY.XLS]_TEST_TIMEOATY_20"/>
      <sheetName val="[TIMEOATY.XLS]_D_V_MQADATA_T_19"/>
      <sheetName val="[TIMEOATY.XLS]_D_V_MQADATA_T_18"/>
      <sheetName val="[TIMEOATY.XLS]__192_168_200__38"/>
      <sheetName val="[TIMEOATY.XLS]__192_168_200__39"/>
      <sheetName val="[TIMEOATY.XLS]__10_12_8_248__20"/>
      <sheetName val="[TIMEOATY.XLS]__172_17_31_25_20"/>
      <sheetName val="[TIMEOATY.XLS]_TEST_TIMEOATY_21"/>
      <sheetName val="[TIMEOATY.XLS]_D_V_MQADATA_T_20"/>
      <sheetName val="[TIMEOATY.XLS]_MQADATA_TEST__44"/>
      <sheetName val="[TIMEOATY.XLS]_V_MQADATA_TES_44"/>
      <sheetName val="[TIMEOATY.XLS]_P_MQADATA_TES_44"/>
      <sheetName val="[TIMEOATY.XLS]_C_V_MQADATA_T_44"/>
      <sheetName val="[TIMEOATY.XLS]_C_P_MQADATA_T_44"/>
      <sheetName val="[TIMEOATY.XLS]_TIMEOATY_XLS_242"/>
      <sheetName val="[TIMEOATY.XLS]_TIMEOATY_XLS_243"/>
      <sheetName val="[TIMEOATY.XLS]_TIMEOATY_XLS_244"/>
      <sheetName val="[TIMEOATY.XLS]_TEST_TIMEOATY_43"/>
      <sheetName val="[TIMEOATY.XLS]_D_V_MQADATA_T_37"/>
      <sheetName val="[TIMEOATY.XLS]_TEST_TIMEOATY_23"/>
      <sheetName val="[TIMEOATY.XLS]__192_168_200__42"/>
      <sheetName val="[TIMEOATY.XLS]__192_168_200__43"/>
      <sheetName val="[TIMEOATY.XLS]__10_12_8_248__22"/>
      <sheetName val="[TIMEOATY.XLS]__172_17_31_25_22"/>
      <sheetName val="[TIMEOATY.XLS]_D_V_MQADATA_T_22"/>
      <sheetName val="[TIMEOATY.XLS]_TEST_TIMEOATY_22"/>
      <sheetName val="[TIMEOATY.XLS]__192_168_200__40"/>
      <sheetName val="[TIMEOATY.XLS]__192_168_200__41"/>
      <sheetName val="[TIMEOATY.XLS]__10_12_8_248__21"/>
      <sheetName val="[TIMEOATY.XLS]__172_17_31_25_21"/>
      <sheetName val="[TIMEOATY.XLS]_D_V_MQADATA_T_21"/>
      <sheetName val="[TIMEOATY.XLS]__192_168_200__44"/>
      <sheetName val="[TIMEOATY.XLS]__192_168_200__45"/>
      <sheetName val="[TIMEOATY.XLS]__10_12_8_248__23"/>
      <sheetName val="[TIMEOATY.XLS]__172_17_31_25_23"/>
      <sheetName val="[TIMEOATY.XLS]_C_V_MQADATA_T_24"/>
      <sheetName val="[TIMEOATY.XLS]_C_P_MQADATA_T_24"/>
      <sheetName val="[TIMEOATY.XLS]_TEST_TIMEOATY_24"/>
      <sheetName val="[TIMEOATY.XLS]_D_V_MQADATA_T_23"/>
      <sheetName val="[TIMEOATY.XLS]_TIMEOATY_XLS_134"/>
      <sheetName val="[TIMEOATY.XLS]_TIMEOATY_XLS_135"/>
      <sheetName val="[TIMEOATY.XLS]_TIMEOATY_XLS_136"/>
      <sheetName val="[TIMEOATY.XLS]__192_168_200__52"/>
      <sheetName val="[TIMEOATY.XLS]__192_168_200__53"/>
      <sheetName val="[TIMEOATY.XLS]__10_12_8_248__27"/>
      <sheetName val="[TIMEOATY.XLS]__172_17_31_25_27"/>
      <sheetName val="[TIMEOATY.XLS]__192_168_200__46"/>
      <sheetName val="[TIMEOATY.XLS]__192_168_200__47"/>
      <sheetName val="[TIMEOATY.XLS]__10_12_8_248__24"/>
      <sheetName val="[TIMEOATY.XLS]__172_17_31_25_24"/>
      <sheetName val="[TIMEOATY.XLS]_C_V_MQADATA_T_25"/>
      <sheetName val="[TIMEOATY.XLS]_C_P_MQADATA_T_25"/>
      <sheetName val="[TIMEOATY.XLS]_TEST_TIMEOATY_25"/>
      <sheetName val="[TIMEOATY.XLS]_D_V_MQADATA_T_24"/>
      <sheetName val="[TIMEOATY.XLS]_C_V_MQADATA_T_26"/>
      <sheetName val="[TIMEOATY.XLS]_C_P_MQADATA_T_26"/>
      <sheetName val="[TIMEOATY.XLS]_TEST_TIMEOATY_26"/>
      <sheetName val="[TIMEOATY.XLS]__192_168_200__48"/>
      <sheetName val="[TIMEOATY.XLS]__192_168_200__49"/>
      <sheetName val="[TIMEOATY.XLS]__10_12_8_248__25"/>
      <sheetName val="[TIMEOATY.XLS]__172_17_31_25_25"/>
      <sheetName val="[TIMEOATY.XLS]_D_V_MQADATA_T_25"/>
      <sheetName val="[TIMEOATY.XLS]_C_V_MQADATA_T_28"/>
      <sheetName val="[TIMEOATY.XLS]_C_P_MQADATA_T_28"/>
      <sheetName val="[TIMEOATY.XLS]_TEST_TIMEOATY_28"/>
      <sheetName val="[TIMEOATY.XLS]_D_V_MQADATA_T_27"/>
      <sheetName val="[TIMEOATY.XLS]_C_V_MQADATA_T_27"/>
      <sheetName val="[TIMEOATY.XLS]_C_P_MQADATA_T_27"/>
      <sheetName val="[TIMEOATY.XLS]_TIMEOATY_XLS_133"/>
      <sheetName val="[TIMEOATY.XLS]_TEST_TIMEOATY_27"/>
      <sheetName val="[TIMEOATY.XLS]__192_168_200__50"/>
      <sheetName val="[TIMEOATY.XLS]__192_168_200__51"/>
      <sheetName val="[TIMEOATY.XLS]__10_12_8_248__26"/>
      <sheetName val="[TIMEOATY.XLS]__172_17_31_25_26"/>
      <sheetName val="[TIMEOATY.XLS]_D_V_MQADATA_T_26"/>
      <sheetName val="[TIMEOATY.XLS]_TIMEOATY_XLS_137"/>
      <sheetName val="[TIMEOATY.XLS]_TIMEOATY_XLS_138"/>
      <sheetName val="[TIMEOATY.XLS]_TIMEOATY_XLS_139"/>
      <sheetName val="[TIMEOATY.XLS]_TIMEOATY_XLS_140"/>
      <sheetName val="[TIMEOATY.XLS]_TIMEOATY_XLS_141"/>
      <sheetName val="[TIMEOATY.XLS]_TIMEOATY_XLS_142"/>
      <sheetName val="[TIMEOATY.XLS]_C_V_MQADATA_T_29"/>
      <sheetName val="[TIMEOATY.XLS]_C_P_MQADATA_T_29"/>
      <sheetName val="[TIMEOATY.XLS]_TEST_TIMEOATY_29"/>
      <sheetName val="[TIMEOATY.XLS]__192_168_200__54"/>
      <sheetName val="[TIMEOATY.XLS]__192_168_200__55"/>
      <sheetName val="[TIMEOATY.XLS]__10_12_8_248__28"/>
      <sheetName val="[TIMEOATY.XLS]__172_17_31_25_28"/>
      <sheetName val="[TIMEOATY.XLS]_D_V_MQADATA_T_28"/>
      <sheetName val="[TIMEOATY.XLS]_TIMEOATY_XLS_143"/>
      <sheetName val="[TIMEOATY.XLS]_TIMEOATY_XLS_144"/>
      <sheetName val="[TIMEOATY.XLS]_TIMEOATY_XLS_145"/>
      <sheetName val="[TIMEOATY.XLS]__192_168_200__56"/>
      <sheetName val="[TIMEOATY.XLS]__192_168_200__57"/>
      <sheetName val="[TIMEOATY.XLS]__10_12_8_248__29"/>
      <sheetName val="[TIMEOATY.XLS]__172_17_31_25_29"/>
      <sheetName val="[TIMEOATY.XLS]_TIMEOATY_XLS_146"/>
      <sheetName val="[TIMEOATY.XLS]_TIMEOATY_XLS_147"/>
      <sheetName val="[TIMEOATY.XLS]_C_V_MQADATA_T_30"/>
      <sheetName val="[TIMEOATY.XLS]_C_P_MQADATA_T_30"/>
      <sheetName val="[TIMEOATY.XLS]_TIMEOATY_XLS_148"/>
      <sheetName val="[TIMEOATY.XLS]_TEST_TIMEOATY_30"/>
      <sheetName val="[TIMEOATY.XLS]_D_V_MQADATA_T_29"/>
      <sheetName val="[TIMEOATY.XLS]_TIMEOATY_XLS_149"/>
      <sheetName val="[TIMEOATY.XLS]_TIMEOATY_XLS_150"/>
      <sheetName val="[TIMEOATY.XLS]_TIMEOATY_XLS_151"/>
      <sheetName val="[TIMEOATY.XLS]_TIMEOATY_XLS_152"/>
      <sheetName val="[TIMEOATY.XLS]_TIMEOATY_XLS_153"/>
      <sheetName val="[TIMEOATY.XLS]_TIMEOATY_XLS_154"/>
      <sheetName val="[TIMEOATY.XLS]_TIMEOATY_XLS_161"/>
      <sheetName val="[TIMEOATY.XLS]_TIMEOATY_XLS_162"/>
      <sheetName val="[TIMEOATY.XLS]_TIMEOATY_XLS_163"/>
      <sheetName val="[TIMEOATY.XLS]_TIMEOATY_XLS_155"/>
      <sheetName val="[TIMEOATY.XLS]_TIMEOATY_XLS_156"/>
      <sheetName val="[TIMEOATY.XLS]_TIMEOATY_XLS_157"/>
      <sheetName val="[TIMEOATY.XLS]_TIMEOATY_XLS_158"/>
      <sheetName val="[TIMEOATY.XLS]_TIMEOATY_XLS_159"/>
      <sheetName val="[TIMEOATY.XLS]_TIMEOATY_XLS_160"/>
      <sheetName val="[TIMEOATY.XLS]_C_V_MQADATA_T_31"/>
      <sheetName val="[TIMEOATY.XLS]_C_P_MQADATA_T_31"/>
      <sheetName val="[TIMEOATY.XLS]_TEST_TIMEOATY_31"/>
      <sheetName val="[TIMEOATY.XLS]__192_168_200__58"/>
      <sheetName val="[TIMEOATY.XLS]__192_168_200__59"/>
      <sheetName val="[TIMEOATY.XLS]__10_12_8_248__30"/>
      <sheetName val="[TIMEOATY.XLS]__172_17_31_25_30"/>
      <sheetName val="[TIMEOATY.XLS]_D_V_MQADATA_T_30"/>
      <sheetName val="[TIMEOATY.XLS]_TIMEOATY_XLS_173"/>
      <sheetName val="[TIMEOATY.XLS]_TIMEOATY_XLS_174"/>
      <sheetName val="[TIMEOATY.XLS]_TIMEOATY_XLS_175"/>
      <sheetName val="[TIMEOATY.XLS]__192_168_200__64"/>
      <sheetName val="[TIMEOATY.XLS]__192_168_200__65"/>
      <sheetName val="[TIMEOATY.XLS]__10_12_8_248__33"/>
      <sheetName val="[TIMEOATY.XLS]__172_17_31_25_33"/>
      <sheetName val="[TIMEOATY.XLS]_C_V_MQADATA_T_34"/>
      <sheetName val="[TIMEOATY.XLS]_C_P_MQADATA_T_34"/>
      <sheetName val="[TIMEOATY.XLS]_TEST_TIMEOATY_34"/>
      <sheetName val="[TIMEOATY.XLS]_D_V_MQADATA_T_33"/>
      <sheetName val="[TIMEOATY.XLS]_TIMEOATY_XLS_164"/>
      <sheetName val="[TIMEOATY.XLS]_TIMEOATY_XLS_165"/>
      <sheetName val="[TIMEOATY.XLS]_TIMEOATY_XLS_166"/>
      <sheetName val="[TIMEOATY.XLS]_TIMEOATY_XLS_167"/>
      <sheetName val="[TIMEOATY.XLS]_TIMEOATY_XLS_168"/>
      <sheetName val="[TIMEOATY.XLS]_TIMEOATY_XLS_169"/>
      <sheetName val="[TIMEOATY.XLS]_C_V_MQADATA_T_32"/>
      <sheetName val="[TIMEOATY.XLS]_C_P_MQADATA_T_32"/>
      <sheetName val="[TIMEOATY.XLS]_TEST_TIMEOATY_32"/>
      <sheetName val="[TIMEOATY.XLS]__192_168_200__60"/>
      <sheetName val="[TIMEOATY.XLS]__192_168_200__61"/>
      <sheetName val="[TIMEOATY.XLS]__10_12_8_248__31"/>
      <sheetName val="[TIMEOATY.XLS]_D_V_MQADATA_T_31"/>
      <sheetName val="[TIMEOATY.XLS]__172_17_31_25_31"/>
      <sheetName val="[TIMEOATY.XLS]__192_168_200__62"/>
      <sheetName val="[TIMEOATY.XLS]__192_168_200__63"/>
      <sheetName val="[TIMEOATY.XLS]__10_12_8_248__32"/>
      <sheetName val="[TIMEOATY.XLS]__172_17_31_25_32"/>
      <sheetName val="[TIMEOATY.XLS]_TIMEOATY_XLS_170"/>
      <sheetName val="[TIMEOATY.XLS]_TIMEOATY_XLS_171"/>
      <sheetName val="[TIMEOATY.XLS]_C_V_MQADATA_T_33"/>
      <sheetName val="[TIMEOATY.XLS]_C_P_MQADATA_T_33"/>
      <sheetName val="[TIMEOATY.XLS]_TIMEOATY_XLS_172"/>
      <sheetName val="[TIMEOATY.XLS]_TEST_TIMEOATY_33"/>
      <sheetName val="[TIMEOATY.XLS]_D_V_MQADATA_T_32"/>
      <sheetName val="[TIMEOATY.XLS]_TIMEOATY_XLS_209"/>
      <sheetName val="[TIMEOATY.XLS]_TIMEOATY_XLS_210"/>
      <sheetName val="[TIMEOATY.XLS]_TIMEOATY_XLS_211"/>
      <sheetName val="[TIMEOATY.XLS]__192_168_200__66"/>
      <sheetName val="[TIMEOATY.XLS]__192_168_200__67"/>
      <sheetName val="[TIMEOATY.XLS]__10_12_8_248__34"/>
      <sheetName val="[TIMEOATY.XLS]__172_17_31_25_34"/>
      <sheetName val="[TIMEOATY.XLS]_MQADATA_TEST__40"/>
      <sheetName val="[TIMEOATY.XLS]_V_MQADATA_TES_40"/>
      <sheetName val="[TIMEOATY.XLS]_P_MQADATA_TES_40"/>
      <sheetName val="[TIMEOATY.XLS]_C_V_MQADATA_T_40"/>
      <sheetName val="[TIMEOATY.XLS]_C_P_MQADATA_T_40"/>
      <sheetName val="[TIMEOATY.XLS]_TEST_TIMEOATY_39"/>
      <sheetName val="[TIMEOATY.XLS]_D_V_MQADATA_T_34"/>
      <sheetName val="源"/>
      <sheetName val="2.供应商端质量数据"/>
      <sheetName val="倍率放电16"/>
      <sheetName val="倍率放电17"/>
      <sheetName val="倍率放电18"/>
      <sheetName val="倍率放电19-1"/>
      <sheetName val="倍率放电19-2"/>
      <sheetName val="倍率放电20"/>
      <sheetName val="倍率放电21"/>
      <sheetName val="倍率放电22"/>
      <sheetName val="60℃放电"/>
      <sheetName val="数据源不可删除"/>
      <sheetName val="25度循环6只"/>
      <sheetName val="Cork"/>
      <sheetName val="[TIMEOATY.XLS]\D\V\MQADATA\TEST"/>
      <sheetName val="工艺文件"/>
      <sheetName val="[TIMEOATY.XLS]_TIMEOATY_XLS_179"/>
      <sheetName val="[TIMEOATY.XLS]_TIMEOATY_XLS_180"/>
      <sheetName val="[TIMEOATY.XLS]_TIMEOATY_XLS_181"/>
      <sheetName val="[TIMEOATY.XLS]_C_V_MQADATA_T_35"/>
      <sheetName val="[TIMEOATY.XLS]_C_P_MQADATA_T_35"/>
      <sheetName val="[TIMEOATY.XLS]_TIMEOATY_XLS_176"/>
      <sheetName val="[TIMEOATY.XLS]_TIMEOATY_XLS_177"/>
      <sheetName val="[TIMEOATY.XLS]_TIMEOATY_XLS_178"/>
      <sheetName val="[TIMEOATY.XLS]_TIMEOATY_XLS_185"/>
      <sheetName val="[TIMEOATY.XLS]_TIMEOATY_XLS_186"/>
      <sheetName val="[TIMEOATY.XLS]_TIMEOATY_XLS_187"/>
      <sheetName val="[TIMEOATY.XLS]_TIMEOATY_XLS_182"/>
      <sheetName val="[TIMEOATY.XLS]_TIMEOATY_XLS_183"/>
      <sheetName val="[TIMEOATY.XLS]_TIMEOATY_XLS_184"/>
      <sheetName val="[TIMEOATY.XLS]_TIMEOATY_XLS_188"/>
      <sheetName val="[TIMEOATY.XLS]_TIMEOATY_XLS_189"/>
      <sheetName val="[TIMEOATY.XLS]_TIMEOATY_XLS_190"/>
      <sheetName val="[TIMEOATY.XLS]_TIMEOATY_XLS_200"/>
      <sheetName val="[TIMEOATY.XLS]_TIMEOATY_XLS_201"/>
      <sheetName val="[TIMEOATY.XLS]_TIMEOATY_XLS_202"/>
      <sheetName val="[TIMEOATY.XLS]_MQADATA_TEST__39"/>
      <sheetName val="[TIMEOATY.XLS]_V_MQADATA_TES_39"/>
      <sheetName val="[TIMEOATY.XLS]_P_MQADATA_TES_39"/>
      <sheetName val="[TIMEOATY.XLS]_C_V_MQADATA_T_39"/>
      <sheetName val="[TIMEOATY.XLS]_C_P_MQADATA_T_39"/>
      <sheetName val="[TIMEOATY.XLS]_TEST_TIMEOATY_38"/>
      <sheetName val="[TIMEOATY.XLS]_TIMEOATY_XLS_191"/>
      <sheetName val="[TIMEOATY.XLS]_TIMEOATY_XLS_192"/>
      <sheetName val="[TIMEOATY.XLS]_TIMEOATY_XLS_193"/>
      <sheetName val="[TIMEOATY.XLS]_C_V_MQADATA_T_36"/>
      <sheetName val="[TIMEOATY.XLS]_C_P_MQADATA_T_36"/>
      <sheetName val="[TIMEOATY.XLS]_TEST_TIMEOATY_35"/>
      <sheetName val="[TIMEOATY.XLS]_TIMEOATY_XLS_194"/>
      <sheetName val="[TIMEOATY.XLS]_TIMEOATY_XLS_195"/>
      <sheetName val="[TIMEOATY.XLS]_TIMEOATY_XLS_196"/>
      <sheetName val="[TIMEOATY.XLS]_C_V_MQADATA_T_37"/>
      <sheetName val="[TIMEOATY.XLS]_C_P_MQADATA_T_37"/>
      <sheetName val="[TIMEOATY.XLS]_TEST_TIMEOATY_36"/>
      <sheetName val="[TIMEOATY.XLS]_TIMEOATY_XLS_197"/>
      <sheetName val="[TIMEOATY.XLS]_TIMEOATY_XLS_198"/>
      <sheetName val="[TIMEOATY.XLS]_TIMEOATY_XLS_199"/>
      <sheetName val="[TIMEOATY.XLS]_MQADATA_TEST__38"/>
      <sheetName val="[TIMEOATY.XLS]_V_MQADATA_TES_38"/>
      <sheetName val="[TIMEOATY.XLS]_P_MQADATA_TES_38"/>
      <sheetName val="[TIMEOATY.XLS]_C_V_MQADATA_T_38"/>
      <sheetName val="[TIMEOATY.XLS]_C_P_MQADATA_T_38"/>
      <sheetName val="[TIMEOATY.XLS]_TEST_TIMEOATY_37"/>
      <sheetName val="[TIMEOATY.XLS]_TIMEOATY_XLS_203"/>
      <sheetName val="[TIMEOATY.XLS]_TIMEOATY_XLS_204"/>
      <sheetName val="[TIMEOATY.XLS]_TIMEOATY_XLS_205"/>
      <sheetName val="[TIMEOATY.XLS]_TIMEOATY_XLS_206"/>
      <sheetName val="[TIMEOATY.XLS]_TIMEOATY_XLS_207"/>
      <sheetName val="[TIMEOATY.XLS]_TIMEOATY_XLS_208"/>
      <sheetName val="[TIMEOATY.XLS]_TIMEOATY_XLS_227"/>
      <sheetName val="[TIMEOATY.XLS]_TIMEOATY_XLS_228"/>
      <sheetName val="[TIMEOATY.XLS]_TIMEOATY_XLS_229"/>
      <sheetName val="[TIMEOATY.XLS]__192_168_200__68"/>
      <sheetName val="[TIMEOATY.XLS]__192_168_200__69"/>
      <sheetName val="[TIMEOATY.XLS]__10_12_8_248__35"/>
      <sheetName val="[TIMEOATY.XLS]__172_17_31_25_35"/>
      <sheetName val="[TIMEOATY.XLS]_MQADATA_TEST__42"/>
      <sheetName val="[TIMEOATY.XLS]_V_MQADATA_TES_42"/>
      <sheetName val="[TIMEOATY.XLS]_P_MQADATA_TES_42"/>
      <sheetName val="[TIMEOATY.XLS]_C_V_MQADATA_T_42"/>
      <sheetName val="[TIMEOATY.XLS]_C_P_MQADATA_T_42"/>
      <sheetName val="[TIMEOATY.XLS]_TEST_TIMEOATY_41"/>
      <sheetName val="[TIMEOATY.XLS]_D_V_MQADATA_T_35"/>
      <sheetName val="[TIMEOATY.XLS]_TIMEOATY_XLS_212"/>
      <sheetName val="[TIMEOATY.XLS]_TIMEOATY_XLS_213"/>
      <sheetName val="[TIMEOATY.XLS]_TIMEOATY_XLS_214"/>
      <sheetName val="[TIMEOATY.XLS]_TIMEOATY_XLS_215"/>
      <sheetName val="[TIMEOATY.XLS]_TIMEOATY_XLS_216"/>
      <sheetName val="[TIMEOATY.XLS]_TIMEOATY_XLS_217"/>
      <sheetName val="[TIMEOATY.XLS]_MQADATA_TEST__41"/>
      <sheetName val="[TIMEOATY.XLS]_TIMEOATY_XLS_218"/>
      <sheetName val="[TIMEOATY.XLS]_TIMEOATY_XLS_219"/>
      <sheetName val="[TIMEOATY.XLS]_V_MQADATA_TES_41"/>
      <sheetName val="[TIMEOATY.XLS]_P_MQADATA_TES_41"/>
      <sheetName val="[TIMEOATY.XLS]_C_V_MQADATA_T_41"/>
      <sheetName val="[TIMEOATY.XLS]_C_P_MQADATA_T_41"/>
      <sheetName val="[TIMEOATY.XLS]_TIMEOATY_XLS_220"/>
      <sheetName val="[TIMEOATY.XLS]_TEST_TIMEOATY_40"/>
      <sheetName val="[TIMEOATY.XLS]_TIMEOATY_XLS_224"/>
      <sheetName val="[TIMEOATY.XLS]_TIMEOATY_XLS_225"/>
      <sheetName val="[TIMEOATY.XLS]_TIMEOATY_XLS_226"/>
      <sheetName val="[TIMEOATY.XLS]_TIMEOATY_XLS_221"/>
      <sheetName val="[TIMEOATY.XLS]_TIMEOATY_XLS_222"/>
      <sheetName val="[TIMEOATY.XLS]_TIMEOATY_XLS_223"/>
      <sheetName val="[TIMEOATY.XLS]_TIMEOATY_XLS_239"/>
      <sheetName val="[TIMEOATY.XLS]_TIMEOATY_XLS_240"/>
      <sheetName val="[TIMEOATY.XLS]_TIMEOATY_XLS_241"/>
      <sheetName val="[TIMEOATY.XLS]_TIMEOATY_XLS_230"/>
      <sheetName val="[TIMEOATY.XLS]_TIMEOATY_XLS_231"/>
      <sheetName val="[TIMEOATY.XLS]_TIMEOATY_XLS_232"/>
      <sheetName val="[TIMEOATY.XLS]_TIMEOATY_XLS_233"/>
      <sheetName val="[TIMEOATY.XLS]_TIMEOATY_XLS_234"/>
      <sheetName val="[TIMEOATY.XLS]_TIMEOATY_XLS_235"/>
      <sheetName val="[TIMEOATY.XLS]__192_168_200__70"/>
      <sheetName val="[TIMEOATY.XLS]__192_168_200__71"/>
      <sheetName val="[TIMEOATY.XLS]__10_12_8_248__36"/>
      <sheetName val="[TIMEOATY.XLS]__172_17_31_25_36"/>
      <sheetName val="[TIMEOATY.XLS]_MQADATA_TEST__43"/>
      <sheetName val="[TIMEOATY.XLS]_TIMEOATY_XLS_236"/>
      <sheetName val="[TIMEOATY.XLS]_TIMEOATY_XLS_237"/>
      <sheetName val="[TIMEOATY.XLS]_V_MQADATA_TES_43"/>
      <sheetName val="[TIMEOATY.XLS]_P_MQADATA_TES_43"/>
      <sheetName val="[TIMEOATY.XLS]_C_V_MQADATA_T_43"/>
      <sheetName val="[TIMEOATY.XLS]_C_P_MQADATA_T_43"/>
      <sheetName val="[TIMEOATY.XLS]_TIMEOATY_XLS_238"/>
      <sheetName val="[TIMEOATY.XLS]_TEST_TIMEOATY_42"/>
      <sheetName val="[TIMEOATY.XLS]_D_V_MQADATA_T_36"/>
      <sheetName val="[TIMEOATY.XLS]__192_168_200__84"/>
      <sheetName val="[TIMEOATY.XLS]__192_168_200__85"/>
      <sheetName val="[TIMEOATY.XLS]__10_12_8_248__43"/>
      <sheetName val="[TIMEOATY.XLS]__172_17_31_25_43"/>
      <sheetName val="[TIMEOATY.XLS]_MQADATA_TEST__49"/>
      <sheetName val="[TIMEOATY.XLS]_TIMEOATY_XLS_329"/>
      <sheetName val="[TIMEOATY.XLS]_TIMEOATY_XLS_330"/>
      <sheetName val="[TIMEOATY.XLS]_V_MQADATA_TES_49"/>
      <sheetName val="[TIMEOATY.XLS]_P_MQADATA_TES_49"/>
      <sheetName val="[TIMEOATY.XLS]_C_V_MQADATA_T_49"/>
      <sheetName val="[TIMEOATY.XLS]_C_P_MQADATA_T_49"/>
      <sheetName val="[TIMEOATY.XLS]_TIMEOATY_XLS_331"/>
      <sheetName val="[TIMEOATY.XLS]_TIMEOATY_XLS_260"/>
      <sheetName val="[TIMEOATY.XLS]_TIMEOATY_XLS_261"/>
      <sheetName val="[TIMEOATY.XLS]_TIMEOATY_XLS_262"/>
      <sheetName val="[TIMEOATY.XLS]_TEST_TIMEOATY_48"/>
      <sheetName val="[TIMEOATY.XLS]_D_V_MQADATA_T_42"/>
      <sheetName val="[TIMEOATY.XLS]_TIMEOATY_XLS_245"/>
      <sheetName val="[TIMEOATY.XLS]_TIMEOATY_XLS_246"/>
      <sheetName val="[TIMEOATY.XLS]_TIMEOATY_XLS_247"/>
      <sheetName val="[TIMEOATY.XLS]__192_168_200__74"/>
      <sheetName val="[TIMEOATY.XLS]__192_168_200__75"/>
      <sheetName val="[TIMEOATY.XLS]__10_12_8_248__38"/>
      <sheetName val="[TIMEOATY.XLS]__172_17_31_25_38"/>
      <sheetName val="[TIMEOATY.XLS]__192_168_200__80"/>
      <sheetName val="[TIMEOATY.XLS]__192_168_200__81"/>
      <sheetName val="[TIMEOATY.XLS]__10_12_8_248__41"/>
      <sheetName val="[TIMEOATY.XLS]__172_17_31_25_41"/>
      <sheetName val="[TIMEOATY.XLS]_TIMEOATY_XLS_254"/>
      <sheetName val="[TIMEOATY.XLS]_TIMEOATY_XLS_255"/>
      <sheetName val="[TIMEOATY.XLS]_TIMEOATY_XLS_256"/>
      <sheetName val="[TIMEOATY.XLS]_MQADATA_TEST__47"/>
      <sheetName val="[TIMEOATY.XLS]_V_MQADATA_TES_47"/>
      <sheetName val="[TIMEOATY.XLS]_P_MQADATA_TES_47"/>
      <sheetName val="[TIMEOATY.XLS]_C_V_MQADATA_T_47"/>
      <sheetName val="[TIMEOATY.XLS]_C_P_MQADATA_T_47"/>
      <sheetName val="[TIMEOATY.XLS]_TEST_TIMEOATY_46"/>
      <sheetName val="[TIMEOATY.XLS]_D_V_MQADATA_T_40"/>
      <sheetName val="[TIMEOATY.XLS]__192_168_200__76"/>
      <sheetName val="[TIMEOATY.XLS]__192_168_200__77"/>
      <sheetName val="[TIMEOATY.XLS]__10_12_8_248__39"/>
      <sheetName val="[TIMEOATY.XLS]__172_17_31_25_39"/>
      <sheetName val="[TIMEOATY.XLS]_TIMEOATY_XLS_248"/>
      <sheetName val="[TIMEOATY.XLS]_TIMEOATY_XLS_249"/>
      <sheetName val="[TIMEOATY.XLS]_TIMEOATY_XLS_250"/>
      <sheetName val="[TIMEOATY.XLS]_MQADATA_TEST__45"/>
      <sheetName val="[TIMEOATY.XLS]_V_MQADATA_TES_45"/>
      <sheetName val="[TIMEOATY.XLS]_P_MQADATA_TES_45"/>
      <sheetName val="[TIMEOATY.XLS]_C_V_MQADATA_T_45"/>
      <sheetName val="[TIMEOATY.XLS]_C_P_MQADATA_T_45"/>
      <sheetName val="[TIMEOATY.XLS]_TEST_TIMEOATY_44"/>
      <sheetName val="[TIMEOATY.XLS]_D_V_MQADATA_T_38"/>
      <sheetName val="[TIMEOATY.XLS]__192_168_200__78"/>
      <sheetName val="[TIMEOATY.XLS]__192_168_200__79"/>
      <sheetName val="[TIMEOATY.XLS]__10_12_8_248__40"/>
      <sheetName val="[TIMEOATY.XLS]__172_17_31_25_40"/>
      <sheetName val="[TIMEOATY.XLS]_TIMEOATY_XLS_251"/>
      <sheetName val="[TIMEOATY.XLS]_TIMEOATY_XLS_252"/>
      <sheetName val="[TIMEOATY.XLS]_TIMEOATY_XLS_253"/>
      <sheetName val="[TIMEOATY.XLS]_MQADATA_TEST__46"/>
      <sheetName val="[TIMEOATY.XLS]_V_MQADATA_TES_46"/>
      <sheetName val="[TIMEOATY.XLS]_P_MQADATA_TES_46"/>
      <sheetName val="[TIMEOATY.XLS]_C_V_MQADATA_T_46"/>
      <sheetName val="[TIMEOATY.XLS]_C_P_MQADATA_T_46"/>
      <sheetName val="[TIMEOATY.XLS]_TEST_TIMEOATY_45"/>
      <sheetName val="[TIMEOATY.XLS]_D_V_MQADATA_T_39"/>
      <sheetName val="[TIMEOATY.XLS]__192_168_200__82"/>
      <sheetName val="[TIMEOATY.XLS]__192_168_200__83"/>
      <sheetName val="[TIMEOATY.XLS]__10_12_8_248__42"/>
      <sheetName val="[TIMEOATY.XLS]__172_17_31_25_42"/>
      <sheetName val="[TIMEOATY.XLS]_MQADATA_TEST__48"/>
      <sheetName val="[TIMEOATY.XLS]_V_MQADATA_TES_48"/>
      <sheetName val="[TIMEOATY.XLS]_P_MQADATA_TES_48"/>
      <sheetName val="[TIMEOATY.XLS]_C_V_MQADATA_T_48"/>
      <sheetName val="[TIMEOATY.XLS]_C_P_MQADATA_T_48"/>
      <sheetName val="[TIMEOATY.XLS]_TIMEOATY_XLS_257"/>
      <sheetName val="[TIMEOATY.XLS]_TIMEOATY_XLS_258"/>
      <sheetName val="[TIMEOATY.XLS]_TIMEOATY_XLS_259"/>
      <sheetName val="[TIMEOATY.XLS]_TEST_TIMEOATY_47"/>
      <sheetName val="[TIMEOATY.XLS]_D_V_MQADATA_T_41"/>
      <sheetName val="[TIMEOATY.XLS]__192_168_200_124"/>
      <sheetName val="[TIMEOATY.XLS]__192_168_200_125"/>
      <sheetName val="[TIMEOATY.XLS]__10_12_8_248__63"/>
      <sheetName val="[TIMEOATY.XLS]__172_17_31_25_63"/>
      <sheetName val="[TIMEOATY.XLS]_MQADATA_TEST__64"/>
      <sheetName val="[TIMEOATY.XLS]_V_MQADATA_TES_64"/>
      <sheetName val="[TIMEOATY.XLS]_P_MQADATA_TES_64"/>
      <sheetName val="[TIMEOATY.XLS]_C_V_MQADATA_T_64"/>
      <sheetName val="[TIMEOATY.XLS]_C_P_MQADATA_T_64"/>
      <sheetName val="[TIMEOATY.XLS]_TEST_TIMEOATY_63"/>
      <sheetName val="[TIMEOATY.XLS]_D_V_MQADATA_T_57"/>
      <sheetName val="[TIMEOATY.XLS]_TIMEOATY_XLS_266"/>
      <sheetName val="[TIMEOATY.XLS]_TIMEOATY_XLS_267"/>
      <sheetName val="[TIMEOATY.XLS]_TIMEOATY_XLS_268"/>
      <sheetName val="[TIMEOATY.XLS]__192_168_200__88"/>
      <sheetName val="[TIMEOATY.XLS]__192_168_200__89"/>
      <sheetName val="[TIMEOATY.XLS]__10_12_8_248__45"/>
      <sheetName val="[TIMEOATY.XLS]__172_17_31_25_45"/>
      <sheetName val="[TIMEOATY.XLS]_MQADATA_TEST__51"/>
      <sheetName val="[TIMEOATY.XLS]_TIMEOATY_XLS_269"/>
      <sheetName val="[TIMEOATY.XLS]_TIMEOATY_XLS_270"/>
      <sheetName val="[TIMEOATY.XLS]_V_MQADATA_TES_51"/>
      <sheetName val="[TIMEOATY.XLS]_P_MQADATA_TES_51"/>
      <sheetName val="[TIMEOATY.XLS]_C_V_MQADATA_T_51"/>
      <sheetName val="[TIMEOATY.XLS]_C_P_MQADATA_T_51"/>
      <sheetName val="[TIMEOATY.XLS]_TIMEOATY_XLS_271"/>
      <sheetName val="[TIMEOATY.XLS]_TEST_TIMEOATY_50"/>
      <sheetName val="[TIMEOATY.XLS]_D_V_MQADATA_T_44"/>
      <sheetName val="[TIMEOATY.XLS]_TIMEOATY_XLS_263"/>
      <sheetName val="[TIMEOATY.XLS]_TIMEOATY_XLS_264"/>
      <sheetName val="[TIMEOATY.XLS]_TIMEOATY_XLS_265"/>
      <sheetName val="[TIMEOATY.XLS]__192_168_200__86"/>
      <sheetName val="[TIMEOATY.XLS]__192_168_200__87"/>
      <sheetName val="[TIMEOATY.XLS]__10_12_8_248__44"/>
      <sheetName val="[TIMEOATY.XLS]__172_17_31_25_44"/>
      <sheetName val="[TIMEOATY.XLS]_MQADATA_TEST__50"/>
      <sheetName val="[TIMEOATY.XLS]_V_MQADATA_TES_50"/>
      <sheetName val="[TIMEOATY.XLS]_P_MQADATA_TES_50"/>
      <sheetName val="[TIMEOATY.XLS]_C_V_MQADATA_T_50"/>
      <sheetName val="[TIMEOATY.XLS]_C_P_MQADATA_T_50"/>
      <sheetName val="[TIMEOATY.XLS]_TEST_TIMEOATY_49"/>
      <sheetName val="[TIMEOATY.XLS]_D_V_MQADATA_T_43"/>
      <sheetName val="[TIMEOATY.XLS]_TIMEOATY_XLS_272"/>
      <sheetName val="[TIMEOATY.XLS]_TIMEOATY_XLS_273"/>
      <sheetName val="[TIMEOATY.XLS]_TIMEOATY_XLS_274"/>
      <sheetName val="[TIMEOATY.XLS]_TIMEOATY_XLS_275"/>
      <sheetName val="[TIMEOATY.XLS]_TIMEOATY_XLS_276"/>
      <sheetName val="[TIMEOATY.XLS]_TIMEOATY_XLS_277"/>
      <sheetName val="[TIMEOATY.XLS]__192_168_200__90"/>
      <sheetName val="[TIMEOATY.XLS]__192_168_200__91"/>
      <sheetName val="[TIMEOATY.XLS]__10_12_8_248__46"/>
      <sheetName val="[TIMEOATY.XLS]__172_17_31_25_46"/>
      <sheetName val="[TIMEOATY.XLS]__192_168_200__92"/>
      <sheetName val="[TIMEOATY.XLS]__192_168_200__93"/>
      <sheetName val="[TIMEOATY.XLS]__10_12_8_248__47"/>
      <sheetName val="[TIMEOATY.XLS]__172_17_31_25_47"/>
      <sheetName val="[TIMEOATY.XLS]_MQADATA_TEST__52"/>
      <sheetName val="[TIMEOATY.XLS]_V_MQADATA_TES_52"/>
      <sheetName val="[TIMEOATY.XLS]_P_MQADATA_TES_52"/>
      <sheetName val="[TIMEOATY.XLS]_C_V_MQADATA_T_52"/>
      <sheetName val="[TIMEOATY.XLS]_C_P_MQADATA_T_52"/>
      <sheetName val="[TIMEOATY.XLS]_TEST_TIMEOATY_51"/>
      <sheetName val="[TIMEOATY.XLS]_D_V_MQADATA_T_45"/>
      <sheetName val="[TIMEOATY.XLS]_TIMEOATY_XLS_290"/>
      <sheetName val="[TIMEOATY.XLS]_TIMEOATY_XLS_291"/>
      <sheetName val="[TIMEOATY.XLS]_TIMEOATY_XLS_292"/>
      <sheetName val="[TIMEOATY.XLS]__192_168_200__98"/>
      <sheetName val="[TIMEOATY.XLS]__192_168_200__99"/>
      <sheetName val="[TIMEOATY.XLS]__10_12_8_248__50"/>
      <sheetName val="[TIMEOATY.XLS]__172_17_31_25_50"/>
      <sheetName val="[TIMEOATY.XLS]_MQADATA_TEST__56"/>
      <sheetName val="[TIMEOATY.XLS]_V_MQADATA_TES_56"/>
      <sheetName val="[TIMEOATY.XLS]_P_MQADATA_TES_56"/>
      <sheetName val="[TIMEOATY.XLS]_C_V_MQADATA_T_56"/>
      <sheetName val="[TIMEOATY.XLS]_C_P_MQADATA_T_56"/>
      <sheetName val="[TIMEOATY.XLS]_TEST_TIMEOATY_55"/>
      <sheetName val="[TIMEOATY.XLS]_D_V_MQADATA_T_49"/>
      <sheetName val="[TIMEOATY.XLS]_TIMEOATY_XLS_278"/>
      <sheetName val="[TIMEOATY.XLS]_TIMEOATY_XLS_279"/>
      <sheetName val="[TIMEOATY.XLS]_TIMEOATY_XLS_280"/>
      <sheetName val="[TIMEOATY.XLS]_TIMEOATY_XLS_281"/>
      <sheetName val="[TIMEOATY.XLS]_TIMEOATY_XLS_282"/>
      <sheetName val="[TIMEOATY.XLS]_TIMEOATY_XLS_283"/>
      <sheetName val="[TIMEOATY.XLS]_MQADATA_TEST__53"/>
      <sheetName val="[TIMEOATY.XLS]_V_MQADATA_TES_53"/>
      <sheetName val="[TIMEOATY.XLS]_P_MQADATA_TES_53"/>
      <sheetName val="[TIMEOATY.XLS]_C_V_MQADATA_T_53"/>
      <sheetName val="[TIMEOATY.XLS]_C_P_MQADATA_T_53"/>
      <sheetName val="[TIMEOATY.XLS]_TEST_TIMEOATY_52"/>
      <sheetName val="[TIMEOATY.XLS]_D_V_MQADATA_T_46"/>
      <sheetName val="[TIMEOATY.XLS]_TIMEOATY_XLS_284"/>
      <sheetName val="[TIMEOATY.XLS]_TIMEOATY_XLS_285"/>
      <sheetName val="[TIMEOATY.XLS]_TIMEOATY_XLS_286"/>
      <sheetName val="[TIMEOATY.XLS]__192_168_200__94"/>
      <sheetName val="[TIMEOATY.XLS]__192_168_200__95"/>
      <sheetName val="[TIMEOATY.XLS]__10_12_8_248__48"/>
      <sheetName val="[TIMEOATY.XLS]__172_17_31_25_48"/>
      <sheetName val="[TIMEOATY.XLS]_MQADATA_TEST__54"/>
      <sheetName val="[TIMEOATY.XLS]_V_MQADATA_TES_54"/>
      <sheetName val="[TIMEOATY.XLS]_P_MQADATA_TES_54"/>
      <sheetName val="[TIMEOATY.XLS]_C_V_MQADATA_T_54"/>
      <sheetName val="[TIMEOATY.XLS]_C_P_MQADATA_T_54"/>
      <sheetName val="[TIMEOATY.XLS]_TEST_TIMEOATY_53"/>
      <sheetName val="[TIMEOATY.XLS]_D_V_MQADATA_T_47"/>
      <sheetName val="[TIMEOATY.XLS]_TIMEOATY_XLS_287"/>
      <sheetName val="[TIMEOATY.XLS]_TIMEOATY_XLS_288"/>
      <sheetName val="[TIMEOATY.XLS]_TIMEOATY_XLS_289"/>
      <sheetName val="[TIMEOATY.XLS]__192_168_200__96"/>
      <sheetName val="[TIMEOATY.XLS]__192_168_200__97"/>
      <sheetName val="[TIMEOATY.XLS]__10_12_8_248__49"/>
      <sheetName val="[TIMEOATY.XLS]__172_17_31_25_49"/>
      <sheetName val="[TIMEOATY.XLS]_MQADATA_TEST__55"/>
      <sheetName val="[TIMEOATY.XLS]_V_MQADATA_TES_55"/>
      <sheetName val="[TIMEOATY.XLS]_P_MQADATA_TES_55"/>
      <sheetName val="[TIMEOATY.XLS]_C_V_MQADATA_T_55"/>
      <sheetName val="[TIMEOATY.XLS]_C_P_MQADATA_T_55"/>
      <sheetName val="[TIMEOATY.XLS]_TEST_TIMEOATY_54"/>
      <sheetName val="[TIMEOATY.XLS]_D_V_MQADATA_T_48"/>
      <sheetName val="[TIMEOATY.XLS]_TIMEOATY_XLS_296"/>
      <sheetName val="[TIMEOATY.XLS]_TIMEOATY_XLS_297"/>
      <sheetName val="[TIMEOATY.XLS]_TIMEOATY_XLS_298"/>
      <sheetName val="[TIMEOATY.XLS]__192_168_200_100"/>
      <sheetName val="[TIMEOATY.XLS]__192_168_200_101"/>
      <sheetName val="[TIMEOATY.XLS]__10_12_8_248__51"/>
      <sheetName val="[TIMEOATY.XLS]__172_17_31_25_51"/>
      <sheetName val="[TIMEOATY.XLS]_MQADATA_TEST__57"/>
      <sheetName val="[TIMEOATY.XLS]_TIMEOATY_XLS_299"/>
      <sheetName val="[TIMEOATY.XLS]_TIMEOATY_XLS_300"/>
      <sheetName val="[TIMEOATY.XLS]_V_MQADATA_TES_57"/>
      <sheetName val="[TIMEOATY.XLS]_P_MQADATA_TES_57"/>
      <sheetName val="[TIMEOATY.XLS]_TIMEOATY_XLS_301"/>
      <sheetName val="[TIMEOATY.XLS]_C_V_MQADATA_T_57"/>
      <sheetName val="[TIMEOATY.XLS]_C_P_MQADATA_T_57"/>
      <sheetName val="[TIMEOATY.XLS]_TEST_TIMEOATY_56"/>
      <sheetName val="[TIMEOATY.XLS]_D_V_MQADATA_T_50"/>
      <sheetName val="[TIMEOATY.XLS]_TIMEOATY_XLS_293"/>
      <sheetName val="[TIMEOATY.XLS]_TIMEOATY_XLS_294"/>
      <sheetName val="[TIMEOATY.XLS]_TIMEOATY_XLS_295"/>
      <sheetName val="[TIMEOATY.XLS]_TIMEOATY_XLS_302"/>
      <sheetName val="[TIMEOATY.XLS]_TIMEOATY_XLS_303"/>
      <sheetName val="[TIMEOATY.XLS]_TIMEOATY_XLS_304"/>
      <sheetName val="[TIMEOATY.XLS]_TIMEOATY_XLS_323"/>
      <sheetName val="[TIMEOATY.XLS]_TIMEOATY_XLS_324"/>
      <sheetName val="[TIMEOATY.XLS]_TIMEOATY_XLS_325"/>
      <sheetName val="[TIMEOATY.XLS]_TIMEOATY_XLS_314"/>
      <sheetName val="[TIMEOATY.XLS]_TIMEOATY_XLS_315"/>
      <sheetName val="[TIMEOATY.XLS]_TIMEOATY_XLS_316"/>
      <sheetName val="[TIMEOATY.XLS]__192_168_200_116"/>
      <sheetName val="[TIMEOATY.XLS]__192_168_200_117"/>
      <sheetName val="[TIMEOATY.XLS]__10_12_8_248__59"/>
      <sheetName val="[TIMEOATY.XLS]__172_17_31_25_59"/>
      <sheetName val="[TIMEOATY.XLS]_MQADATA_TEST__61"/>
      <sheetName val="[TIMEOATY.XLS]_TIMEOATY_XLS_317"/>
      <sheetName val="[TIMEOATY.XLS]_TIMEOATY_XLS_318"/>
      <sheetName val="[TIMEOATY.XLS]_V_MQADATA_TES_61"/>
      <sheetName val="[TIMEOATY.XLS]_P_MQADATA_TES_61"/>
      <sheetName val="[TIMEOATY.XLS]_C_V_MQADATA_T_61"/>
      <sheetName val="[TIMEOATY.XLS]_C_P_MQADATA_T_61"/>
      <sheetName val="[TIMEOATY.XLS]_TIMEOATY_XLS_319"/>
      <sheetName val="[TIMEOATY.XLS]_TEST_TIMEOATY_60"/>
      <sheetName val="[TIMEOATY.XLS]_D_V_MQADATA_T_54"/>
      <sheetName val="[TIMEOATY.XLS]__192_168_200_102"/>
      <sheetName val="[TIMEOATY.XLS]__192_168_200_103"/>
      <sheetName val="[TIMEOATY.XLS]__10_12_8_248__52"/>
      <sheetName val="[TIMEOATY.XLS]__172_17_31_25_52"/>
      <sheetName val="[TIMEOATY.XLS]__192_168_200_108"/>
      <sheetName val="[TIMEOATY.XLS]__192_168_200_109"/>
      <sheetName val="[TIMEOATY.XLS]__10_12_8_248__55"/>
      <sheetName val="[TIMEOATY.XLS]__172_17_31_25_55"/>
      <sheetName val="[TIMEOATY.XLS]__192_168_200_104"/>
      <sheetName val="[TIMEOATY.XLS]__192_168_200_105"/>
      <sheetName val="[TIMEOATY.XLS]__10_12_8_248__53"/>
      <sheetName val="[TIMEOATY.XLS]__172_17_31_25_53"/>
      <sheetName val="[TIMEOATY.XLS]__192_168_200_106"/>
      <sheetName val="[TIMEOATY.XLS]__192_168_200_107"/>
      <sheetName val="[TIMEOATY.XLS]__10_12_8_248__54"/>
      <sheetName val="[TIMEOATY.XLS]__172_17_31_25_54"/>
      <sheetName val="[TIMEOATY.XLS]_TIMEOATY_XLS_305"/>
      <sheetName val="[TIMEOATY.XLS]_TIMEOATY_XLS_306"/>
      <sheetName val="[TIMEOATY.XLS]_TIMEOATY_XLS_307"/>
      <sheetName val="[TIMEOATY.XLS]__192_168_200_110"/>
      <sheetName val="[TIMEOATY.XLS]__192_168_200_111"/>
      <sheetName val="[TIMEOATY.XLS]__10_12_8_248__56"/>
      <sheetName val="[TIMEOATY.XLS]__172_17_31_25_56"/>
      <sheetName val="[TIMEOATY.XLS]_MQADATA_TEST__58"/>
      <sheetName val="[TIMEOATY.XLS]_V_MQADATA_TES_58"/>
      <sheetName val="[TIMEOATY.XLS]_P_MQADATA_TES_58"/>
      <sheetName val="[TIMEOATY.XLS]_C_V_MQADATA_T_58"/>
      <sheetName val="[TIMEOATY.XLS]_C_P_MQADATA_T_58"/>
      <sheetName val="[TIMEOATY.XLS]_TEST_TIMEOATY_57"/>
      <sheetName val="[TIMEOATY.XLS]_D_V_MQADATA_T_51"/>
      <sheetName val="[TIMEOATY.XLS]_TIMEOATY_XLS_308"/>
      <sheetName val="[TIMEOATY.XLS]_TIMEOATY_XLS_309"/>
      <sheetName val="[TIMEOATY.XLS]_TIMEOATY_XLS_310"/>
      <sheetName val="[TIMEOATY.XLS]__192_168_200_112"/>
      <sheetName val="[TIMEOATY.XLS]__192_168_200_113"/>
      <sheetName val="[TIMEOATY.XLS]__10_12_8_248__57"/>
      <sheetName val="[TIMEOATY.XLS]__172_17_31_25_57"/>
      <sheetName val="[TIMEOATY.XLS]_MQADATA_TEST__59"/>
      <sheetName val="[TIMEOATY.XLS]_V_MQADATA_TES_59"/>
      <sheetName val="[TIMEOATY.XLS]_P_MQADATA_TES_59"/>
      <sheetName val="[TIMEOATY.XLS]_C_V_MQADATA_T_59"/>
      <sheetName val="[TIMEOATY.XLS]_C_P_MQADATA_T_59"/>
      <sheetName val="[TIMEOATY.XLS]_TEST_TIMEOATY_58"/>
      <sheetName val="[TIMEOATY.XLS]_D_V_MQADATA_T_52"/>
      <sheetName val="[TIMEOATY.XLS]_TIMEOATY_XLS_311"/>
      <sheetName val="[TIMEOATY.XLS]_TIMEOATY_XLS_312"/>
      <sheetName val="[TIMEOATY.XLS]_TIMEOATY_XLS_313"/>
      <sheetName val="[TIMEOATY.XLS]__192_168_200_114"/>
      <sheetName val="[TIMEOATY.XLS]__192_168_200_115"/>
      <sheetName val="[TIMEOATY.XLS]__10_12_8_248__58"/>
      <sheetName val="[TIMEOATY.XLS]__172_17_31_25_58"/>
      <sheetName val="[TIMEOATY.XLS]_MQADATA_TEST__60"/>
      <sheetName val="[TIMEOATY.XLS]_V_MQADATA_TES_60"/>
      <sheetName val="[TIMEOATY.XLS]_P_MQADATA_TES_60"/>
      <sheetName val="[TIMEOATY.XLS]_C_V_MQADATA_T_60"/>
      <sheetName val="[TIMEOATY.XLS]_C_P_MQADATA_T_60"/>
      <sheetName val="[TIMEOATY.XLS]_TEST_TIMEOATY_59"/>
      <sheetName val="[TIMEOATY.XLS]_D_V_MQADATA_T_53"/>
      <sheetName val="[TIMEOATY.XLS]__192_168_200_120"/>
      <sheetName val="[TIMEOATY.XLS]__192_168_200_121"/>
      <sheetName val="[TIMEOATY.XLS]__10_12_8_248__61"/>
      <sheetName val="[TIMEOATY.XLS]__172_17_31_25_61"/>
      <sheetName val="[TIMEOATY.XLS]_MQADATA_TEST__62"/>
      <sheetName val="[TIMEOATY.XLS]_V_MQADATA_TES_62"/>
      <sheetName val="[TIMEOATY.XLS]_P_MQADATA_TES_62"/>
      <sheetName val="[TIMEOATY.XLS]_C_V_MQADATA_T_62"/>
      <sheetName val="[TIMEOATY.XLS]_C_P_MQADATA_T_62"/>
      <sheetName val="[TIMEOATY.XLS]_TEST_TIMEOATY_61"/>
      <sheetName val="[TIMEOATY.XLS]_D_V_MQADATA_T_55"/>
      <sheetName val="[TIMEOATY.XLS]_TIMEOATY_XLS_320"/>
      <sheetName val="[TIMEOATY.XLS]_TIMEOATY_XLS_321"/>
      <sheetName val="[TIMEOATY.XLS]_TIMEOATY_XLS_322"/>
      <sheetName val="[TIMEOATY.XLS]__192_168_200_118"/>
      <sheetName val="[TIMEOATY.XLS]__192_168_200_119"/>
      <sheetName val="[TIMEOATY.XLS]__10_12_8_248__60"/>
      <sheetName val="[TIMEOATY.XLS]__172_17_31_25_60"/>
      <sheetName val="[TIMEOATY.XLS]_TIMEOATY_XLS_326"/>
      <sheetName val="[TIMEOATY.XLS]_TIMEOATY_XLS_327"/>
      <sheetName val="[TIMEOATY.XLS]_TIMEOATY_XLS_328"/>
      <sheetName val="[TIMEOATY.XLS]__192_168_200_122"/>
      <sheetName val="[TIMEOATY.XLS]__192_168_200_123"/>
      <sheetName val="[TIMEOATY.XLS]__10_12_8_248__62"/>
      <sheetName val="[TIMEOATY.XLS]__172_17_31_25_62"/>
      <sheetName val="[TIMEOATY.XLS]_MQADATA_TEST__63"/>
      <sheetName val="[TIMEOATY.XLS]_V_MQADATA_TES_63"/>
      <sheetName val="[TIMEOATY.XLS]_P_MQADATA_TES_63"/>
      <sheetName val="[TIMEOATY.XLS]_C_V_MQADATA_T_63"/>
      <sheetName val="[TIMEOATY.XLS]_C_P_MQADATA_T_63"/>
      <sheetName val="[TIMEOATY.XLS]_TEST_TIMEOATY_62"/>
      <sheetName val="[TIMEOATY.XLS]_D_V_MQADATA_T_56"/>
      <sheetName val="[TIMEOATY.XLS]__192_168_200_126"/>
      <sheetName val="[TIMEOATY.XLS]__192_168_200_127"/>
      <sheetName val="[TIMEOATY.XLS]__10_12_8_248__64"/>
      <sheetName val="[TIMEOATY.XLS]__172_17_31_25_64"/>
      <sheetName val="[TIMEOATY.XLS]_TIMEOATY_XLS_332"/>
      <sheetName val="[TIMEOATY.XLS]_TIMEOATY_XLS_333"/>
      <sheetName val="[TIMEOATY.XLS]_TIMEOATY_XLS_334"/>
      <sheetName val="[TIMEOATY.XLS]_MQADATA_TEST__65"/>
      <sheetName val="[TIMEOATY.XLS]_TIMEOATY_XLS_335"/>
      <sheetName val="[TIMEOATY.XLS]_TIMEOATY_XLS_336"/>
      <sheetName val="[TIMEOATY.XLS]_V_MQADATA_TES_65"/>
      <sheetName val="[TIMEOATY.XLS]_P_MQADATA_TES_65"/>
      <sheetName val="[TIMEOATY.XLS]_TIMEOATY_XLS_337"/>
      <sheetName val="[TIMEOATY.XLS]_C_V_MQADATA_T_65"/>
      <sheetName val="[TIMEOATY.XLS]_C_P_MQADATA_T_65"/>
      <sheetName val="[TIMEOATY.XLS]_TEST_TIMEOATY_64"/>
      <sheetName val="[TIMEOATY.XLS]_D_V_MQADATA_T_58"/>
      <sheetName val="[TIMEOATY.XLS]_TIMEOATY_XLS_344"/>
      <sheetName val="[TIMEOATY.XLS]_TIMEOATY_XLS_345"/>
      <sheetName val="[TIMEOATY.XLS]_TIMEOATY_XLS_346"/>
      <sheetName val="[TIMEOATY.XLS]__192_168_200_128"/>
      <sheetName val="[TIMEOATY.XLS]__192_168_200_129"/>
      <sheetName val="[TIMEOATY.XLS]__10_12_8_248__65"/>
      <sheetName val="[TIMEOATY.XLS]__172_17_31_25_65"/>
      <sheetName val="[TIMEOATY.XLS]_MQADATA_TEST__66"/>
      <sheetName val="[TIMEOATY.XLS]_TIMEOATY_XLS_347"/>
      <sheetName val="[TIMEOATY.XLS]_TIMEOATY_XLS_348"/>
      <sheetName val="[TIMEOATY.XLS]_V_MQADATA_TES_66"/>
      <sheetName val="[TIMEOATY.XLS]_P_MQADATA_TES_66"/>
      <sheetName val="[TIMEOATY.XLS]_C_V_MQADATA_T_66"/>
      <sheetName val="[TIMEOATY.XLS]_C_P_MQADATA_T_66"/>
      <sheetName val="[TIMEOATY.XLS]_TIMEOATY_XLS_349"/>
      <sheetName val="[TIMEOATY.XLS]_TEST_TIMEOATY_65"/>
      <sheetName val="[TIMEOATY.XLS]_D_V_MQADATA_T_59"/>
      <sheetName val="[TIMEOATY.XLS]_TIMEOATY_XLS_341"/>
      <sheetName val="[TIMEOATY.XLS]_TIMEOATY_XLS_342"/>
      <sheetName val="[TIMEOATY.XLS]_TIMEOATY_XLS_343"/>
      <sheetName val="[TIMEOATY.XLS]_TIMEOATY_XLS_338"/>
      <sheetName val="[TIMEOATY.XLS]_TIMEOATY_XLS_339"/>
      <sheetName val="[TIMEOATY.XLS]_TIMEOATY_XLS_340"/>
      <sheetName val="[TIMEOATY.XLS]_TIMEOATY_XLS_359"/>
      <sheetName val="[TIMEOATY.XLS]_TIMEOATY_XLS_360"/>
      <sheetName val="[TIMEOATY.XLS]_TIMEOATY_XLS_361"/>
      <sheetName val="[TIMEOATY.XLS]_TIMEOATY_XLS_356"/>
      <sheetName val="[TIMEOATY.XLS]_TIMEOATY_XLS_357"/>
      <sheetName val="[TIMEOATY.XLS]_TIMEOATY_XLS_358"/>
      <sheetName val="[TIMEOATY.XLS]__192_168_200_130"/>
      <sheetName val="[TIMEOATY.XLS]__192_168_200_131"/>
      <sheetName val="[TIMEOATY.XLS]__10_12_8_248__66"/>
      <sheetName val="[TIMEOATY.XLS]__172_17_31_25_66"/>
      <sheetName val="[TIMEOATY.XLS]_TIMEOATY_XLS_350"/>
      <sheetName val="[TIMEOATY.XLS]_TIMEOATY_XLS_351"/>
      <sheetName val="[TIMEOATY.XLS]_TIMEOATY_XLS_352"/>
      <sheetName val="[TIMEOATY.XLS]_MQADATA_TEST__67"/>
      <sheetName val="[TIMEOATY.XLS]_TIMEOATY_XLS_353"/>
      <sheetName val="[TIMEOATY.XLS]_TIMEOATY_XLS_354"/>
      <sheetName val="[TIMEOATY.XLS]_V_MQADATA_TES_67"/>
      <sheetName val="[TIMEOATY.XLS]_P_MQADATA_TES_67"/>
      <sheetName val="[TIMEOATY.XLS]_TIMEOATY_XLS_355"/>
      <sheetName val="[TIMEOATY.XLS]_C_V_MQADATA_T_67"/>
      <sheetName val="[TIMEOATY.XLS]_C_P_MQADATA_T_67"/>
      <sheetName val="[TIMEOATY.XLS]_TEST_TIMEOATY_66"/>
      <sheetName val="[TIMEOATY.XLS]_D_V_MQADATA_T_60"/>
      <sheetName val="[TIMEOATY.XLS]_TIMEOATY_XLS_362"/>
      <sheetName val="[TIMEOATY.XLS]_TIMEOATY_XLS_363"/>
      <sheetName val="[TIMEOATY.XLS]_TIMEOATY_XLS_364"/>
      <sheetName val="[TIMEOATY.XLS]_TIMEOATY_XLS_374"/>
      <sheetName val="[TIMEOATY.XLS]_TIMEOATY_XLS_375"/>
      <sheetName val="[TIMEOATY.XLS]_TIMEOATY_XLS_376"/>
      <sheetName val="[TIMEOATY.XLS]__192_168_200_142"/>
      <sheetName val="[TIMEOATY.XLS]__192_168_200_143"/>
      <sheetName val="[TIMEOATY.XLS]__10_12_8_248__72"/>
      <sheetName val="[TIMEOATY.XLS]__172_17_31_25_72"/>
      <sheetName val="[TIMEOATY.XLS]_MQADATA_TEST__73"/>
      <sheetName val="[TIMEOATY.XLS]_V_MQADATA_TES_73"/>
      <sheetName val="[TIMEOATY.XLS]_P_MQADATA_TES_73"/>
      <sheetName val="[TIMEOATY.XLS]_C_V_MQADATA_T_73"/>
      <sheetName val="[TIMEOATY.XLS]_C_P_MQADATA_T_73"/>
      <sheetName val="[TIMEOATY.XLS]_TEST_TIMEOATY_72"/>
      <sheetName val="[TIMEOATY.XLS]_D_V_MQADATA_T_66"/>
      <sheetName val="[TIMEOATY.XLS]__192_168_200_132"/>
      <sheetName val="[TIMEOATY.XLS]__192_168_200_133"/>
      <sheetName val="[TIMEOATY.XLS]__10_12_8_248__67"/>
      <sheetName val="[TIMEOATY.XLS]__172_17_31_25_67"/>
      <sheetName val="[TIMEOATY.XLS]_MQADATA_TEST__68"/>
      <sheetName val="[TIMEOATY.XLS]_V_MQADATA_TES_68"/>
      <sheetName val="[TIMEOATY.XLS]_P_MQADATA_TES_68"/>
      <sheetName val="[TIMEOATY.XLS]_C_V_MQADATA_T_68"/>
      <sheetName val="[TIMEOATY.XLS]_C_P_MQADATA_T_68"/>
      <sheetName val="[TIMEOATY.XLS]_TEST_TIMEOATY_67"/>
      <sheetName val="[TIMEOATY.XLS]_D_V_MQADATA_T_61"/>
      <sheetName val="[TIMEOATY.XLS]__192_168_200_134"/>
      <sheetName val="[TIMEOATY.XLS]__192_168_200_135"/>
      <sheetName val="[TIMEOATY.XLS]__10_12_8_248__68"/>
      <sheetName val="[TIMEOATY.XLS]__172_17_31_25_68"/>
      <sheetName val="[TIMEOATY.XLS]_MQADATA_TEST__69"/>
      <sheetName val="[TIMEOATY.XLS]_V_MQADATA_TES_69"/>
      <sheetName val="[TIMEOATY.XLS]_P_MQADATA_TES_69"/>
      <sheetName val="[TIMEOATY.XLS]_C_V_MQADATA_T_69"/>
      <sheetName val="[TIMEOATY.XLS]_C_P_MQADATA_T_69"/>
      <sheetName val="[TIMEOATY.XLS]_TEST_TIMEOATY_68"/>
      <sheetName val="[TIMEOATY.XLS]_D_V_MQADATA_T_62"/>
      <sheetName val="[TIMEOATY.XLS]__192_168_200_136"/>
      <sheetName val="[TIMEOATY.XLS]__192_168_200_137"/>
      <sheetName val="[TIMEOATY.XLS]__10_12_8_248__69"/>
      <sheetName val="[TIMEOATY.XLS]__172_17_31_25_69"/>
      <sheetName val="[TIMEOATY.XLS]_MQADATA_TEST__70"/>
      <sheetName val="[TIMEOATY.XLS]_V_MQADATA_TES_70"/>
      <sheetName val="[TIMEOATY.XLS]_P_MQADATA_TES_70"/>
      <sheetName val="[TIMEOATY.XLS]_C_V_MQADATA_T_70"/>
      <sheetName val="[TIMEOATY.XLS]_C_P_MQADATA_T_70"/>
      <sheetName val="[TIMEOATY.XLS]_TEST_TIMEOATY_69"/>
      <sheetName val="[TIMEOATY.XLS]_D_V_MQADATA_T_63"/>
      <sheetName val="[TIMEOATY.XLS]__192_168_200_138"/>
      <sheetName val="[TIMEOATY.XLS]__192_168_200_139"/>
      <sheetName val="[TIMEOATY.XLS]__10_12_8_248__70"/>
      <sheetName val="[TIMEOATY.XLS]__172_17_31_25_70"/>
      <sheetName val="[TIMEOATY.XLS]_MQADATA_TEST__71"/>
      <sheetName val="[TIMEOATY.XLS]_V_MQADATA_TES_71"/>
      <sheetName val="[TIMEOATY.XLS]_P_MQADATA_TES_71"/>
      <sheetName val="[TIMEOATY.XLS]_C_V_MQADATA_T_71"/>
      <sheetName val="[TIMEOATY.XLS]_C_P_MQADATA_T_71"/>
      <sheetName val="[TIMEOATY.XLS]_TEST_TIMEOATY_70"/>
      <sheetName val="[TIMEOATY.XLS]_D_V_MQADATA_T_64"/>
      <sheetName val="[TIMEOATY.XLS]_TIMEOATY_XLS_365"/>
      <sheetName val="[TIMEOATY.XLS]_TIMEOATY_XLS_366"/>
      <sheetName val="[TIMEOATY.XLS]_TIMEOATY_XLS_367"/>
      <sheetName val="[TIMEOATY.XLS]_TIMEOATY_XLS_368"/>
      <sheetName val="[TIMEOATY.XLS]_TIMEOATY_XLS_369"/>
      <sheetName val="[TIMEOATY.XLS]_TIMEOATY_XLS_370"/>
      <sheetName val="[TIMEOATY.XLS]__192_168_200_140"/>
      <sheetName val="[TIMEOATY.XLS]__192_168_200_141"/>
      <sheetName val="[TIMEOATY.XLS]__10_12_8_248__71"/>
      <sheetName val="[TIMEOATY.XLS]__172_17_31_25_71"/>
      <sheetName val="[TIMEOATY.XLS]_MQADATA_TEST__72"/>
      <sheetName val="[TIMEOATY.XLS]_TIMEOATY_XLS_371"/>
      <sheetName val="[TIMEOATY.XLS]_TIMEOATY_XLS_372"/>
      <sheetName val="[TIMEOATY.XLS]_V_MQADATA_TES_72"/>
      <sheetName val="[TIMEOATY.XLS]_P_MQADATA_TES_72"/>
      <sheetName val="[TIMEOATY.XLS]_C_V_MQADATA_T_72"/>
      <sheetName val="[TIMEOATY.XLS]_C_P_MQADATA_T_72"/>
      <sheetName val="[TIMEOATY.XLS]_TIMEOATY_XLS_373"/>
      <sheetName val="[TIMEOATY.XLS]_TEST_TIMEOATY_71"/>
      <sheetName val="[TIMEOATY.XLS]_D_V_MQADATA_T_65"/>
      <sheetName val="[TIMEOATY.XLS]_TIMEOATY_XLS_380"/>
      <sheetName val="[TIMEOATY.XLS]_TIMEOATY_XLS_381"/>
      <sheetName val="[TIMEOATY.XLS]_TIMEOATY_XLS_382"/>
      <sheetName val="[TIMEOATY.XLS]_TIMEOATY_XLS_377"/>
      <sheetName val="[TIMEOATY.XLS]_TIMEOATY_XLS_378"/>
      <sheetName val="[TIMEOATY.XLS]_TIMEOATY_XLS_379"/>
      <sheetName val="[TIMEOATY.XLS]__192_168_200_144"/>
      <sheetName val="[TIMEOATY.XLS]__192_168_200_145"/>
      <sheetName val="[TIMEOATY.XLS]__10_12_8_248__73"/>
      <sheetName val="[TIMEOATY.XLS]__172_17_31_25_73"/>
      <sheetName val="[TIMEOATY.XLS]_MQADATA_TEST__74"/>
      <sheetName val="[TIMEOATY.XLS]_V_MQADATA_TES_74"/>
      <sheetName val="[TIMEOATY.XLS]_P_MQADATA_TES_74"/>
      <sheetName val="[TIMEOATY.XLS]_C_V_MQADATA_T_74"/>
      <sheetName val="[TIMEOATY.XLS]_C_P_MQADATA_T_74"/>
      <sheetName val="[TIMEOATY.XLS]_TEST_TIMEOATY_73"/>
      <sheetName val="[TIMEOATY.XLS]_D_V_MQADATA_T_67"/>
      <sheetName val="[TIMEOATY.XLS]_TIMEOATY_XLS_383"/>
      <sheetName val="[TIMEOATY.XLS]_TIMEOATY_XLS_384"/>
      <sheetName val="[TIMEOATY.XLS]_TIMEOATY_XLS_385"/>
      <sheetName val="[TIMEOATY.XLS]__192_168_200_146"/>
      <sheetName val="[TIMEOATY.XLS]__192_168_200_147"/>
      <sheetName val="[TIMEOATY.XLS]__10_12_8_248__74"/>
      <sheetName val="[TIMEOATY.XLS]__172_17_31_25_74"/>
      <sheetName val="[TIMEOATY.XLS]_MQADATA_TEST__75"/>
      <sheetName val="[TIMEOATY.XLS]_V_MQADATA_TES_75"/>
      <sheetName val="[TIMEOATY.XLS]_P_MQADATA_TES_75"/>
      <sheetName val="[TIMEOATY.XLS]_C_V_MQADATA_T_75"/>
      <sheetName val="[TIMEOATY.XLS]_C_P_MQADATA_T_75"/>
      <sheetName val="[TIMEOATY.XLS]_TEST_TIMEOATY_74"/>
      <sheetName val="[TIMEOATY.XLS]_D_V_MQADATA_T_68"/>
      <sheetName val="[TIMEOATY.XLS]_TIMEOATY_XLS_389"/>
      <sheetName val="[TIMEOATY.XLS]_TIMEOATY_XLS_390"/>
      <sheetName val="[TIMEOATY.XLS]_TIMEOATY_XLS_391"/>
      <sheetName val="[TIMEOATY.XLS]__192_168_200_148"/>
      <sheetName val="[TIMEOATY.XLS]__192_168_200_149"/>
      <sheetName val="[TIMEOATY.XLS]__10_12_8_248__75"/>
      <sheetName val="[TIMEOATY.XLS]__172_17_31_25_75"/>
      <sheetName val="[TIMEOATY.XLS]_MQADATA_TEST__76"/>
      <sheetName val="[TIMEOATY.XLS]_V_MQADATA_TES_76"/>
      <sheetName val="[TIMEOATY.XLS]_P_MQADATA_TES_76"/>
      <sheetName val="[TIMEOATY.XLS]_C_V_MQADATA_T_76"/>
      <sheetName val="[TIMEOATY.XLS]_C_P_MQADATA_T_76"/>
      <sheetName val="[TIMEOATY.XLS]_TEST_TIMEOATY_75"/>
      <sheetName val="[TIMEOATY.XLS]_D_V_MQADATA_T_69"/>
      <sheetName val="[TIMEOATY.XLS]_TIMEOATY_XLS_386"/>
      <sheetName val="[TIMEOATY.XLS]_TIMEOATY_XLS_387"/>
      <sheetName val="[TIMEOATY.XLS]_TIMEOATY_XLS_388"/>
      <sheetName val="[TIMEOATY.XLS]_TIMEOATY_XLS_395"/>
      <sheetName val="[TIMEOATY.XLS]_TIMEOATY_XLS_396"/>
      <sheetName val="[TIMEOATY.XLS]_TIMEOATY_XLS_397"/>
      <sheetName val="[TIMEOATY.XLS]_TIMEOATY_XLS_392"/>
      <sheetName val="[TIMEOATY.XLS]_TIMEOATY_XLS_393"/>
      <sheetName val="[TIMEOATY.XLS]_TIMEOATY_XLS_394"/>
      <sheetName val="[TIMEOATY.XLS]__192_168_200_150"/>
      <sheetName val="[TIMEOATY.XLS]__192_168_200_151"/>
      <sheetName val="[TIMEOATY.XLS]__10_12_8_248__76"/>
      <sheetName val="[TIMEOATY.XLS]__172_17_31_25_76"/>
      <sheetName val="[TIMEOATY.XLS]_MQADATA_TEST__77"/>
      <sheetName val="[TIMEOATY.XLS]_V_MQADATA_TES_77"/>
      <sheetName val="[TIMEOATY.XLS]_P_MQADATA_TES_77"/>
      <sheetName val="[TIMEOATY.XLS]_C_V_MQADATA_T_77"/>
      <sheetName val="[TIMEOATY.XLS]_C_P_MQADATA_T_77"/>
      <sheetName val="[TIMEOATY.XLS]_TEST_TIMEOATY_76"/>
      <sheetName val="[TIMEOATY.XLS]_D_V_MQADATA_T_70"/>
      <sheetName val="[TIMEOATY.XLS]_TIMEOATY_XLS_398"/>
      <sheetName val="[TIMEOATY.XLS]_TIMEOATY_XLS_399"/>
      <sheetName val="[TIMEOATY.XLS]_TIMEOATY_XLS_400"/>
      <sheetName val="[TIMEOATY.XLS]__192_168_200_152"/>
      <sheetName val="[TIMEOATY.XLS]__192_168_200_153"/>
      <sheetName val="[TIMEOATY.XLS]__10_12_8_248__77"/>
      <sheetName val="[TIMEOATY.XLS]__172_17_31_25_77"/>
      <sheetName val="[TIMEOATY.XLS]_MQADATA_TEST__78"/>
      <sheetName val="[TIMEOATY.XLS]_V_MQADATA_TES_78"/>
      <sheetName val="[TIMEOATY.XLS]_P_MQADATA_TES_78"/>
      <sheetName val="[TIMEOATY.XLS]_C_V_MQADATA_T_78"/>
      <sheetName val="[TIMEOATY.XLS]_C_P_MQADATA_T_78"/>
      <sheetName val="[TIMEOATY.XLS]_TEST_TIMEOATY_77"/>
      <sheetName val="[TIMEOATY.XLS]_D_V_MQADATA_T_71"/>
      <sheetName val="[TIMEOATY.XLS]__192_168_200_154"/>
      <sheetName val="[TIMEOATY.XLS]__192_168_200_155"/>
      <sheetName val="[TIMEOATY.XLS]__10_12_8_248__78"/>
      <sheetName val="[TIMEOATY.XLS]__172_17_31_25_78"/>
      <sheetName val="[TIMEOATY.XLS]_TIMEOATY_XLS_401"/>
      <sheetName val="[TIMEOATY.XLS]_TIMEOATY_XLS_402"/>
      <sheetName val="[TIMEOATY.XLS]_TIMEOATY_XLS_403"/>
      <sheetName val="[TIMEOATY.XLS]_MQADATA_TEST__79"/>
      <sheetName val="[TIMEOATY.XLS]_TIMEOATY_XLS_404"/>
      <sheetName val="[TIMEOATY.XLS]_TIMEOATY_XLS_405"/>
      <sheetName val="[TIMEOATY.XLS]_V_MQADATA_TES_79"/>
      <sheetName val="[TIMEOATY.XLS]_P_MQADATA_TES_79"/>
      <sheetName val="[TIMEOATY.XLS]_C_V_MQADATA_T_79"/>
      <sheetName val="[TIMEOATY.XLS]_C_P_MQADATA_T_79"/>
      <sheetName val="[TIMEOATY.XLS]_TIMEOATY_XLS_406"/>
      <sheetName val="[TIMEOATY.XLS]_TEST_TIMEOATY_78"/>
      <sheetName val="[TIMEOATY.XLS]_D_V_MQADATA_T_72"/>
      <sheetName val="[TIMEOATY.XLS]_TIMEOATY_XLS_407"/>
      <sheetName val="[TIMEOATY.XLS]_TIMEOATY_XLS_408"/>
      <sheetName val="[TIMEOATY.XLS]_TIMEOATY_XLS_409"/>
      <sheetName val="[TIMEOATY.XLS]__192_168_200_156"/>
      <sheetName val="[TIMEOATY.XLS]__192_168_200_157"/>
      <sheetName val="[TIMEOATY.XLS]__10_12_8_248__79"/>
      <sheetName val="[TIMEOATY.XLS]__172_17_31_25_79"/>
      <sheetName val="[TIMEOATY.XLS]_MQADATA_TEST__80"/>
      <sheetName val="[TIMEOATY.XLS]_TIMEOATY_XLS_410"/>
      <sheetName val="[TIMEOATY.XLS]_TIMEOATY_XLS_411"/>
      <sheetName val="[TIMEOATY.XLS]_V_MQADATA_TES_80"/>
      <sheetName val="[TIMEOATY.XLS]_P_MQADATA_TES_80"/>
      <sheetName val="[TIMEOATY.XLS]_C_V_MQADATA_T_80"/>
      <sheetName val="[TIMEOATY.XLS]_C_P_MQADATA_T_80"/>
      <sheetName val="[TIMEOATY.XLS]_TIMEOATY_XLS_412"/>
      <sheetName val="[TIMEOATY.XLS]_TEST_TIMEOATY_79"/>
      <sheetName val="[TIMEOATY.XLS]_D_V_MQADATA_T_73"/>
      <sheetName val="[TIMEOATY.XLS]__192_168_200_158"/>
      <sheetName val="[TIMEOATY.XLS]__192_168_200_159"/>
      <sheetName val="[TIMEOATY.XLS]__10_12_8_248__80"/>
      <sheetName val="[TIMEOATY.XLS]__172_17_31_25_80"/>
      <sheetName val="[TIMEOATY.XLS]__192_168_200_160"/>
      <sheetName val="[TIMEOATY.XLS]__192_168_200_161"/>
      <sheetName val="[TIMEOATY.XLS]__10_12_8_248__81"/>
      <sheetName val="[TIMEOATY.XLS]__172_17_31_25_81"/>
      <sheetName val="[TIMEOATY.XLS]_TIMEOATY_XLS_425"/>
      <sheetName val="[TIMEOATY.XLS]_TIMEOATY_XLS_426"/>
      <sheetName val="[TIMEOATY.XLS]_TIMEOATY_XLS_427"/>
      <sheetName val="[TIMEOATY.XLS]__192_168_200_166"/>
      <sheetName val="[TIMEOATY.XLS]__192_168_200_167"/>
      <sheetName val="[TIMEOATY.XLS]__10_12_8_248__84"/>
      <sheetName val="[TIMEOATY.XLS]__172_17_31_25_84"/>
      <sheetName val="[TIMEOATY.XLS]_MQADATA_TEST__85"/>
      <sheetName val="[TIMEOATY.XLS]_TIMEOATY_XLS_428"/>
      <sheetName val="[TIMEOATY.XLS]_TIMEOATY_XLS_429"/>
      <sheetName val="[TIMEOATY.XLS]_V_MQADATA_TES_85"/>
      <sheetName val="[TIMEOATY.XLS]_P_MQADATA_TES_85"/>
      <sheetName val="[TIMEOATY.XLS]_C_V_MQADATA_T_85"/>
      <sheetName val="[TIMEOATY.XLS]_C_P_MQADATA_T_85"/>
      <sheetName val="[TIMEOATY.XLS]_TIMEOATY_XLS_430"/>
      <sheetName val="[TIMEOATY.XLS]_TEST_TIMEOATY_84"/>
      <sheetName val="[TIMEOATY.XLS]_D_V_MQADATA_T_78"/>
      <sheetName val="[TIMEOATY.XLS]_TIMEOATY_XLS_413"/>
      <sheetName val="[TIMEOATY.XLS]_TIMEOATY_XLS_414"/>
      <sheetName val="[TIMEOATY.XLS]_TIMEOATY_XLS_415"/>
      <sheetName val="[TIMEOATY.XLS]__192_168_200_162"/>
      <sheetName val="[TIMEOATY.XLS]__192_168_200_163"/>
      <sheetName val="[TIMEOATY.XLS]__10_12_8_248__82"/>
      <sheetName val="[TIMEOATY.XLS]__172_17_31_25_82"/>
      <sheetName val="[TIMEOATY.XLS]_MQADATA_TEST__83"/>
      <sheetName val="[TIMEOATY.XLS]_V_MQADATA_TES_83"/>
      <sheetName val="[TIMEOATY.XLS]_P_MQADATA_TES_83"/>
      <sheetName val="[TIMEOATY.XLS]_C_V_MQADATA_T_83"/>
      <sheetName val="[TIMEOATY.XLS]_C_P_MQADATA_T_83"/>
      <sheetName val="[TIMEOATY.XLS]_TEST_TIMEOATY_82"/>
      <sheetName val="[TIMEOATY.XLS]_D_V_MQADATA_T_76"/>
      <sheetName val="[TIMEOATY.XLS]_MQADATA_TEST__81"/>
      <sheetName val="[TIMEOATY.XLS]_V_MQADATA_TES_81"/>
      <sheetName val="[TIMEOATY.XLS]_P_MQADATA_TES_81"/>
      <sheetName val="[TIMEOATY.XLS]_C_V_MQADATA_T_81"/>
      <sheetName val="[TIMEOATY.XLS]_C_P_MQADATA_T_81"/>
      <sheetName val="[TIMEOATY.XLS]_TEST_TIMEOATY_80"/>
      <sheetName val="[TIMEOATY.XLS]_D_V_MQADATA_T_74"/>
      <sheetName val="[TIMEOATY.XLS]_MQADATA_TEST__82"/>
      <sheetName val="[TIMEOATY.XLS]_V_MQADATA_TES_82"/>
      <sheetName val="[TIMEOATY.XLS]_P_MQADATA_TES_82"/>
      <sheetName val="[TIMEOATY.XLS]_C_V_MQADATA_T_82"/>
      <sheetName val="[TIMEOATY.XLS]_C_P_MQADATA_T_82"/>
      <sheetName val="[TIMEOATY.XLS]_TEST_TIMEOATY_81"/>
      <sheetName val="[TIMEOATY.XLS]_D_V_MQADATA_T_75"/>
      <sheetName val="[TIMEOATY.XLS]_TIMEOATY_XLS_416"/>
      <sheetName val="[TIMEOATY.XLS]_TIMEOATY_XLS_417"/>
      <sheetName val="[TIMEOATY.XLS]_TIMEOATY_XLS_418"/>
      <sheetName val="[TIMEOATY.XLS]_TIMEOATY_XLS_419"/>
      <sheetName val="[TIMEOATY.XLS]_TIMEOATY_XLS_420"/>
      <sheetName val="[TIMEOATY.XLS]_TIMEOATY_XLS_421"/>
      <sheetName val="[TIMEOATY.XLS]_TIMEOATY_XLS_422"/>
      <sheetName val="[TIMEOATY.XLS]_TIMEOATY_XLS_423"/>
      <sheetName val="[TIMEOATY.XLS]_TIMEOATY_XLS_424"/>
      <sheetName val="[TIMEOATY.XLS]__192_168_200_164"/>
      <sheetName val="[TIMEOATY.XLS]__192_168_200_165"/>
      <sheetName val="[TIMEOATY.XLS]__10_12_8_248__83"/>
      <sheetName val="[TIMEOATY.XLS]__172_17_31_25_83"/>
      <sheetName val="[TIMEOATY.XLS]_MQADATA_TEST__84"/>
      <sheetName val="[TIMEOATY.XLS]_V_MQADATA_TES_84"/>
      <sheetName val="[TIMEOATY.XLS]_P_MQADATA_TES_84"/>
      <sheetName val="[TIMEOATY.XLS]_C_V_MQADATA_T_84"/>
      <sheetName val="[TIMEOATY.XLS]_C_P_MQADATA_T_84"/>
      <sheetName val="[TIMEOATY.XLS]_TEST_TIMEOATY_83"/>
      <sheetName val="[TIMEOATY.XLS]_D_V_MQADATA_T_77"/>
      <sheetName val="[TIMEOATY.XLS]_TIMEOATY_XLS_434"/>
      <sheetName val="[TIMEOATY.XLS]_TIMEOATY_XLS_435"/>
      <sheetName val="[TIMEOATY.XLS]_TIMEOATY_XLS_436"/>
      <sheetName val="[TIMEOATY.XLS]_TIMEOATY_XLS_431"/>
      <sheetName val="[TIMEOATY.XLS]_TIMEOATY_XLS_432"/>
      <sheetName val="[TIMEOATY.XLS]_TIMEOATY_XLS_433"/>
      <sheetName val="[TIMEOATY.XLS]_TIMEOATY_XLS_437"/>
      <sheetName val="[TIMEOATY.XLS]_TIMEOATY_XLS_438"/>
      <sheetName val="[TIMEOATY.XLS]_TIMEOATY_XLS_439"/>
      <sheetName val="[TIMEOATY.XLS]__192_168_200_168"/>
      <sheetName val="[TIMEOATY.XLS]__192_168_200_169"/>
      <sheetName val="[TIMEOATY.XLS]__10_12_8_248__85"/>
      <sheetName val="[TIMEOATY.XLS]__172_17_31_25_85"/>
      <sheetName val="[TIMEOATY.XLS]_MQADATA_TEST__86"/>
      <sheetName val="[TIMEOATY.XLS]_V_MQADATA_TES_86"/>
      <sheetName val="[TIMEOATY.XLS]_P_MQADATA_TES_86"/>
      <sheetName val="[TIMEOATY.XLS]_C_V_MQADATA_T_86"/>
      <sheetName val="[TIMEOATY.XLS]_C_P_MQADATA_T_86"/>
      <sheetName val="[TIMEOATY.XLS]_TEST_TIMEOATY_85"/>
      <sheetName val="[TIMEOATY.XLS]_D_V_MQADATA_T_79"/>
      <sheetName val="[TIMEOATY.XLS]__192_168_200_170"/>
      <sheetName val="[TIMEOATY.XLS]__192_168_200_171"/>
      <sheetName val="[TIMEOATY.XLS]__10_12_8_248__86"/>
      <sheetName val="[TIMEOATY.XLS]__172_17_31_25_86"/>
      <sheetName val="[TIMEOATY.XLS]_MQADATA_TEST__87"/>
      <sheetName val="[TIMEOATY.XLS]_TIMEOATY_XLS_443"/>
      <sheetName val="[TIMEOATY.XLS]_TIMEOATY_XLS_444"/>
      <sheetName val="[TIMEOATY.XLS]_V_MQADATA_TES_87"/>
      <sheetName val="[TIMEOATY.XLS]_P_MQADATA_TES_87"/>
      <sheetName val="[TIMEOATY.XLS]_C_V_MQADATA_T_87"/>
      <sheetName val="[TIMEOATY.XLS]_C_P_MQADATA_T_87"/>
      <sheetName val="[TIMEOATY.XLS]_TIMEOATY_XLS_445"/>
      <sheetName val="[TIMEOATY.XLS]_TIMEOATY_XLS_440"/>
      <sheetName val="[TIMEOATY.XLS]_TIMEOATY_XLS_441"/>
      <sheetName val="[TIMEOATY.XLS]_TIMEOATY_XLS_442"/>
      <sheetName val="[TIMEOATY.XLS]_TEST_TIMEOATY_86"/>
      <sheetName val="[TIMEOATY.XLS]_D_V_MQADATA_T_80"/>
      <sheetName val="[TIMEOATY.XLS]_TIMEOATY_XLS_446"/>
      <sheetName val="[TIMEOATY.XLS]_TIMEOATY_XLS_447"/>
      <sheetName val="[TIMEOATY.XLS]_TIMEOATY_XLS_448"/>
      <sheetName val="[TIMEOATY.XLS]_TIMEOATY_XLS_449"/>
      <sheetName val="[TIMEOATY.XLS]_TIMEOATY_XLS_450"/>
      <sheetName val="[TIMEOATY.XLS]_TIMEOATY_XLS_451"/>
      <sheetName val="[TIMEOATY.XLS]_TIMEOATY_XLS_452"/>
      <sheetName val="[TIMEOATY.XLS]_TIMEOATY_XLS_453"/>
      <sheetName val="[TIMEOATY.XLS]_TIMEOATY_XLS_454"/>
      <sheetName val="[TIMEOATY.XLS]__192_168_200_172"/>
      <sheetName val="[TIMEOATY.XLS]__192_168_200_173"/>
      <sheetName val="[TIMEOATY.XLS]__10_12_8_248__87"/>
      <sheetName val="[TIMEOATY.XLS]__172_17_31_25_87"/>
      <sheetName val="[TIMEOATY.XLS]_MQADATA_TEST__88"/>
      <sheetName val="[TIMEOATY.XLS]_TIMEOATY_XLS_455"/>
      <sheetName val="[TIMEOATY.XLS]_TIMEOATY_XLS_456"/>
      <sheetName val="[TIMEOATY.XLS]_V_MQADATA_TES_88"/>
      <sheetName val="[TIMEOATY.XLS]_P_MQADATA_TES_88"/>
      <sheetName val="[TIMEOATY.XLS]_C_V_MQADATA_T_88"/>
      <sheetName val="[TIMEOATY.XLS]_C_P_MQADATA_T_88"/>
      <sheetName val="[TIMEOATY.XLS]_TIMEOATY_XLS_457"/>
      <sheetName val="[TIMEOATY.XLS]_TEST_TIMEOATY_87"/>
      <sheetName val="[TIMEOATY.XLS]_D_V_MQADATA_T_81"/>
      <sheetName val="[TIMEOATY.XLS]_TIMEOATY_XLS_461"/>
      <sheetName val="[TIMEOATY.XLS]_TIMEOATY_XLS_462"/>
      <sheetName val="[TIMEOATY.XLS]_TIMEOATY_XLS_463"/>
      <sheetName val="[TIMEOATY.XLS]_TIMEOATY_XLS_458"/>
      <sheetName val="[TIMEOATY.XLS]_TIMEOATY_XLS_459"/>
      <sheetName val="[TIMEOATY.XLS]_TIMEOATY_XLS_460"/>
      <sheetName val="[TIMEOATY.XLS]__192_168_200_174"/>
      <sheetName val="[TIMEOATY.XLS]__192_168_200_175"/>
      <sheetName val="[TIMEOATY.XLS]__10_12_8_248__88"/>
      <sheetName val="[TIMEOATY.XLS]__172_17_31_25_88"/>
      <sheetName val="[TIMEOATY.XLS]_MQADATA_TEST__89"/>
      <sheetName val="[TIMEOATY.XLS]_TIMEOATY_XLS_464"/>
      <sheetName val="[TIMEOATY.XLS]_TIMEOATY_XLS_465"/>
      <sheetName val="[TIMEOATY.XLS]_V_MQADATA_TES_89"/>
      <sheetName val="[TIMEOATY.XLS]_P_MQADATA_TES_89"/>
      <sheetName val="[TIMEOATY.XLS]_C_V_MQADATA_T_89"/>
      <sheetName val="[TIMEOATY.XLS]_C_P_MQADATA_T_89"/>
      <sheetName val="[TIMEOATY.XLS]_TIMEOATY_XLS_466"/>
      <sheetName val="[TIMEOATY.XLS]_TEST_TIMEOATY_88"/>
      <sheetName val="[TIMEOATY.XLS]_D_V_MQADATA_T_82"/>
      <sheetName val="[TIMEOATY.XLS]__192_168_200_186"/>
      <sheetName val="[TIMEOATY.XLS]__192_168_200_187"/>
      <sheetName val="[TIMEOATY.XLS]__10_12_8_248__94"/>
      <sheetName val="[TIMEOATY.XLS]__172_17_31_25_94"/>
      <sheetName val="[TIMEOATY.XLS]_MQADATA_TEST__91"/>
      <sheetName val="[TIMEOATY.XLS]_TIMEOATY_XLS_476"/>
      <sheetName val="[TIMEOATY.XLS]_TIMEOATY_XLS_477"/>
      <sheetName val="[TIMEOATY.XLS]_V_MQADATA_TES_91"/>
      <sheetName val="[TIMEOATY.XLS]_P_MQADATA_TES_91"/>
      <sheetName val="[TIMEOATY.XLS]_C_V_MQADATA_T_91"/>
      <sheetName val="[TIMEOATY.XLS]_C_P_MQADATA_T_91"/>
      <sheetName val="[TIMEOATY.XLS]_TIMEOATY_XLS_478"/>
      <sheetName val="[TIMEOATY.XLS]_TIMEOATY_XLS_473"/>
      <sheetName val="[TIMEOATY.XLS]_TIMEOATY_XLS_474"/>
      <sheetName val="[TIMEOATY.XLS]_TIMEOATY_XLS_475"/>
      <sheetName val="[TIMEOATY.XLS]_TEST_TIMEOATY_90"/>
      <sheetName val="[TIMEOATY.XLS]_D_V_MQADATA_T_84"/>
      <sheetName val="[TIMEOATY.XLS]__192_168_200_182"/>
      <sheetName val="[TIMEOATY.XLS]__192_168_200_183"/>
      <sheetName val="[TIMEOATY.XLS]__10_12_8_248__92"/>
      <sheetName val="[TIMEOATY.XLS]__172_17_31_25_92"/>
      <sheetName val="[TIMEOATY.XLS]_TIMEOATY_XLS_467"/>
      <sheetName val="[TIMEOATY.XLS]_TIMEOATY_XLS_468"/>
      <sheetName val="[TIMEOATY.XLS]_TIMEOATY_XLS_469"/>
      <sheetName val="[TIMEOATY.XLS]__192_168_200_176"/>
      <sheetName val="[TIMEOATY.XLS]__192_168_200_177"/>
      <sheetName val="[TIMEOATY.XLS]__10_12_8_248__89"/>
      <sheetName val="[TIMEOATY.XLS]__172_17_31_25_89"/>
      <sheetName val="[TIMEOATY.XLS]__192_168_200_178"/>
      <sheetName val="[TIMEOATY.XLS]__192_168_200_179"/>
      <sheetName val="[TIMEOATY.XLS]__10_12_8_248__90"/>
      <sheetName val="[TIMEOATY.XLS]__172_17_31_25_90"/>
      <sheetName val="[TIMEOATY.XLS]__192_168_200_180"/>
      <sheetName val="[TIMEOATY.XLS]__192_168_200_181"/>
      <sheetName val="[TIMEOATY.XLS]__10_12_8_248__91"/>
      <sheetName val="[TIMEOATY.XLS]__172_17_31_25_91"/>
      <sheetName val="[TIMEOATY.XLS]__192_168_200_184"/>
      <sheetName val="[TIMEOATY.XLS]__192_168_200_185"/>
      <sheetName val="[TIMEOATY.XLS]__10_12_8_248__93"/>
      <sheetName val="[TIMEOATY.XLS]__172_17_31_25_93"/>
      <sheetName val="[TIMEOATY.XLS]_MQADATA_TEST__90"/>
      <sheetName val="[TIMEOATY.XLS]_V_MQADATA_TES_90"/>
      <sheetName val="[TIMEOATY.XLS]_P_MQADATA_TES_90"/>
      <sheetName val="[TIMEOATY.XLS]_C_V_MQADATA_T_90"/>
      <sheetName val="[TIMEOATY.XLS]_C_P_MQADATA_T_90"/>
      <sheetName val="[TIMEOATY.XLS]_TIMEOATY_XLS_470"/>
      <sheetName val="[TIMEOATY.XLS]_TIMEOATY_XLS_471"/>
      <sheetName val="[TIMEOATY.XLS]_TIMEOATY_XLS_472"/>
      <sheetName val="[TIMEOATY.XLS]_TEST_TIMEOATY_89"/>
      <sheetName val="[TIMEOATY.XLS]_D_V_MQADATA_T_83"/>
      <sheetName val="[TIMEOATY.XLS]_TIMEOATY_XLS_479"/>
      <sheetName val="[TIMEOATY.XLS]_TIMEOATY_XLS_480"/>
      <sheetName val="[TIMEOATY.XLS]_TIMEOATY_XLS_481"/>
      <sheetName val="[TIMEOATY.XLS]__192_168_200_188"/>
      <sheetName val="[TIMEOATY.XLS]__192_168_200_189"/>
      <sheetName val="[TIMEOATY.XLS]__10_12_8_248__95"/>
      <sheetName val="[TIMEOATY.XLS]__172_17_31_25_95"/>
      <sheetName val="[TIMEOATY.XLS]_MQADATA_TEST__92"/>
      <sheetName val="[TIMEOATY.XLS]_TIMEOATY_XLS_485"/>
      <sheetName val="[TIMEOATY.XLS]_TIMEOATY_XLS_486"/>
      <sheetName val="[TIMEOATY.XLS]_V_MQADATA_TES_92"/>
      <sheetName val="[TIMEOATY.XLS]_P_MQADATA_TES_92"/>
      <sheetName val="[TIMEOATY.XLS]_C_V_MQADATA_T_92"/>
      <sheetName val="[TIMEOATY.XLS]_C_P_MQADATA_T_92"/>
      <sheetName val="[TIMEOATY.XLS]_TIMEOATY_XLS_487"/>
      <sheetName val="[TIMEOATY.XLS]_TIMEOATY_XLS_482"/>
      <sheetName val="[TIMEOATY.XLS]_TIMEOATY_XLS_483"/>
      <sheetName val="[TIMEOATY.XLS]_TIMEOATY_XLS_484"/>
      <sheetName val="[TIMEOATY.XLS]_TEST_TIMEOATY_91"/>
      <sheetName val="[TIMEOATY.XLS]_D_V_MQADATA_T_85"/>
      <sheetName val="[TIMEOATY.XLS]__192_168_200_190"/>
      <sheetName val="[TIMEOATY.XLS]__192_168_200_191"/>
      <sheetName val="[TIMEOATY.XLS]__10_12_8_248__96"/>
      <sheetName val="[TIMEOATY.XLS]__172_17_31_25_96"/>
      <sheetName val="[TIMEOATY.XLS]_MQADATA_TEST__93"/>
      <sheetName val="[TIMEOATY.XLS]_TIMEOATY_XLS_488"/>
      <sheetName val="[TIMEOATY.XLS]_TIMEOATY_XLS_489"/>
      <sheetName val="[TIMEOATY.XLS]_V_MQADATA_TES_93"/>
      <sheetName val="[TIMEOATY.XLS]_P_MQADATA_TES_93"/>
      <sheetName val="[TIMEOATY.XLS]_C_V_MQADATA_T_93"/>
      <sheetName val="[TIMEOATY.XLS]_C_P_MQADATA_T_93"/>
      <sheetName val="[TIMEOATY.XLS]_TIMEOATY_XLS_490"/>
      <sheetName val="[TIMEOATY.XLS]_TEST_TIMEOATY_92"/>
      <sheetName val="[TIMEOATY.XLS]_D_V_MQADATA_T_86"/>
      <sheetName val="[TIMEOATY.XLS]__192_168_200_192"/>
      <sheetName val="[TIMEOATY.XLS]__192_168_200_193"/>
      <sheetName val="[TIMEOATY.XLS]__10_12_8_248__97"/>
      <sheetName val="[TIMEOATY.XLS]__172_17_31_25_97"/>
      <sheetName val="[TIMEOATY.XLS]_TIMEOATY_XLS_491"/>
      <sheetName val="[TIMEOATY.XLS]_TIMEOATY_XLS_492"/>
      <sheetName val="[TIMEOATY.XLS]_TIMEOATY_XLS_493"/>
      <sheetName val="[TIMEOATY.XLS]_MQADATA_TEST__94"/>
      <sheetName val="[TIMEOATY.XLS]_TIMEOATY_XLS_494"/>
      <sheetName val="[TIMEOATY.XLS]_TIMEOATY_XLS_495"/>
      <sheetName val="[TIMEOATY.XLS]_V_MQADATA_TES_94"/>
      <sheetName val="[TIMEOATY.XLS]_P_MQADATA_TES_94"/>
      <sheetName val="[TIMEOATY.XLS]_C_V_MQADATA_T_94"/>
      <sheetName val="[TIMEOATY.XLS]_C_P_MQADATA_T_94"/>
      <sheetName val="[TIMEOATY.XLS]_TIMEOATY_XLS_496"/>
      <sheetName val="[TIMEOATY.XLS]_TEST_TIMEOATY_93"/>
      <sheetName val="[TIMEOATY.XLS]_D_V_MQADATA_T_87"/>
      <sheetName val="[TIMEOATY.XLS]__192_168_200_194"/>
      <sheetName val="[TIMEOATY.XLS]__192_168_200_195"/>
      <sheetName val="[TIMEOATY.XLS]__10_12_8_248__98"/>
      <sheetName val="[TIMEOATY.XLS]__172_17_31_25_98"/>
      <sheetName val="[TIMEOATY.XLS]_MQADATA_TEST__95"/>
      <sheetName val="[TIMEOATY.XLS]_V_MQADATA_TES_95"/>
      <sheetName val="[TIMEOATY.XLS]_P_MQADATA_TES_95"/>
      <sheetName val="[TIMEOATY.XLS]_C_V_MQADATA_T_95"/>
      <sheetName val="[TIMEOATY.XLS]_C_P_MQADATA_T_95"/>
      <sheetName val="[TIMEOATY.XLS]_TEST_TIMEOATY_94"/>
      <sheetName val="[TIMEOATY.XLS]_D_V_MQADATA_T_88"/>
      <sheetName val="Paramètres"/>
      <sheetName val="Cntmrs-Recruit"/>
      <sheetName val="DEF"/>
      <sheetName val="Parameters"/>
      <sheetName val="Process Capability"/>
      <sheetName val="evaluated question"/>
      <sheetName val="NEW_THK"/>
      <sheetName val="_TIMEOATY.XLS__TIMEOATY.XLS___s"/>
      <sheetName val="_TIMEOATY.XLS__TIMEOATY.XLS___1"/>
      <sheetName val="_TIMEOATY.XLS__TIMEOATY.XLS__V_"/>
      <sheetName val="_TIMEOATY.XLS__TIMEOATY.XLS__P_"/>
      <sheetName val="_TIMEOATY.XLS__TIMEOATY.XLS__@_"/>
      <sheetName val="_TIMEOATY.XLS___sslrd-ser-rfile"/>
      <sheetName val="_TIMEOATY.XLS___17.91.99.189_V_"/>
      <sheetName val="_TIMEOATY.XLS___17.91.99.189_P_"/>
      <sheetName val="_TIMEOATY.XLS__@_nd-ri-rfile_rf"/>
      <sheetName val="附件1.品质异常单"/>
      <sheetName val="_TIMEOATY.XLS__MQADATA_TEST__30"/>
      <sheetName val="_TIMEOATY.XLS__TIMEOATY_XLS_104"/>
      <sheetName val="_TIMEOATY.XLS__TIMEOATY_XLS_105"/>
      <sheetName val="_TIMEOATY.XLS__V_MQADATA_TES_30"/>
      <sheetName val="_TIMEOATY.XLS__P_MQADATA_TES_30"/>
      <sheetName val="_TIMEOATY.XLS__TIMEOATY_XLS_102"/>
      <sheetName val="_TIMEOATY.XLS__TIMEOATY_XLS_103"/>
      <sheetName val="_TIMEOATY.XLS__TIMEOATY.XLS__94"/>
      <sheetName val="_TIMEOATY.XLS__TIMEOATY.XLS__95"/>
      <sheetName val="_TIMEOATY.XLS__TIMEOATY.XLS__92"/>
      <sheetName val="_TIMEOATY.XLS__TIMEOATY.XLS__93"/>
      <sheetName val="[TIMEOATY.XLS][TIMEOATY.XLS]\\s"/>
      <sheetName val="[TIMEOATY.XLS][TIMEOATY.XLS]\\1"/>
      <sheetName val="[TIMEOATY.XLS][TIMEOATY.XLS]\V\"/>
      <sheetName val="[TIMEOATY.XLS][TIMEOATY.XLS]\P\"/>
      <sheetName val="[TIMEOATY.XLS][TIMEOATY.XLS]\@\"/>
      <sheetName val="[TIMEOATY.XLS]\\sslrd-ser-rfile"/>
      <sheetName val="[TIMEOATY.XLS]\\17.91.99.189\V\"/>
      <sheetName val="[TIMEOATY.XLS]\\17.91.99.189\P\"/>
      <sheetName val="[TIMEOATY.XLS]\@\nd-ri-rfile\rf"/>
      <sheetName val="[TIMEOATY.XLS]_MQADATA_TEST_150"/>
      <sheetName val="[TIMEOATY.XLS]_TIMEOATY_XLS_542"/>
      <sheetName val="[TIMEOATY.XLS]_TIMEOATY_XLS_543"/>
      <sheetName val="[TIMEOATY.XLS]_V_MQADATA_TE_150"/>
      <sheetName val="[TIMEOATY.XLS]_P_MQADATA_TE_150"/>
      <sheetName val="[TIMEOATY.XLS]_TIMEOATY_XLS_539"/>
      <sheetName val="[TIMEOATY.XLS]_TIMEOATY_XLS_540"/>
      <sheetName val="[TIMEOATY.XLS]_TIMEOATY_XLS_544"/>
      <sheetName val="[TIMEOATY.XLS]_MQADATA_TEST_113"/>
      <sheetName val="[TIMEOATY.XLS]_V_MQADATA_TE_113"/>
      <sheetName val="[TIMEOATY.XLS]_P_MQADATA_TE_113"/>
      <sheetName val="[TIMEOATY.XLS]_MQADATA_TEST_106"/>
      <sheetName val="[TIMEOATY.XLS]_V_MQADATA_TE_106"/>
      <sheetName val="[TIMEOATY.XLS]_P_MQADATA_TE_106"/>
      <sheetName val="_TIMEOATY.XLS__TIMEOATY.XLS__74"/>
      <sheetName val="_TIMEOATY.XLS__TIMEOATY.XLS__75"/>
      <sheetName val="_TIMEOATY.XLS__TIMEOATY.XLS__73"/>
      <sheetName val="18650常规设计表"/>
      <sheetName val="[TIMEOATY.XLS]_MQADATA_TEST__97"/>
      <sheetName val="[TIMEOATY.XLS]_V_MQADATA_TES_97"/>
      <sheetName val="[TIMEOATY.XLS]_P_MQADATA_TES_97"/>
      <sheetName val="[TIMEOATY.XLS]_MQADATA_TEST__96"/>
      <sheetName val="[TIMEOATY.XLS]_V_MQADATA_TES_96"/>
      <sheetName val="[TIMEOATY.XLS]_P_MQADATA_TES_96"/>
      <sheetName val="[TIMEOATY.XLS]_MQADATA_TEST_100"/>
      <sheetName val="[TIMEOATY.XLS]_V_MQADATA_TE_100"/>
      <sheetName val="[TIMEOATY.XLS]_P_MQADATA_TE_100"/>
      <sheetName val="[TIMEOATY.XLS]_MQADATA_TEST__98"/>
      <sheetName val="[TIMEOATY.XLS]_V_MQADATA_TES_98"/>
      <sheetName val="[TIMEOATY.XLS]_P_MQADATA_TES_98"/>
      <sheetName val="[TIMEOATY.XLS]_MQADATA_TEST__99"/>
      <sheetName val="[TIMEOATY.XLS]_V_MQADATA_TES_99"/>
      <sheetName val="[TIMEOATY.XLS]_P_MQADATA_TES_99"/>
      <sheetName val="[TIMEOATY.XLS]_MQADATA_TEST_101"/>
      <sheetName val="[TIMEOATY.XLS]_V_MQADATA_TE_101"/>
      <sheetName val="[TIMEOATY.XLS]_P_MQADATA_TE_101"/>
      <sheetName val="[TIMEOATY.XLS]_MQADATA_TEST_102"/>
      <sheetName val="[TIMEOATY.XLS]_V_MQADATA_TE_102"/>
      <sheetName val="[TIMEOATY.XLS]_P_MQADATA_TE_102"/>
      <sheetName val="[TIMEOATY.XLS]_MQADATA_TEST_105"/>
      <sheetName val="[TIMEOATY.XLS]_V_MQADATA_TE_105"/>
      <sheetName val="[TIMEOATY.XLS]_P_MQADATA_TE_105"/>
      <sheetName val="[TIMEOATY.XLS]_MQADATA_TEST_104"/>
      <sheetName val="[TIMEOATY.XLS]_V_MQADATA_TE_104"/>
      <sheetName val="[TIMEOATY.XLS]_P_MQADATA_TE_104"/>
      <sheetName val="[TIMEOATY.XLS]_MQADATA_TEST_103"/>
      <sheetName val="[TIMEOATY.XLS]_V_MQADATA_TE_103"/>
      <sheetName val="[TIMEOATY.XLS]_P_MQADATA_TE_103"/>
      <sheetName val="[TIMEOATY.XLS]_MQADATA_TEST_111"/>
      <sheetName val="[TIMEOATY.XLS]_V_MQADATA_TE_111"/>
      <sheetName val="[TIMEOATY.XLS]_P_MQADATA_TE_111"/>
      <sheetName val="[TIMEOATY.XLS]_MQADATA_TEST_110"/>
      <sheetName val="[TIMEOATY.XLS]_V_MQADATA_TE_110"/>
      <sheetName val="[TIMEOATY.XLS]_P_MQADATA_TE_110"/>
      <sheetName val="[TIMEOATY.XLS]_MQADATA_TEST_107"/>
      <sheetName val="[TIMEOATY.XLS]_V_MQADATA_TE_107"/>
      <sheetName val="[TIMEOATY.XLS]_P_MQADATA_TE_107"/>
      <sheetName val="[TIMEOATY.XLS]_MQADATA_TEST_108"/>
      <sheetName val="[TIMEOATY.XLS]_V_MQADATA_TE_108"/>
      <sheetName val="[TIMEOATY.XLS]_P_MQADATA_TE_108"/>
      <sheetName val="[TIMEOATY.XLS]_MQADATA_TEST_109"/>
      <sheetName val="[TIMEOATY.XLS]_V_MQADATA_TE_109"/>
      <sheetName val="[TIMEOATY.XLS]_P_MQADATA_TE_109"/>
      <sheetName val="[TIMEOATY.XLS]_MQADATA_TEST_112"/>
      <sheetName val="[TIMEOATY.XLS]_V_MQADATA_TE_112"/>
      <sheetName val="[TIMEOATY.XLS]_P_MQADATA_TE_112"/>
      <sheetName val="[TIMEOATY.XLS]_MQADATA_TEST_149"/>
      <sheetName val="[TIMEOATY.XLS]_V_MQADATA_TE_149"/>
      <sheetName val="[TIMEOATY.XLS]_P_MQADATA_TE_149"/>
      <sheetName val="[TIMEOATY.XLS]_TIMEOATY_XLS_536"/>
      <sheetName val="[TIMEOATY.XLS]_TIMEOATY_XLS_537"/>
      <sheetName val="[TIMEOATY.XLS]_TIMEOATY_XLS_541"/>
      <sheetName val="[TIMEOATY.XLS]_TIMEOATY_XLS_530"/>
      <sheetName val="[TIMEOATY.XLS]_TIMEOATY_XLS_531"/>
      <sheetName val="[TIMEOATY.XLS]_TIMEOATY_XLS_532"/>
      <sheetName val="[TIMEOATY.XLS]_MQADATA_TEST_147"/>
      <sheetName val="[TIMEOATY.XLS]_TIMEOATY_XLS_533"/>
      <sheetName val="[TIMEOATY.XLS]_TIMEOATY_XLS_534"/>
      <sheetName val="[TIMEOATY.XLS]_V_MQADATA_TE_147"/>
      <sheetName val="[TIMEOATY.XLS]_P_MQADATA_TE_147"/>
      <sheetName val="[TIMEOATY.XLS]_TIMEOATY_XLS_535"/>
      <sheetName val="System Sheet"/>
      <sheetName val="[TIMEOATY.XLS]_MQADATA_TEST_116"/>
      <sheetName val="[TIMEOATY.XLS]_V_MQADATA_TE_116"/>
      <sheetName val="[TIMEOATY.XLS]_P_MQADATA_TE_116"/>
      <sheetName val="[TIMEOATY.XLS]_MQADATA_TEST_114"/>
      <sheetName val="[TIMEOATY.XLS]_V_MQADATA_TE_114"/>
      <sheetName val="[TIMEOATY.XLS]_P_MQADATA_TE_114"/>
      <sheetName val="[TIMEOATY.XLS]_MQADATA_TEST_115"/>
      <sheetName val="[TIMEOATY.XLS]_V_MQADATA_TE_115"/>
      <sheetName val="[TIMEOATY.XLS]_P_MQADATA_TE_115"/>
      <sheetName val="[TIMEOATY.XLS]_MQADATA_TEST_117"/>
      <sheetName val="[TIMEOATY.XLS]_V_MQADATA_TE_117"/>
      <sheetName val="[TIMEOATY.XLS]_P_MQADATA_TE_117"/>
      <sheetName val="[TIMEOATY.XLS]_MQADATA_TEST_119"/>
      <sheetName val="[TIMEOATY.XLS]_V_MQADATA_TE_119"/>
      <sheetName val="[TIMEOATY.XLS]_P_MQADATA_TE_119"/>
      <sheetName val="[TIMEOATY.XLS]_MQADATA_TEST_118"/>
      <sheetName val="[TIMEOATY.XLS]_V_MQADATA_TE_118"/>
      <sheetName val="[TIMEOATY.XLS]_P_MQADATA_TE_118"/>
      <sheetName val="[TIMEOATY.XLS]_MQADATA_TEST_120"/>
      <sheetName val="[TIMEOATY.XLS]_V_MQADATA_TE_120"/>
      <sheetName val="[TIMEOATY.XLS]_P_MQADATA_TE_120"/>
      <sheetName val="[TIMEOATY.XLS]_MQADATA_TEST_121"/>
      <sheetName val="[TIMEOATY.XLS]_V_MQADATA_TE_121"/>
      <sheetName val="[TIMEOATY.XLS]_P_MQADATA_TE_121"/>
      <sheetName val="[TIMEOATY.XLS]_MQADATA_TEST_127"/>
      <sheetName val="[TIMEOATY.XLS]_V_MQADATA_TE_127"/>
      <sheetName val="[TIMEOATY.XLS]_P_MQADATA_TE_127"/>
      <sheetName val="[TIMEOATY.XLS]_MQADATA_TEST_122"/>
      <sheetName val="[TIMEOATY.XLS]_V_MQADATA_TE_122"/>
      <sheetName val="[TIMEOATY.XLS]_P_MQADATA_TE_122"/>
      <sheetName val="[TIMEOATY.XLS]_MQADATA_TEST_123"/>
      <sheetName val="[TIMEOATY.XLS]_V_MQADATA_TE_123"/>
      <sheetName val="[TIMEOATY.XLS]_P_MQADATA_TE_123"/>
      <sheetName val="[TIMEOATY.XLS]_MQADATA_TEST_124"/>
      <sheetName val="[TIMEOATY.XLS]_V_MQADATA_TE_124"/>
      <sheetName val="[TIMEOATY.XLS]_P_MQADATA_TE_124"/>
      <sheetName val="[TIMEOATY.XLS]_MQADATA_TEST_125"/>
      <sheetName val="[TIMEOATY.XLS]_V_MQADATA_TE_125"/>
      <sheetName val="[TIMEOATY.XLS]_P_MQADATA_TE_125"/>
      <sheetName val="[TIMEOATY.XLS]_MQADATA_TEST_126"/>
      <sheetName val="[TIMEOATY.XLS]_V_MQADATA_TE_126"/>
      <sheetName val="[TIMEOATY.XLS]_P_MQADATA_TE_126"/>
      <sheetName val="[TIMEOATY.XLS]_MQADATA_TEST_128"/>
      <sheetName val="[TIMEOATY.XLS]_V_MQADATA_TE_128"/>
      <sheetName val="[TIMEOATY.XLS]_P_MQADATA_TE_128"/>
      <sheetName val="[TIMEOATY.XLS]_MQADATA_TEST_129"/>
      <sheetName val="[TIMEOATY.XLS]_TIMEOATY_XLS_498"/>
      <sheetName val="[TIMEOATY.XLS]_TIMEOATY_XLS_499"/>
      <sheetName val="[TIMEOATY.XLS]_V_MQADATA_TE_129"/>
      <sheetName val="[TIMEOATY.XLS]_P_MQADATA_TE_129"/>
      <sheetName val="[TIMEOATY.XLS]_MQADATA_TEST_138"/>
      <sheetName val="[TIMEOATY.XLS]_V_MQADATA_TE_138"/>
      <sheetName val="[TIMEOATY.XLS]_P_MQADATA_TE_138"/>
      <sheetName val="[TIMEOATY.XLS]_MQADATA_TEST_130"/>
      <sheetName val="[TIMEOATY.XLS]_V_MQADATA_TE_130"/>
      <sheetName val="[TIMEOATY.XLS]_P_MQADATA_TE_130"/>
      <sheetName val="[TIMEOATY.XLS]_MQADATA_TEST_131"/>
      <sheetName val="[TIMEOATY.XLS]_V_MQADATA_TE_131"/>
      <sheetName val="[TIMEOATY.XLS]_P_MQADATA_TE_131"/>
      <sheetName val="[TIMEOATY.XLS]_MQADATA_TEST_133"/>
      <sheetName val="[TIMEOATY.XLS]_V_MQADATA_TE_133"/>
      <sheetName val="[TIMEOATY.XLS]_P_MQADATA_TE_133"/>
      <sheetName val="[TIMEOATY.XLS]_MQADATA_TEST_132"/>
      <sheetName val="[TIMEOATY.XLS]_V_MQADATA_TE_132"/>
      <sheetName val="[TIMEOATY.XLS]_P_MQADATA_TE_132"/>
      <sheetName val="[TIMEOATY.XLS]_MQADATA_TEST_134"/>
      <sheetName val="[TIMEOATY.XLS]_V_MQADATA_TE_134"/>
      <sheetName val="[TIMEOATY.XLS]_P_MQADATA_TE_134"/>
      <sheetName val="[TIMEOATY.XLS]_MQADATA_TEST_135"/>
      <sheetName val="[TIMEOATY.XLS]_V_MQADATA_TE_135"/>
      <sheetName val="[TIMEOATY.XLS]_P_MQADATA_TE_135"/>
      <sheetName val="[TIMEOATY.XLS]_MQADATA_TEST_136"/>
      <sheetName val="[TIMEOATY.XLS]_V_MQADATA_TE_136"/>
      <sheetName val="[TIMEOATY.XLS]_P_MQADATA_TE_136"/>
      <sheetName val="[TIMEOATY.XLS]_MQADATA_TEST_137"/>
      <sheetName val="[TIMEOATY.XLS]_V_MQADATA_TE_137"/>
      <sheetName val="[TIMEOATY.XLS]_P_MQADATA_TE_137"/>
      <sheetName val="[TIMEOATY.XLS]_MQADATA_TEST_139"/>
      <sheetName val="[TIMEOATY.XLS]_V_MQADATA_TE_139"/>
      <sheetName val="[TIMEOATY.XLS]_P_MQADATA_TE_139"/>
      <sheetName val="[TIMEOATY.XLS]_TIMEOATY_XLS_497"/>
      <sheetName val="[TIMEOATY.XLS]_TIMEOATY_XLS_500"/>
      <sheetName val="[TIMEOATY.XLS]_TIMEOATY_XLS_501"/>
      <sheetName val="[TIMEOATY.XLS]_TIMEOATY_XLS_504"/>
      <sheetName val="[TIMEOATY.XLS]_TIMEOATY_XLS_505"/>
      <sheetName val="[TIMEOATY.XLS]_MQADATA_TEST_141"/>
      <sheetName val="[TIMEOATY.XLS]_TIMEOATY_XLS_506"/>
      <sheetName val="[TIMEOATY.XLS]_TIMEOATY_XLS_507"/>
      <sheetName val="[TIMEOATY.XLS]_V_MQADATA_TE_141"/>
      <sheetName val="[TIMEOATY.XLS]_P_MQADATA_TE_141"/>
      <sheetName val="[TIMEOATY.XLS]_TIMEOATY_XLS_502"/>
      <sheetName val="[TIMEOATY.XLS]_TIMEOATY_XLS_503"/>
      <sheetName val="[TIMEOATY.XLS]_MQADATA_TEST_140"/>
      <sheetName val="[TIMEOATY.XLS]_V_MQADATA_TE_140"/>
      <sheetName val="[TIMEOATY.XLS]_P_MQADATA_TE_140"/>
      <sheetName val="[TIMEOATY.XLS]_TIMEOATY_XLS_508"/>
      <sheetName val="[TIMEOATY.XLS]_TIMEOATY_XLS_509"/>
      <sheetName val="[TIMEOATY.XLS]_TIMEOATY_XLS_514"/>
      <sheetName val="[TIMEOATY.XLS]_TIMEOATY_XLS_515"/>
      <sheetName val="[TIMEOATY.XLS]_TIMEOATY_XLS_510"/>
      <sheetName val="[TIMEOATY.XLS]_TIMEOATY_XLS_511"/>
      <sheetName val="[TIMEOATY.XLS]_TIMEOATY_XLS_512"/>
      <sheetName val="[TIMEOATY.XLS]_TIMEOATY_XLS_513"/>
      <sheetName val="[TIMEOATY.XLS]_TIMEOATY_XLS_528"/>
      <sheetName val="[TIMEOATY.XLS]_TIMEOATY_XLS_529"/>
      <sheetName val="[TIMEOATY.XLS]_MQADATA_TEST_146"/>
      <sheetName val="[TIMEOATY.XLS]_V_MQADATA_TE_146"/>
      <sheetName val="[TIMEOATY.XLS]_P_MQADATA_TE_146"/>
      <sheetName val="[TIMEOATY.XLS]_TIMEOATY_XLS_516"/>
      <sheetName val="[TIMEOATY.XLS]_TIMEOATY_XLS_517"/>
      <sheetName val="[TIMEOATY.XLS]_TIMEOATY_XLS_518"/>
      <sheetName val="[TIMEOATY.XLS]_TIMEOATY_XLS_519"/>
      <sheetName val="[TIMEOATY.XLS]_MQADATA_TEST_144"/>
      <sheetName val="[TIMEOATY.XLS]_V_MQADATA_TE_144"/>
      <sheetName val="[TIMEOATY.XLS]_P_MQADATA_TE_144"/>
      <sheetName val="[TIMEOATY.XLS]_TIMEOATY_XLS_524"/>
      <sheetName val="[TIMEOATY.XLS]_TIMEOATY_XLS_525"/>
      <sheetName val="[TIMEOATY.XLS]_MQADATA_TEST_142"/>
      <sheetName val="[TIMEOATY.XLS]_V_MQADATA_TE_142"/>
      <sheetName val="[TIMEOATY.XLS]_P_MQADATA_TE_142"/>
      <sheetName val="[TIMEOATY.XLS]_TIMEOATY_XLS_520"/>
      <sheetName val="[TIMEOATY.XLS]_TIMEOATY_XLS_521"/>
      <sheetName val="[TIMEOATY.XLS]_MQADATA_TEST_143"/>
      <sheetName val="[TIMEOATY.XLS]_V_MQADATA_TE_143"/>
      <sheetName val="[TIMEOATY.XLS]_P_MQADATA_TE_143"/>
      <sheetName val="[TIMEOATY.XLS]_TIMEOATY_XLS_522"/>
      <sheetName val="[TIMEOATY.XLS]_TIMEOATY_XLS_523"/>
      <sheetName val="[TIMEOATY.XLS]_TIMEOATY_XLS_526"/>
      <sheetName val="[TIMEOATY.XLS]_TIMEOATY_XLS_527"/>
      <sheetName val="[TIMEOATY.XLS]_MQADATA_TEST_145"/>
      <sheetName val="[TIMEOATY.XLS]_V_MQADATA_TE_145"/>
      <sheetName val="[TIMEOATY.XLS]_P_MQADATA_TE_145"/>
      <sheetName val="[TIMEOATY.XLS]_MQADATA_TEST_148"/>
      <sheetName val="[TIMEOATY.XLS]_V_MQADATA_TE_148"/>
      <sheetName val="[TIMEOATY.XLS]_P_MQADATA_TE_148"/>
      <sheetName val="[TIMEOATY.XLS]_TIMEOATY_XLS_538"/>
      <sheetName val="[TIMEOATY.XLS]_MQADATA_TEST_151"/>
      <sheetName val="[TIMEOATY.XLS]_TIMEOATY_XLS_550"/>
      <sheetName val="[TIMEOATY.XLS]_TIMEOATY_XLS_551"/>
      <sheetName val="[TIMEOATY.XLS]_V_MQADATA_TE_151"/>
      <sheetName val="[TIMEOATY.XLS]_P_MQADATA_TE_151"/>
      <sheetName val="[TIMEOATY.XLS]_TIMEOATY_XLS_545"/>
      <sheetName val="[TIMEOATY.XLS]_TIMEOATY_XLS_546"/>
      <sheetName val="[TIMEOATY.XLS]_TIMEOATY_XLS_552"/>
      <sheetName val="[TIMEOATY.XLS]_TIMEOATY_XLS_547"/>
      <sheetName val="[TIMEOATY.XLS]_MQADATA_TEST_152"/>
      <sheetName val="[TIMEOATY.XLS]_TIMEOATY_XLS_553"/>
      <sheetName val="[TIMEOATY.XLS]_TIMEOATY_XLS_554"/>
      <sheetName val="[TIMEOATY.XLS]_V_MQADATA_TE_152"/>
      <sheetName val="[TIMEOATY.XLS]_P_MQADATA_TE_152"/>
      <sheetName val="[TIMEOATY.XLS]_TIMEOATY_XLS_548"/>
      <sheetName val="[TIMEOATY.XLS]_TIMEOATY_XLS_549"/>
      <sheetName val="[TIMEOATY.XLS]_TIMEOATY_XLS_561"/>
      <sheetName val="[TIMEOATY.XLS]_TIMEOATY_XLS_562"/>
      <sheetName val="[TIMEOATY.XLS]_TIMEOATY_XLS_563"/>
      <sheetName val="[TIMEOATY.XLS]_TIMEOATY_XLS_555"/>
      <sheetName val="[TIMEOATY.XLS]_TIMEOATY_XLS_556"/>
      <sheetName val="[TIMEOATY.XLS]_TIMEOATY_XLS_557"/>
      <sheetName val="[TIMEOATY.XLS]_TIMEOATY_XLS_558"/>
      <sheetName val="[TIMEOATY.XLS]_TIMEOATY_XLS_559"/>
      <sheetName val="[TIMEOATY.XLS]_TIMEOATY_XLS_560"/>
      <sheetName val="[TIMEOATY.XLS]_MQADATA_TEST_153"/>
      <sheetName val="[TIMEOATY.XLS]_TIMEOATY_XLS_566"/>
      <sheetName val="[TIMEOATY.XLS]_TIMEOATY_XLS_567"/>
      <sheetName val="[TIMEOATY.XLS]_V_MQADATA_TE_153"/>
      <sheetName val="[TIMEOATY.XLS]_P_MQADATA_TE_153"/>
      <sheetName val="[TIMEOATY.XLS]_TIMEOATY_XLS_564"/>
      <sheetName val="[TIMEOATY.XLS]_TIMEOATY_XLS_565"/>
      <sheetName val="[TIMEOATY.XLS]_TIMEOATY_XLS_568"/>
      <sheetName val="[TIMEOATY.XLS]_TIMEOATY_XLS_569"/>
      <sheetName val="[TIMEOATY.XLS]_TIMEOATY_XLS_570"/>
      <sheetName val="[TIMEOATY.XLS]_TIMEOATY_XLS_571"/>
      <sheetName val="[TIMEOATY.XLS]_TIMEOATY_XLS_572"/>
      <sheetName val="[TIMEOATY.XLS]_TIMEOATY_XLS_573"/>
      <sheetName val="[TIMEOATY.XLS]_TIMEOATY_XLS_574"/>
      <sheetName val="[TIMEOATY.XLS]_MQADATA_TEST_154"/>
      <sheetName val="[TIMEOATY.XLS]_TIMEOATY_XLS_578"/>
      <sheetName val="[TIMEOATY.XLS]_TIMEOATY_XLS_579"/>
      <sheetName val="[TIMEOATY.XLS]_V_MQADATA_TE_154"/>
      <sheetName val="[TIMEOATY.XLS]_P_MQADATA_TE_154"/>
      <sheetName val="[TIMEOATY.XLS]_TIMEOATY_XLS_575"/>
      <sheetName val="[TIMEOATY.XLS]_TIMEOATY_XLS_576"/>
      <sheetName val="[TIMEOATY.XLS]_TIMEOATY_XLS_577"/>
      <sheetName val="[TIMEOATY.XLS]_TIMEOATY_XLS_580"/>
      <sheetName val="_TIMEOATY.XLS__TIMEOATY_XLS_110"/>
      <sheetName val="_TIMEOATY.XLS__TIMEOATY_XLS_111"/>
      <sheetName val="_TIMEOATY.XLS__MQADATA_TEST__29"/>
      <sheetName val="_TIMEOATY.XLS__TIMEOATY_XLS_150"/>
      <sheetName val="_TIMEOATY.XLS__TIMEOATY_XLS_151"/>
      <sheetName val="_TIMEOATY.XLS__V_MQADATA_TES_29"/>
      <sheetName val="_TIMEOATY.XLS__P_MQADATA_TES_29"/>
      <sheetName val="[TIMEOATY.XLS]__192_168_200_196"/>
      <sheetName val="[TIMEOATY.XLS]__192_168_200_197"/>
      <sheetName val="[TIMEOATY.XLS]__10_12_8_248__99"/>
      <sheetName val="[TIMEOATY.XLS]__172_17_31_25_99"/>
      <sheetName val="[TIMEOATY.XLS]_C_V_MQADATA_T_96"/>
      <sheetName val="[TIMEOATY.XLS]_C_P_MQADATA_T_96"/>
      <sheetName val="[TIMEOATY.XLS]_TEST_TIMEOATY_95"/>
      <sheetName val="[TIMEOATY.XLS]_D_V_MQADATA_T_89"/>
      <sheetName val="[TIMEOATY.XLS]__192_168_200_198"/>
      <sheetName val="[TIMEOATY.XLS]__192_168_200_199"/>
      <sheetName val="[TIMEOATY.XLS]__10_12_8_248_100"/>
      <sheetName val="[TIMEOATY.XLS]__172_17_31_2_100"/>
      <sheetName val="[TIMEOATY.XLS]_C_V_MQADATA_T_97"/>
      <sheetName val="[TIMEOATY.XLS]_C_P_MQADATA_T_97"/>
      <sheetName val="[TIMEOATY.XLS]_TEST_TIMEOATY_96"/>
      <sheetName val="[TIMEOATY.XLS]_D_V_MQADATA_T_90"/>
      <sheetName val="[TIMEOATY.XLS]__192_168_200_200"/>
      <sheetName val="[TIMEOATY.XLS]__192_168_200_201"/>
      <sheetName val="[TIMEOATY.XLS]__10_12_8_248_101"/>
      <sheetName val="[TIMEOATY.XLS]__172_17_31_2_101"/>
      <sheetName val="[TIMEOATY.XLS]_C_V_MQADATA_T_98"/>
      <sheetName val="[TIMEOATY.XLS]_C_P_MQADATA_T_98"/>
      <sheetName val="[TIMEOATY.XLS]_TEST_TIMEOATY_97"/>
      <sheetName val="[TIMEOATY.XLS]_D_V_MQADATA_T_91"/>
      <sheetName val="[TIMEOATY.XLS]__192_168_200_202"/>
      <sheetName val="[TIMEOATY.XLS]__192_168_200_203"/>
      <sheetName val="[TIMEOATY.XLS]__10_12_8_248_102"/>
      <sheetName val="[TIMEOATY.XLS]__172_17_31_2_102"/>
      <sheetName val="[TIMEOATY.XLS]_C_V_MQADATA_T_99"/>
      <sheetName val="[TIMEOATY.XLS]_C_P_MQADATA_T_99"/>
      <sheetName val="[TIMEOATY.XLS]_TEST_TIMEOATY_98"/>
      <sheetName val="[TIMEOATY.XLS]_D_V_MQADATA_T_92"/>
      <sheetName val="[TIMEOATY.XLS]__192_168_200_204"/>
      <sheetName val="[TIMEOATY.XLS]__192_168_200_205"/>
      <sheetName val="[TIMEOATY.XLS]__10_12_8_248_103"/>
      <sheetName val="[TIMEOATY.XLS]__172_17_31_2_103"/>
      <sheetName val="[TIMEOATY.XLS]_C_V_MQADATA__100"/>
      <sheetName val="[TIMEOATY.XLS]_C_P_MQADATA__100"/>
      <sheetName val="[TIMEOATY.XLS]_TEST_TIMEOATY_99"/>
      <sheetName val="[TIMEOATY.XLS]_D_V_MQADATA_T_93"/>
      <sheetName val="[TIMEOATY.XLS]_D_V_MQADATA_T_99"/>
      <sheetName val="[TIMEOATY.XLS]_D_V_MQADATA_T_95"/>
      <sheetName val="[TIMEOATY.XLS]_D_V_MQADATA_T_94"/>
      <sheetName val="[TIMEOATY.XLS]_D_V_MQADATA_T_96"/>
      <sheetName val="[TIMEOATY.XLS]_D_V_MQADATA_T_97"/>
      <sheetName val="[TIMEOATY.XLS]_D_V_MQADATA_T_98"/>
      <sheetName val="[TIMEOATY.XLS]_C_V_MQADATA__103"/>
      <sheetName val="[TIMEOATY.XLS]_C_P_MQADATA__103"/>
      <sheetName val="[TIMEOATY.XLS]_TEST_TIMEOAT_103"/>
      <sheetName val="[TIMEOATY.XLS]__192_168_200_210"/>
      <sheetName val="[TIMEOATY.XLS]__192_168_200_211"/>
      <sheetName val="[TIMEOATY.XLS]__10_12_8_248_106"/>
      <sheetName val="[TIMEOATY.XLS]_D_V_MQADATA__103"/>
      <sheetName val="[TIMEOATY.XLS]__172_17_31_2_106"/>
      <sheetName val="[TIMEOATY.XLS]_TEST_TIMEOAT_100"/>
      <sheetName val="[TIMEOATY.XLS]_D_V_MQADATA__100"/>
      <sheetName val="[TIMEOATY.XLS]_C_V_MQADATA__101"/>
      <sheetName val="[TIMEOATY.XLS]_C_P_MQADATA__101"/>
      <sheetName val="[TIMEOATY.XLS]_TEST_TIMEOAT_101"/>
      <sheetName val="[TIMEOATY.XLS]__192_168_200_206"/>
      <sheetName val="[TIMEOATY.XLS]__192_168_200_207"/>
      <sheetName val="[TIMEOATY.XLS]__10_12_8_248_104"/>
      <sheetName val="[TIMEOATY.XLS]_D_V_MQADATA__101"/>
      <sheetName val="[TIMEOATY.XLS]__172_17_31_2_104"/>
      <sheetName val="[TIMEOATY.XLS]_C_V_MQADATA__102"/>
      <sheetName val="[TIMEOATY.XLS]_C_P_MQADATA__102"/>
      <sheetName val="[TIMEOATY.XLS]_TEST_TIMEOAT_102"/>
      <sheetName val="[TIMEOATY.XLS]__192_168_200_208"/>
      <sheetName val="[TIMEOATY.XLS]__192_168_200_209"/>
      <sheetName val="[TIMEOATY.XLS]__10_12_8_248_105"/>
      <sheetName val="[TIMEOATY.XLS]_D_V_MQADATA__102"/>
      <sheetName val="[TIMEOATY.XLS]__172_17_31_2_105"/>
      <sheetName val="[TIMEOATY.XLS]__192_168_200_214"/>
      <sheetName val="[TIMEOATY.XLS]__192_168_200_215"/>
      <sheetName val="[TIMEOATY.XLS]__10_12_8_248_108"/>
      <sheetName val="[TIMEOATY.XLS]__172_17_31_2_108"/>
      <sheetName val="[TIMEOATY.XLS]_C_V_MQADATA__105"/>
      <sheetName val="[TIMEOATY.XLS]_C_P_MQADATA__105"/>
      <sheetName val="[TIMEOATY.XLS]_TEST_TIMEOAT_105"/>
      <sheetName val="[TIMEOATY.XLS]_D_V_MQADATA__105"/>
      <sheetName val="[TIMEOATY.XLS]__192_168_200_212"/>
      <sheetName val="[TIMEOATY.XLS]__192_168_200_213"/>
      <sheetName val="[TIMEOATY.XLS]__10_12_8_248_107"/>
      <sheetName val="[TIMEOATY.XLS]__172_17_31_2_107"/>
      <sheetName val="[TIMEOATY.XLS]_C_V_MQADATA__104"/>
      <sheetName val="[TIMEOATY.XLS]_C_P_MQADATA__104"/>
      <sheetName val="[TIMEOATY.XLS]_TEST_TIMEOAT_104"/>
      <sheetName val="[TIMEOATY.XLS]_D_V_MQADATA__104"/>
      <sheetName val="[TIMEOATY.XLS]_TIMEOATY_XLS_704"/>
      <sheetName val="[TIMEOATY.XLS]_TIMEOATY_XLS_705"/>
      <sheetName val="[TIMEOATY.XLS]_TIMEOATY_XLS_706"/>
      <sheetName val="[TIMEOATY.XLS]_TIMEOATY_XLS_725"/>
      <sheetName val="[TIMEOATY.XLS]_TIMEOATY_XLS_726"/>
      <sheetName val="[TIMEOATY.XLS]_TIMEOATY_XLS_727"/>
      <sheetName val="[TIMEOATY.XLS]_C_V_MQADATA__113"/>
      <sheetName val="[TIMEOATY.XLS]_C_P_MQADATA__113"/>
      <sheetName val="[TIMEOATY.XLS]_TEST_TIMEOAT_113"/>
      <sheetName val="[TIMEOATY.XLS]__192_168_200_282"/>
      <sheetName val="[TIMEOATY.XLS]__192_168_200_283"/>
      <sheetName val="[TIMEOATY.XLS]__10_12_8_248_142"/>
      <sheetName val="[TIMEOATY.XLS]__172_17_31_2_142"/>
      <sheetName val="[TIMEOATY.XLS]_D_V_MQADATA__107"/>
      <sheetName val="趋势图"/>
      <sheetName val="\MQADATA\TEST\TIM"/>
      <sheetName val="\V\MQADATA\TEST\T"/>
      <sheetName val="\P\MQADATA\TEST\T"/>
      <sheetName val="\C\V\MQADATA\TEST"/>
      <sheetName val="\C\P\MQADATA\TEST"/>
      <sheetName val="\D\V\MQADATA\TEST"/>
      <sheetName val="measurement series"/>
      <sheetName val="Chi²-Test_1"/>
      <sheetName val="热冲击"/>
      <sheetName val="Matrix矩阵"/>
      <sheetName val="合规性审核"/>
      <sheetName val="[TIMEOATY.XLS]\TI"/>
      <sheetName val="[TIMEOATY.XLS]\D\"/>
      <sheetName val="[TIMEOATY.XLS]\TE"/>
      <sheetName val="_MQADATA_TEST_T_2"/>
      <sheetName val="_V_MQADATA_TEST_2"/>
      <sheetName val="_P_MQADATA_TEST_2"/>
      <sheetName val="[TIMEOATY.XLS]__5"/>
      <sheetName val="[TIMEOATY.XLS]__6"/>
      <sheetName val="_C_V_MQADATA_TE_2"/>
      <sheetName val="_C_P_MQADATA_TE_2"/>
      <sheetName val="[TIMEOATY.XLS]__7"/>
      <sheetName val="_TEST_TIMEOATY__2"/>
      <sheetName val="_D_V_MQADATA_TE_2"/>
      <sheetName val="[TIMEOATY.XLS]__2"/>
      <sheetName val="[TIMEOATY.XLS]__3"/>
      <sheetName val="[TIMEOATY.XLS]__4"/>
      <sheetName val="[TIMEOATY.XLS]_17"/>
      <sheetName val="[TIMEOATY.XLS]_18"/>
      <sheetName val="[TIMEOATY.XLS]_19"/>
      <sheetName val="_MQADATA_TEST_T_7"/>
      <sheetName val="[TIMEOATY.XLS]_23"/>
      <sheetName val="[TIMEOATY.XLS]_24"/>
      <sheetName val="_V_MQADATA_TEST_7"/>
      <sheetName val="_P_MQADATA_TEST_7"/>
      <sheetName val="_C_V_MQADATA_TE_7"/>
      <sheetName val="_C_P_MQADATA_TE_7"/>
      <sheetName val="[TIMEOATY.XLS]_25"/>
      <sheetName val="_TEST_TIMEOATY__7"/>
      <sheetName val="_D_V_MQADATA_TE_7"/>
      <sheetName val="_MQADATA_TEST_T_3"/>
      <sheetName val="_V_MQADATA_TEST_3"/>
      <sheetName val="_P_MQADATA_TEST_3"/>
      <sheetName val="_C_V_MQADATA_TE_3"/>
      <sheetName val="_C_P_MQADATA_TE_3"/>
      <sheetName val="_TEST_TIMEOATY__3"/>
      <sheetName val="_D_V_MQADATA_TE_3"/>
      <sheetName val="[TIMEOATY.XLS]__8"/>
      <sheetName val="[TIMEOATY.XLS]__9"/>
      <sheetName val="[TIMEOATY.XLS]_10"/>
      <sheetName val="_MQADATA_TEST_T_4"/>
      <sheetName val="_V_MQADATA_TEST_4"/>
      <sheetName val="_P_MQADATA_TEST_4"/>
      <sheetName val="_C_V_MQADATA_TE_4"/>
      <sheetName val="_C_P_MQADATA_TE_4"/>
      <sheetName val="_TEST_TIMEOATY__4"/>
      <sheetName val="_D_V_MQADATA_TE_4"/>
      <sheetName val="[TIMEOATY.XLS]_11"/>
      <sheetName val="[TIMEOATY.XLS]_12"/>
      <sheetName val="[TIMEOATY.XLS]_13"/>
      <sheetName val="_MQADATA_TEST_T_5"/>
      <sheetName val="_V_MQADATA_TEST_5"/>
      <sheetName val="_P_MQADATA_TEST_5"/>
      <sheetName val="_C_V_MQADATA_TE_5"/>
      <sheetName val="_C_P_MQADATA_TE_5"/>
      <sheetName val="_TEST_TIMEOATY__5"/>
      <sheetName val="_D_V_MQADATA_TE_5"/>
      <sheetName val="[TIMEOATY.XLS]_14"/>
      <sheetName val="[TIMEOATY.XLS]_15"/>
      <sheetName val="[TIMEOATY.XLS]_16"/>
      <sheetName val="_MQADATA_TEST_T_6"/>
      <sheetName val="_V_MQADATA_TEST_6"/>
      <sheetName val="_P_MQADATA_TEST_6"/>
      <sheetName val="_C_V_MQADATA_TE_6"/>
      <sheetName val="_C_P_MQADATA_TE_6"/>
      <sheetName val="_TEST_TIMEOATY__6"/>
      <sheetName val="_D_V_MQADATA_TE_6"/>
      <sheetName val="_MQADATA_TEST_T_9"/>
      <sheetName val="_V_MQADATA_TEST_9"/>
      <sheetName val="_P_MQADATA_TEST_9"/>
      <sheetName val="_C_V_MQADATA_TE_9"/>
      <sheetName val="_C_P_MQADATA_TE_9"/>
      <sheetName val="_TEST_TIMEOATY__9"/>
      <sheetName val="_D_V_MQADATA_TE_9"/>
      <sheetName val="[TIMEOATY.XLS]_20"/>
      <sheetName val="[TIMEOATY.XLS]_21"/>
      <sheetName val="[TIMEOATY.XLS]_22"/>
      <sheetName val="_MQADATA_TEST_T_8"/>
      <sheetName val="_V_MQADATA_TEST_8"/>
      <sheetName val="_P_MQADATA_TEST_8"/>
      <sheetName val="_C_V_MQADATA_TE_8"/>
      <sheetName val="_C_P_MQADATA_TE_8"/>
      <sheetName val="_TEST_TIMEOATY__8"/>
      <sheetName val="_D_V_MQADATA_TE_8"/>
      <sheetName val="[TIMEOATY.XLS]__192_168_200_274"/>
      <sheetName val="[TIMEOATY.XLS]__192_168_200_275"/>
      <sheetName val="[TIMEOATY.XLS]__10_12_8_248_138"/>
      <sheetName val="[TIMEOATY.XLS]__172_17_31_2_138"/>
      <sheetName val="[TIMEOATY.XLS]_TIMEOATY_XLS_596"/>
      <sheetName val="[TIMEOATY.XLS]_TIMEOATY_XLS_597"/>
      <sheetName val="[TIMEOATY.XLS]_TIMEOATY_XLS_598"/>
      <sheetName val="[TIMEOATY.XLS]_TIMEOATY_XLS_581"/>
      <sheetName val="[TIMEOATY.XLS]_TIMEOATY_XLS_582"/>
      <sheetName val="[TIMEOATY.XLS]_TIMEOATY_XLS_583"/>
      <sheetName val="[TIMEOATY.XLS]_TIMEOATY_XLS_584"/>
      <sheetName val="[TIMEOATY.XLS]_TIMEOATY_XLS_585"/>
      <sheetName val="[TIMEOATY.XLS]_TIMEOATY_XLS_586"/>
      <sheetName val="[TIMEOATY.XLS]_TIMEOATY_XLS_587"/>
      <sheetName val="[TIMEOATY.XLS]_TIMEOATY_XLS_588"/>
      <sheetName val="[TIMEOATY.XLS]_TIMEOATY_XLS_589"/>
      <sheetName val="[TIMEOATY.XLS]_TIMEOATY_XLS_593"/>
      <sheetName val="[TIMEOATY.XLS]_TIMEOATY_XLS_594"/>
      <sheetName val="[TIMEOATY.XLS]_TIMEOATY_XLS_595"/>
      <sheetName val="[TIMEOATY.XLS]_TIMEOATY_XLS_590"/>
      <sheetName val="[TIMEOATY.XLS]_TIMEOATY_XLS_591"/>
      <sheetName val="[TIMEOATY.XLS]_TIMEOATY_XLS_592"/>
      <sheetName val="[TIMEOATY.XLS]_TIMEOATY_XLS_599"/>
      <sheetName val="[TIMEOATY.XLS]_TIMEOATY_XLS_600"/>
      <sheetName val="[TIMEOATY.XLS]_TIMEOATY_XLS_601"/>
      <sheetName val="[TIMEOATY.XLS]__192_168_200_218"/>
      <sheetName val="[TIMEOATY.XLS]__192_168_200_219"/>
      <sheetName val="[TIMEOATY.XLS]__10_12_8_248_110"/>
      <sheetName val="[TIMEOATY.XLS]__172_17_31_2_110"/>
      <sheetName val="[TIMEOATY.XLS]_TIMEOATY_XLS_608"/>
      <sheetName val="[TIMEOATY.XLS]_TIMEOATY_XLS_609"/>
      <sheetName val="[TIMEOATY.XLS]_TIMEOATY_XLS_610"/>
      <sheetName val="[TIMEOATY.XLS]_TIMEOATY_XLS_602"/>
      <sheetName val="[TIMEOATY.XLS]_TIMEOATY_XLS_603"/>
      <sheetName val="[TIMEOATY.XLS]_TIMEOATY_XLS_604"/>
      <sheetName val="[TIMEOATY.XLS]__192_168_200_216"/>
      <sheetName val="[TIMEOATY.XLS]__192_168_200_217"/>
      <sheetName val="[TIMEOATY.XLS]__10_12_8_248_109"/>
      <sheetName val="[TIMEOATY.XLS]__172_17_31_2_109"/>
      <sheetName val="[TIMEOATY.XLS]_TIMEOATY_XLS_605"/>
      <sheetName val="[TIMEOATY.XLS]_TIMEOATY_XLS_606"/>
      <sheetName val="[TIMEOATY.XLS]_TIMEOATY_XLS_607"/>
      <sheetName val="[TIMEOATY.XLS]__192_168_200_220"/>
      <sheetName val="[TIMEOATY.XLS]__192_168_200_221"/>
      <sheetName val="[TIMEOATY.XLS]__10_12_8_248_111"/>
      <sheetName val="[TIMEOATY.XLS]__172_17_31_2_111"/>
      <sheetName val="[TIMEOATY.XLS]_TIMEOATY_XLS_611"/>
      <sheetName val="[TIMEOATY.XLS]_TIMEOATY_XLS_612"/>
      <sheetName val="[TIMEOATY.XLS]_TIMEOATY_XLS_613"/>
      <sheetName val="[TIMEOATY.XLS]__192_168_200_222"/>
      <sheetName val="[TIMEOATY.XLS]__192_168_200_223"/>
      <sheetName val="[TIMEOATY.XLS]__10_12_8_248_112"/>
      <sheetName val="[TIMEOATY.XLS]__172_17_31_2_112"/>
      <sheetName val="[TIMEOATY.XLS]_TIMEOATY_XLS_614"/>
      <sheetName val="[TIMEOATY.XLS]_TIMEOATY_XLS_615"/>
      <sheetName val="[TIMEOATY.XLS]_TIMEOATY_XLS_616"/>
      <sheetName val="[TIMEOATY.XLS]__192_168_200_224"/>
      <sheetName val="[TIMEOATY.XLS]__192_168_200_225"/>
      <sheetName val="[TIMEOATY.XLS]__10_12_8_248_113"/>
      <sheetName val="[TIMEOATY.XLS]__172_17_31_2_113"/>
      <sheetName val="[TIMEOATY.XLS]_TIMEOATY_XLS_617"/>
      <sheetName val="[TIMEOATY.XLS]_TIMEOATY_XLS_618"/>
      <sheetName val="[TIMEOATY.XLS]_TIMEOATY_XLS_619"/>
      <sheetName val="[TIMEOATY.XLS]__192_168_200_226"/>
      <sheetName val="[TIMEOATY.XLS]__192_168_200_227"/>
      <sheetName val="[TIMEOATY.XLS]__10_12_8_248_114"/>
      <sheetName val="[TIMEOATY.XLS]__172_17_31_2_114"/>
      <sheetName val="[TIMEOATY.XLS]_TIMEOATY_XLS_620"/>
      <sheetName val="[TIMEOATY.XLS]_TIMEOATY_XLS_621"/>
      <sheetName val="[TIMEOATY.XLS]_TIMEOATY_XLS_622"/>
      <sheetName val="[TIMEOATY.XLS]__192_168_200_228"/>
      <sheetName val="[TIMEOATY.XLS]__192_168_200_229"/>
      <sheetName val="[TIMEOATY.XLS]__10_12_8_248_115"/>
      <sheetName val="[TIMEOATY.XLS]__172_17_31_2_115"/>
      <sheetName val="[TIMEOATY.XLS]_TIMEOATY_XLS_623"/>
      <sheetName val="[TIMEOATY.XLS]_TIMEOATY_XLS_624"/>
      <sheetName val="[TIMEOATY.XLS]_TIMEOATY_XLS_625"/>
      <sheetName val="[TIMEOATY.XLS]__192_168_200_230"/>
      <sheetName val="[TIMEOATY.XLS]__192_168_200_231"/>
      <sheetName val="[TIMEOATY.XLS]__10_12_8_248_116"/>
      <sheetName val="[TIMEOATY.XLS]__172_17_31_2_116"/>
      <sheetName val="[TIMEOATY.XLS]_TIMEOATY_XLS_626"/>
      <sheetName val="[TIMEOATY.XLS]_TIMEOATY_XLS_627"/>
      <sheetName val="[TIMEOATY.XLS]_TIMEOATY_XLS_628"/>
      <sheetName val="[TIMEOATY.XLS]__192_168_200_232"/>
      <sheetName val="[TIMEOATY.XLS]__192_168_200_233"/>
      <sheetName val="[TIMEOATY.XLS]__10_12_8_248_117"/>
      <sheetName val="[TIMEOATY.XLS]__172_17_31_2_117"/>
      <sheetName val="[TIMEOATY.XLS]_TIMEOATY_XLS_629"/>
      <sheetName val="[TIMEOATY.XLS]_TIMEOATY_XLS_630"/>
      <sheetName val="[TIMEOATY.XLS]_TIMEOATY_XLS_631"/>
      <sheetName val="[TIMEOATY.XLS]__192_168_200_250"/>
      <sheetName val="[TIMEOATY.XLS]__192_168_200_251"/>
      <sheetName val="[TIMEOATY.XLS]__10_12_8_248_126"/>
      <sheetName val="[TIMEOATY.XLS]__172_17_31_2_126"/>
      <sheetName val="[TIMEOATY.XLS]_TIMEOATY_XLS_656"/>
      <sheetName val="[TIMEOATY.XLS]_TIMEOATY_XLS_657"/>
      <sheetName val="[TIMEOATY.XLS]_TIMEOATY_XLS_658"/>
      <sheetName val="[TIMEOATY.XLS]__192_168_200_236"/>
      <sheetName val="[TIMEOATY.XLS]__192_168_200_237"/>
      <sheetName val="[TIMEOATY.XLS]__10_12_8_248_119"/>
      <sheetName val="[TIMEOATY.XLS]__172_17_31_2_119"/>
      <sheetName val="[TIMEOATY.XLS]_TIMEOATY_XLS_635"/>
      <sheetName val="[TIMEOATY.XLS]_TIMEOATY_XLS_636"/>
      <sheetName val="[TIMEOATY.XLS]_TIMEOATY_XLS_637"/>
      <sheetName val="[TIMEOATY.XLS]__192_168_200_234"/>
      <sheetName val="[TIMEOATY.XLS]__192_168_200_235"/>
      <sheetName val="[TIMEOATY.XLS]__10_12_8_248_118"/>
      <sheetName val="[TIMEOATY.XLS]__172_17_31_2_118"/>
      <sheetName val="[TIMEOATY.XLS]_TIMEOATY_XLS_632"/>
      <sheetName val="[TIMEOATY.XLS]_TIMEOATY_XLS_633"/>
      <sheetName val="[TIMEOATY.XLS]_TIMEOATY_XLS_634"/>
      <sheetName val="[TIMEOATY.XLS]__192_168_200_238"/>
      <sheetName val="[TIMEOATY.XLS]__192_168_200_239"/>
      <sheetName val="[TIMEOATY.XLS]__10_12_8_248_120"/>
      <sheetName val="[TIMEOATY.XLS]__172_17_31_2_120"/>
      <sheetName val="[TIMEOATY.XLS]_TIMEOATY_XLS_638"/>
      <sheetName val="[TIMEOATY.XLS]_TIMEOATY_XLS_639"/>
      <sheetName val="[TIMEOATY.XLS]_TIMEOATY_XLS_640"/>
      <sheetName val="[TIMEOATY.XLS]__192_168_200_240"/>
      <sheetName val="[TIMEOATY.XLS]__192_168_200_241"/>
      <sheetName val="[TIMEOATY.XLS]__10_12_8_248_121"/>
      <sheetName val="[TIMEOATY.XLS]__172_17_31_2_121"/>
      <sheetName val="[TIMEOATY.XLS]_TIMEOATY_XLS_641"/>
      <sheetName val="[TIMEOATY.XLS]_TIMEOATY_XLS_642"/>
      <sheetName val="[TIMEOATY.XLS]_TIMEOATY_XLS_643"/>
      <sheetName val="[TIMEOATY.XLS]__192_168_200_242"/>
      <sheetName val="[TIMEOATY.XLS]__192_168_200_243"/>
      <sheetName val="[TIMEOATY.XLS]__10_12_8_248_122"/>
      <sheetName val="[TIMEOATY.XLS]__172_17_31_2_122"/>
      <sheetName val="[TIMEOATY.XLS]_TIMEOATY_XLS_644"/>
      <sheetName val="[TIMEOATY.XLS]_TIMEOATY_XLS_645"/>
      <sheetName val="[TIMEOATY.XLS]_TIMEOATY_XLS_646"/>
      <sheetName val="[TIMEOATY.XLS]__192_168_200_244"/>
      <sheetName val="[TIMEOATY.XLS]__192_168_200_245"/>
      <sheetName val="[TIMEOATY.XLS]__10_12_8_248_123"/>
      <sheetName val="[TIMEOATY.XLS]__172_17_31_2_123"/>
      <sheetName val="[TIMEOATY.XLS]_TIMEOATY_XLS_647"/>
      <sheetName val="[TIMEOATY.XLS]_TIMEOATY_XLS_648"/>
      <sheetName val="[TIMEOATY.XLS]_TIMEOATY_XLS_649"/>
      <sheetName val="[TIMEOATY.XLS]__192_168_200_246"/>
      <sheetName val="[TIMEOATY.XLS]__192_168_200_247"/>
      <sheetName val="[TIMEOATY.XLS]__10_12_8_248_124"/>
      <sheetName val="[TIMEOATY.XLS]__172_17_31_2_124"/>
      <sheetName val="[TIMEOATY.XLS]_TIMEOATY_XLS_650"/>
      <sheetName val="[TIMEOATY.XLS]_TIMEOATY_XLS_651"/>
      <sheetName val="[TIMEOATY.XLS]_TIMEOATY_XLS_652"/>
      <sheetName val="[TIMEOATY.XLS]__192_168_200_248"/>
      <sheetName val="[TIMEOATY.XLS]__192_168_200_249"/>
      <sheetName val="[TIMEOATY.XLS]__10_12_8_248_125"/>
      <sheetName val="[TIMEOATY.XLS]__172_17_31_2_125"/>
      <sheetName val="[TIMEOATY.XLS]_TIMEOATY_XLS_653"/>
      <sheetName val="[TIMEOATY.XLS]_TIMEOATY_XLS_654"/>
      <sheetName val="[TIMEOATY.XLS]_TIMEOATY_XLS_655"/>
      <sheetName val="[TIMEOATY.XLS]__192_168_200_252"/>
      <sheetName val="[TIMEOATY.XLS]__192_168_200_253"/>
      <sheetName val="[TIMEOATY.XLS]__10_12_8_248_127"/>
      <sheetName val="[TIMEOATY.XLS]__172_17_31_2_127"/>
      <sheetName val="[TIMEOATY.XLS]_TIMEOATY_XLS_659"/>
      <sheetName val="[TIMEOATY.XLS]_TIMEOATY_XLS_660"/>
      <sheetName val="[TIMEOATY.XLS]_TIMEOATY_XLS_661"/>
      <sheetName val="[TIMEOATY.XLS]__192_168_200_254"/>
      <sheetName val="[TIMEOATY.XLS]__192_168_200_255"/>
      <sheetName val="[TIMEOATY.XLS]__10_12_8_248_128"/>
      <sheetName val="[TIMEOATY.XLS]__172_17_31_2_128"/>
      <sheetName val="[TIMEOATY.XLS]_TIMEOATY_XLS_662"/>
      <sheetName val="[TIMEOATY.XLS]_TIMEOATY_XLS_663"/>
      <sheetName val="[TIMEOATY.XLS]_TIMEOATY_XLS_664"/>
      <sheetName val="[TIMEOATY.XLS]__192_168_200_258"/>
      <sheetName val="[TIMEOATY.XLS]__192_168_200_259"/>
      <sheetName val="[TIMEOATY.XLS]__10_12_8_248_130"/>
      <sheetName val="[TIMEOATY.XLS]__172_17_31_2_130"/>
      <sheetName val="[TIMEOATY.XLS]_TIMEOATY_XLS_668"/>
      <sheetName val="[TIMEOATY.XLS]_TIMEOATY_XLS_669"/>
      <sheetName val="[TIMEOATY.XLS]_TIMEOATY_XLS_670"/>
      <sheetName val="[TIMEOATY.XLS]__192_168_200_256"/>
      <sheetName val="[TIMEOATY.XLS]__192_168_200_257"/>
      <sheetName val="[TIMEOATY.XLS]__10_12_8_248_129"/>
      <sheetName val="[TIMEOATY.XLS]__172_17_31_2_129"/>
      <sheetName val="[TIMEOATY.XLS]_TIMEOATY_XLS_665"/>
      <sheetName val="[TIMEOATY.XLS]_TIMEOATY_XLS_666"/>
      <sheetName val="[TIMEOATY.XLS]_TIMEOATY_XLS_667"/>
      <sheetName val="[TIMEOATY.XLS]__192_168_200_260"/>
      <sheetName val="[TIMEOATY.XLS]__192_168_200_261"/>
      <sheetName val="[TIMEOATY.XLS]__10_12_8_248_131"/>
      <sheetName val="[TIMEOATY.XLS]__172_17_31_2_131"/>
      <sheetName val="[TIMEOATY.XLS]_TIMEOATY_XLS_671"/>
      <sheetName val="[TIMEOATY.XLS]_TIMEOATY_XLS_672"/>
      <sheetName val="[TIMEOATY.XLS]_TIMEOATY_XLS_673"/>
      <sheetName val="[TIMEOATY.XLS]__192_168_200_264"/>
      <sheetName val="[TIMEOATY.XLS]__192_168_200_265"/>
      <sheetName val="[TIMEOATY.XLS]__10_12_8_248_133"/>
      <sheetName val="[TIMEOATY.XLS]__172_17_31_2_133"/>
      <sheetName val="[TIMEOATY.XLS]_TIMEOATY_XLS_677"/>
      <sheetName val="[TIMEOATY.XLS]_TIMEOATY_XLS_678"/>
      <sheetName val="[TIMEOATY.XLS]_TIMEOATY_XLS_679"/>
      <sheetName val="[TIMEOATY.XLS]__192_168_200_262"/>
      <sheetName val="[TIMEOATY.XLS]__192_168_200_263"/>
      <sheetName val="[TIMEOATY.XLS]__10_12_8_248_132"/>
      <sheetName val="[TIMEOATY.XLS]__172_17_31_2_132"/>
      <sheetName val="[TIMEOATY.XLS]_TIMEOATY_XLS_674"/>
      <sheetName val="[TIMEOATY.XLS]_TIMEOATY_XLS_675"/>
      <sheetName val="[TIMEOATY.XLS]_TIMEOATY_XLS_676"/>
      <sheetName val="[TIMEOATY.XLS]__192_168_200_266"/>
      <sheetName val="[TIMEOATY.XLS]__192_168_200_267"/>
      <sheetName val="[TIMEOATY.XLS]__10_12_8_248_134"/>
      <sheetName val="[TIMEOATY.XLS]__172_17_31_2_134"/>
      <sheetName val="[TIMEOATY.XLS]_TIMEOATY_XLS_680"/>
      <sheetName val="[TIMEOATY.XLS]_TIMEOATY_XLS_681"/>
      <sheetName val="[TIMEOATY.XLS]_TIMEOATY_XLS_682"/>
      <sheetName val="[TIMEOATY.XLS]__192_168_200_268"/>
      <sheetName val="[TIMEOATY.XLS]__192_168_200_269"/>
      <sheetName val="[TIMEOATY.XLS]__10_12_8_248_135"/>
      <sheetName val="[TIMEOATY.XLS]__172_17_31_2_135"/>
      <sheetName val="[TIMEOATY.XLS]_TIMEOATY_XLS_683"/>
      <sheetName val="[TIMEOATY.XLS]_TIMEOATY_XLS_684"/>
      <sheetName val="[TIMEOATY.XLS]_TIMEOATY_XLS_685"/>
      <sheetName val="[TIMEOATY.XLS]__192_168_200_270"/>
      <sheetName val="[TIMEOATY.XLS]__192_168_200_271"/>
      <sheetName val="[TIMEOATY.XLS]__10_12_8_248_136"/>
      <sheetName val="[TIMEOATY.XLS]__172_17_31_2_136"/>
      <sheetName val="[TIMEOATY.XLS]_TIMEOATY_XLS_686"/>
      <sheetName val="[TIMEOATY.XLS]_TIMEOATY_XLS_687"/>
      <sheetName val="[TIMEOATY.XLS]_TIMEOATY_XLS_688"/>
      <sheetName val="[TIMEOATY.XLS]__192_168_200_272"/>
      <sheetName val="[TIMEOATY.XLS]__192_168_200_273"/>
      <sheetName val="[TIMEOATY.XLS]__10_12_8_248_137"/>
      <sheetName val="[TIMEOATY.XLS]__172_17_31_2_137"/>
      <sheetName val="[TIMEOATY.XLS]_TIMEOATY_XLS_689"/>
      <sheetName val="[TIMEOATY.XLS]_TIMEOATY_XLS_690"/>
      <sheetName val="[TIMEOATY.XLS]_TIMEOATY_XLS_691"/>
      <sheetName val="[TIMEOATY.XLS]_TIMEOATY_XLS_692"/>
      <sheetName val="[TIMEOATY.XLS]_TIMEOATY_XLS_693"/>
      <sheetName val="[TIMEOATY.XLS]_TIMEOATY_XLS_694"/>
      <sheetName val="HL-Summary"/>
      <sheetName val="[TIMEOATY.XLS]_C_V_MQADATA__111"/>
      <sheetName val="[TIMEOATY.XLS]_C_P_MQADATA__111"/>
      <sheetName val="[TIMEOATY.XLS]_TEST_TIMEOAT_110"/>
      <sheetName val="[TIMEOATY.XLS]_C_V_MQADATA__106"/>
      <sheetName val="[TIMEOATY.XLS]_C_P_MQADATA__106"/>
      <sheetName val="[TIMEOATY.XLS]_C_V_MQADATA__107"/>
      <sheetName val="[TIMEOATY.XLS]_C_P_MQADATA__107"/>
      <sheetName val="[TIMEOATY.XLS]_TEST_TIMEOAT_106"/>
      <sheetName val="[TIMEOATY.XLS]_C_V_MQADATA__108"/>
      <sheetName val="[TIMEOATY.XLS]_C_P_MQADATA__108"/>
      <sheetName val="[TIMEOATY.XLS]_TEST_TIMEOAT_107"/>
      <sheetName val="[TIMEOATY.XLS]_C_V_MQADATA__109"/>
      <sheetName val="[TIMEOATY.XLS]_C_P_MQADATA__109"/>
      <sheetName val="[TIMEOATY.XLS]_TEST_TIMEOAT_108"/>
      <sheetName val="[TIMEOATY.XLS]_C_V_MQADATA__110"/>
      <sheetName val="[TIMEOATY.XLS]_C_P_MQADATA__110"/>
      <sheetName val="[TIMEOATY.XLS]_TEST_TIMEOAT_109"/>
      <sheetName val="[TIMEOATY.XLS]_TEST_TIMEOAT_111"/>
      <sheetName val="CFLOW"/>
      <sheetName val="[TIMEOATY.XLS]_29"/>
      <sheetName val="[TIMEOATY.XLS]_30"/>
      <sheetName val="[TIMEOATY.XLS]_31"/>
      <sheetName val="[TIMEOATY.XLS]_26"/>
      <sheetName val="[TIMEOATY.XLS]_27"/>
      <sheetName val="[TIMEOATY.XLS]_28"/>
      <sheetName val="__192_168_200_1_2"/>
      <sheetName val="__192_168_200_1_3"/>
      <sheetName val="__10_12_8_248_C_2"/>
      <sheetName val="__172_17_31_252_2"/>
      <sheetName val="[TIMEOATY.XLS]_35"/>
      <sheetName val="[TIMEOATY.XLS]_36"/>
      <sheetName val="[TIMEOATY.XLS]_37"/>
      <sheetName val="[TIMEOATY.XLS]_32"/>
      <sheetName val="[TIMEOATY.XLS]_33"/>
      <sheetName val="[TIMEOATY.XLS]_34"/>
      <sheetName val="__192_168_200_1_4"/>
      <sheetName val="__192_168_200_1_5"/>
      <sheetName val="__10_12_8_248_C_3"/>
      <sheetName val="__172_17_31_252_3"/>
      <sheetName val="__192_168_200_1_6"/>
      <sheetName val="__192_168_200_1_7"/>
      <sheetName val="__10_12_8_248_C_4"/>
      <sheetName val="__172_17_31_252_4"/>
      <sheetName val="[TIMEOATY.XLS]_38"/>
      <sheetName val="[TIMEOATY.XLS]_39"/>
      <sheetName val="[TIMEOATY.XLS]_40"/>
      <sheetName val="_TIMEOATY_XLS_113"/>
      <sheetName val="_TIMEOATY_XLS_114"/>
      <sheetName val="_TIMEOATY_XLS_115"/>
      <sheetName val="_MQADATA_TEST__26"/>
      <sheetName val="_TIMEOATY_XLS_140"/>
      <sheetName val="_TIMEOATY_XLS_141"/>
      <sheetName val="_V_MQADATA_TES_26"/>
      <sheetName val="_P_MQADATA_TES_26"/>
      <sheetName val="_TIMEOATY_XLS_142"/>
      <sheetName val="_C_V_MQADATA_T_26"/>
      <sheetName val="_C_P_MQADATA_T_26"/>
      <sheetName val="_TEST_TIMEOATY_25"/>
      <sheetName val="_D_V_MQADATA_T_20"/>
      <sheetName val="[TIMEOATY.XLS]_44"/>
      <sheetName val="[TIMEOATY.XLS]_45"/>
      <sheetName val="[TIMEOATY.XLS]_46"/>
      <sheetName val="_MQADATA_TEST__10"/>
      <sheetName val="_V_MQADATA_TES_10"/>
      <sheetName val="_P_MQADATA_TES_10"/>
      <sheetName val="_C_V_MQADATA_T_10"/>
      <sheetName val="_C_P_MQADATA_T_10"/>
      <sheetName val="_MQADATA_TEST__12"/>
      <sheetName val="[TIMEOATY.XLS]_80"/>
      <sheetName val="[TIMEOATY.XLS]_81"/>
      <sheetName val="_V_MQADATA_TES_12"/>
      <sheetName val="_P_MQADATA_TES_12"/>
      <sheetName val="[TIMEOATY.XLS]_82"/>
      <sheetName val="_C_V_MQADATA_T_12"/>
      <sheetName val="_C_P_MQADATA_T_12"/>
      <sheetName val="_TEST_TIMEOATY_11"/>
      <sheetName val="[TIMEOATY.XLS]_41"/>
      <sheetName val="[TIMEOATY.XLS]_42"/>
      <sheetName val="[TIMEOATY.XLS]_43"/>
      <sheetName val="_MQADATA_TEST__11"/>
      <sheetName val="_V_MQADATA_TES_11"/>
      <sheetName val="_P_MQADATA_TES_11"/>
      <sheetName val="_C_V_MQADATA_T_11"/>
      <sheetName val="_C_P_MQADATA_T_11"/>
      <sheetName val="_TEST_TIMEOATY_10"/>
      <sheetName val="[TIMEOATY.XLS]_56"/>
      <sheetName val="[TIMEOATY.XLS]_57"/>
      <sheetName val="[TIMEOATY.XLS]_58"/>
      <sheetName val="_MQADATA_TEST__15"/>
      <sheetName val="[TIMEOATY.XLS]_65"/>
      <sheetName val="[TIMEOATY.XLS]_66"/>
      <sheetName val="_V_MQADATA_TES_15"/>
      <sheetName val="_P_MQADATA_TES_15"/>
      <sheetName val="[TIMEOATY.XLS]_67"/>
      <sheetName val="_C_V_MQADATA_T_15"/>
      <sheetName val="_C_P_MQADATA_T_15"/>
      <sheetName val="_TEST_TIMEOATY_14"/>
      <sheetName val="_D_V_MQADATA_T_10"/>
      <sheetName val="[TIMEOATY.XLS]_47"/>
      <sheetName val="[TIMEOATY.XLS]_48"/>
      <sheetName val="[TIMEOATY.XLS]_49"/>
      <sheetName val="_MQADATA_TEST__13"/>
      <sheetName val="_V_MQADATA_TES_13"/>
      <sheetName val="_P_MQADATA_TES_13"/>
      <sheetName val="_C_V_MQADATA_T_13"/>
      <sheetName val="_C_P_MQADATA_T_13"/>
      <sheetName val="_TEST_TIMEOATY_12"/>
      <sheetName val="[TIMEOATY.XLS]_50"/>
      <sheetName val="[TIMEOATY.XLS]_51"/>
      <sheetName val="[TIMEOATY.XLS]_52"/>
      <sheetName val="[TIMEOATY.XLS]_53"/>
      <sheetName val="[TIMEOATY.XLS]_54"/>
      <sheetName val="[TIMEOATY.XLS]_55"/>
      <sheetName val="_MQADATA_TEST__14"/>
      <sheetName val="_V_MQADATA_TES_14"/>
      <sheetName val="_P_MQADATA_TES_14"/>
      <sheetName val="_C_V_MQADATA_T_14"/>
      <sheetName val="_C_P_MQADATA_T_14"/>
      <sheetName val="_TEST_TIMEOATY_13"/>
      <sheetName val="[TIMEOATY.XLS]_59"/>
      <sheetName val="[TIMEOATY.XLS]_60"/>
      <sheetName val="[TIMEOATY.XLS]_61"/>
      <sheetName val="_MQADATA_TEST__17"/>
      <sheetName val="[TIMEOATY.XLS]_77"/>
      <sheetName val="[TIMEOATY.XLS]_78"/>
      <sheetName val="_V_MQADATA_TES_17"/>
      <sheetName val="_P_MQADATA_TES_17"/>
      <sheetName val="[TIMEOATY.XLS]_79"/>
      <sheetName val="_C_V_MQADATA_T_17"/>
      <sheetName val="_C_P_MQADATA_T_17"/>
      <sheetName val="_TEST_TIMEOATY_16"/>
      <sheetName val="_D_V_MQADATA_T_11"/>
      <sheetName val="[TIMEOATY.XLS]_62"/>
      <sheetName val="[TIMEOATY.XLS]_63"/>
      <sheetName val="[TIMEOATY.XLS]_64"/>
      <sheetName val="_MQADATA_TEST__16"/>
      <sheetName val="_V_MQADATA_TES_16"/>
      <sheetName val="_P_MQADATA_TES_16"/>
      <sheetName val="_C_V_MQADATA_T_16"/>
      <sheetName val="_C_P_MQADATA_T_16"/>
      <sheetName val="_TEST_TIMEOATY_15"/>
      <sheetName val="[TIMEOATY.XLS]_68"/>
      <sheetName val="[TIMEOATY.XLS]_69"/>
      <sheetName val="[TIMEOATY.XLS]_70"/>
      <sheetName val="[TIMEOATY.XLS]_71"/>
      <sheetName val="[TIMEOATY.XLS]_72"/>
      <sheetName val="[TIMEOATY.XLS]_73"/>
      <sheetName val="[TIMEOATY.XLS]_74"/>
      <sheetName val="[TIMEOATY.XLS]_75"/>
      <sheetName val="[TIMEOATY.XLS]_76"/>
      <sheetName val="_MQADATA_TEST__23"/>
      <sheetName val="_TIMEOATY_XLS_104"/>
      <sheetName val="_TIMEOATY_XLS_105"/>
      <sheetName val="_V_MQADATA_TES_23"/>
      <sheetName val="_P_MQADATA_TES_23"/>
      <sheetName val="_TIMEOATY_XLS_106"/>
      <sheetName val="_C_V_MQADATA_T_23"/>
      <sheetName val="_C_P_MQADATA_T_23"/>
      <sheetName val="_TEST_TIMEOATY_22"/>
      <sheetName val="_D_V_MQADATA_T_17"/>
      <sheetName val="_TIMEOATY_XLS_101"/>
      <sheetName val="_TIMEOATY_XLS_102"/>
      <sheetName val="_TIMEOATY_XLS_103"/>
      <sheetName val="_MQADATA_TEST__18"/>
      <sheetName val="_V_MQADATA_TES_18"/>
      <sheetName val="_P_MQADATA_TES_18"/>
      <sheetName val="_C_V_MQADATA_T_18"/>
      <sheetName val="_C_P_MQADATA_T_18"/>
      <sheetName val="_TEST_TIMEOATY_17"/>
      <sheetName val="_D_V_MQADATA_T_12"/>
      <sheetName val="[TIMEOATY.XLS]_83"/>
      <sheetName val="[TIMEOATY.XLS]_84"/>
      <sheetName val="[TIMEOATY.XLS]_85"/>
      <sheetName val="_MQADATA_TEST__19"/>
      <sheetName val="_V_MQADATA_TES_19"/>
      <sheetName val="_P_MQADATA_TES_19"/>
      <sheetName val="_C_V_MQADATA_T_19"/>
      <sheetName val="_C_P_MQADATA_T_19"/>
      <sheetName val="_TEST_TIMEOATY_18"/>
      <sheetName val="_D_V_MQADATA_T_13"/>
      <sheetName val="[TIMEOATY.XLS]_86"/>
      <sheetName val="[TIMEOATY.XLS]_87"/>
      <sheetName val="[TIMEOATY.XLS]_88"/>
      <sheetName val="_MQADATA_TEST__20"/>
      <sheetName val="_V_MQADATA_TES_20"/>
      <sheetName val="_P_MQADATA_TES_20"/>
      <sheetName val="_C_V_MQADATA_T_20"/>
      <sheetName val="_C_P_MQADATA_T_20"/>
      <sheetName val="_TEST_TIMEOATY_19"/>
      <sheetName val="_D_V_MQADATA_T_14"/>
      <sheetName val="[TIMEOATY.XLS]_89"/>
      <sheetName val="[TIMEOATY.XLS]_90"/>
      <sheetName val="[TIMEOATY.XLS]_91"/>
      <sheetName val="_MQADATA_TEST__21"/>
      <sheetName val="_V_MQADATA_TES_21"/>
      <sheetName val="_P_MQADATA_TES_21"/>
      <sheetName val="_C_V_MQADATA_T_21"/>
      <sheetName val="_C_P_MQADATA_T_21"/>
      <sheetName val="_TEST_TIMEOATY_20"/>
      <sheetName val="_D_V_MQADATA_T_15"/>
      <sheetName val="[TIMEOATY.XLS]_92"/>
      <sheetName val="[TIMEOATY.XLS]_93"/>
      <sheetName val="[TIMEOATY.XLS]_94"/>
      <sheetName val="[TIMEOATY.XLS]_95"/>
      <sheetName val="[TIMEOATY.XLS]_96"/>
      <sheetName val="[TIMEOATY.XLS]_97"/>
      <sheetName val="_MQADATA_TEST__22"/>
      <sheetName val="_V_MQADATA_TES_22"/>
      <sheetName val="_P_MQADATA_TES_22"/>
      <sheetName val="_C_V_MQADATA_T_22"/>
      <sheetName val="_C_P_MQADATA_T_22"/>
      <sheetName val="_TEST_TIMEOATY_21"/>
      <sheetName val="_D_V_MQADATA_T_16"/>
      <sheetName val="[TIMEOATY.XLS]_98"/>
      <sheetName val="[TIMEOATY.XLS]_99"/>
      <sheetName val="_TIMEOATY_XLS_100"/>
      <sheetName val="_TIMEOATY_XLS_107"/>
      <sheetName val="_TIMEOATY_XLS_108"/>
      <sheetName val="_TIMEOATY_XLS_109"/>
      <sheetName val="_MQADATA_TEST__24"/>
      <sheetName val="_V_MQADATA_TES_24"/>
      <sheetName val="_P_MQADATA_TES_24"/>
      <sheetName val="_C_V_MQADATA_T_24"/>
      <sheetName val="_C_P_MQADATA_T_24"/>
      <sheetName val="_TEST_TIMEOATY_23"/>
      <sheetName val="_D_V_MQADATA_T_18"/>
      <sheetName val="_TIMEOATY_XLS_110"/>
      <sheetName val="_TIMEOATY_XLS_111"/>
      <sheetName val="_TIMEOATY_XLS_112"/>
      <sheetName val="_MQADATA_TEST__25"/>
      <sheetName val="_V_MQADATA_TES_25"/>
      <sheetName val="_P_MQADATA_TES_25"/>
      <sheetName val="_C_V_MQADATA_T_25"/>
      <sheetName val="_C_P_MQADATA_T_25"/>
      <sheetName val="_TEST_TIMEOATY_24"/>
      <sheetName val="_D_V_MQADATA_T_19"/>
      <sheetName val="_MQADATA_TEST__34"/>
      <sheetName val="_TIMEOATY_XLS_149"/>
      <sheetName val="_TIMEOATY_XLS_150"/>
      <sheetName val="_V_MQADATA_TES_34"/>
      <sheetName val="_P_MQADATA_TES_34"/>
      <sheetName val="_TIMEOATY_XLS_151"/>
      <sheetName val="_C_V_MQADATA_T_34"/>
      <sheetName val="_C_P_MQADATA_T_34"/>
      <sheetName val="_TEST_TIMEOATY_33"/>
      <sheetName val="_D_V_MQADATA_T_27"/>
      <sheetName val="_TIMEOATY_XLS_122"/>
      <sheetName val="_TIMEOATY_XLS_123"/>
      <sheetName val="_TIMEOATY_XLS_124"/>
      <sheetName val="_MQADATA_TEST__29"/>
      <sheetName val="_TIMEOATY_XLS_128"/>
      <sheetName val="_TIMEOATY_XLS_129"/>
      <sheetName val="_V_MQADATA_TES_29"/>
      <sheetName val="_P_MQADATA_TES_29"/>
      <sheetName val="_TIMEOATY_XLS_130"/>
      <sheetName val="_C_V_MQADATA_T_29"/>
      <sheetName val="_C_P_MQADATA_T_29"/>
      <sheetName val="_TEST_TIMEOATY_28"/>
      <sheetName val="_D_V_MQADATA_T_23"/>
      <sheetName val="_TIMEOATY_XLS_116"/>
      <sheetName val="_TIMEOATY_XLS_117"/>
      <sheetName val="_TIMEOATY_XLS_118"/>
      <sheetName val="_MQADATA_TEST__27"/>
      <sheetName val="_V_MQADATA_TES_27"/>
      <sheetName val="_P_MQADATA_TES_27"/>
      <sheetName val="_C_V_MQADATA_T_27"/>
      <sheetName val="_C_P_MQADATA_T_27"/>
      <sheetName val="_TEST_TIMEOATY_26"/>
      <sheetName val="_D_V_MQADATA_T_21"/>
      <sheetName val="_TIMEOATY_XLS_119"/>
      <sheetName val="_TIMEOATY_XLS_120"/>
      <sheetName val="_TIMEOATY_XLS_121"/>
      <sheetName val="_MQADATA_TEST__28"/>
      <sheetName val="_V_MQADATA_TES_28"/>
      <sheetName val="_P_MQADATA_TES_28"/>
      <sheetName val="_C_V_MQADATA_T_28"/>
      <sheetName val="_C_P_MQADATA_T_28"/>
      <sheetName val="_TEST_TIMEOATY_27"/>
      <sheetName val="_D_V_MQADATA_T_22"/>
      <sheetName val="_TIMEOATY_XLS_125"/>
      <sheetName val="_TIMEOATY_XLS_126"/>
      <sheetName val="_TIMEOATY_XLS_127"/>
      <sheetName val="_MQADATA_TEST__30"/>
      <sheetName val="_V_MQADATA_TES_30"/>
      <sheetName val="_P_MQADATA_TES_30"/>
      <sheetName val="_C_V_MQADATA_T_30"/>
      <sheetName val="_C_P_MQADATA_T_30"/>
      <sheetName val="_TEST_TIMEOATY_29"/>
      <sheetName val="_TIMEOATY_XLS_131"/>
      <sheetName val="_TIMEOATY_XLS_132"/>
      <sheetName val="_TIMEOATY_XLS_133"/>
      <sheetName val="_MQADATA_TEST__31"/>
      <sheetName val="_V_MQADATA_TES_31"/>
      <sheetName val="_P_MQADATA_TES_31"/>
      <sheetName val="_C_V_MQADATA_T_31"/>
      <sheetName val="_C_P_MQADATA_T_31"/>
      <sheetName val="_TEST_TIMEOATY_30"/>
      <sheetName val="_D_V_MQADATA_T_24"/>
      <sheetName val="_TIMEOATY_XLS_134"/>
      <sheetName val="_TIMEOATY_XLS_135"/>
      <sheetName val="_TIMEOATY_XLS_136"/>
      <sheetName val="_MQADATA_TEST__32"/>
      <sheetName val="_V_MQADATA_TES_32"/>
      <sheetName val="_P_MQADATA_TES_32"/>
      <sheetName val="_C_V_MQADATA_T_32"/>
      <sheetName val="_C_P_MQADATA_T_32"/>
      <sheetName val="_TEST_TIMEOATY_31"/>
      <sheetName val="_D_V_MQADATA_T_25"/>
      <sheetName val="_TIMEOATY_XLS_137"/>
      <sheetName val="_TIMEOATY_XLS_138"/>
      <sheetName val="_TIMEOATY_XLS_139"/>
      <sheetName val="_MQADATA_TEST__33"/>
      <sheetName val="_V_MQADATA_TES_33"/>
      <sheetName val="_P_MQADATA_TES_33"/>
      <sheetName val="_C_V_MQADATA_T_33"/>
      <sheetName val="_C_P_MQADATA_T_33"/>
      <sheetName val="_TEST_TIMEOATY_32"/>
      <sheetName val="_D_V_MQADATA_T_26"/>
      <sheetName val="_TIMEOATY_XLS_143"/>
      <sheetName val="_TIMEOATY_XLS_144"/>
      <sheetName val="_TIMEOATY_XLS_145"/>
      <sheetName val="_TIMEOATY_XLS_146"/>
      <sheetName val="_TIMEOATY_XLS_147"/>
      <sheetName val="_TIMEOATY_XLS_148"/>
      <sheetName val="_TIMEOATY_XLS_167"/>
      <sheetName val="_TIMEOATY_XLS_168"/>
      <sheetName val="_TIMEOATY_XLS_169"/>
      <sheetName val="_TIMEOATY_XLS_152"/>
      <sheetName val="_TIMEOATY_XLS_153"/>
      <sheetName val="_TIMEOATY_XLS_154"/>
      <sheetName val="_TIMEOATY_XLS_155"/>
      <sheetName val="_TIMEOATY_XLS_156"/>
      <sheetName val="_TIMEOATY_XLS_157"/>
      <sheetName val="_TIMEOATY_XLS_158"/>
      <sheetName val="_TIMEOATY_XLS_159"/>
      <sheetName val="_TIMEOATY_XLS_160"/>
      <sheetName val="_TIMEOATY_XLS_161"/>
      <sheetName val="_TIMEOATY_XLS_162"/>
      <sheetName val="_TIMEOATY_XLS_163"/>
      <sheetName val="_TIMEOATY_XLS_164"/>
      <sheetName val="_TIMEOATY_XLS_165"/>
      <sheetName val="_TIMEOATY_XLS_166"/>
      <sheetName val="_TIMEOATY_XLS_170"/>
      <sheetName val="_TIMEOATY_XLS_171"/>
      <sheetName val="_TIMEOATY_XLS_172"/>
      <sheetName val="_MQADATA_TEST__35"/>
      <sheetName val="_TIMEOATY_XLS_179"/>
      <sheetName val="_TIMEOATY_XLS_180"/>
      <sheetName val="_V_MQADATA_TES_35"/>
      <sheetName val="_P_MQADATA_TES_35"/>
      <sheetName val="_TIMEOATY_XLS_181"/>
      <sheetName val="_C_V_MQADATA_T_35"/>
      <sheetName val="_C_P_MQADATA_T_35"/>
      <sheetName val="_TEST_TIMEOATY_34"/>
      <sheetName val="_D_V_MQADATA_T_28"/>
      <sheetName val="_TIMEOATY_XLS_173"/>
      <sheetName val="_TIMEOATY_XLS_174"/>
      <sheetName val="_TIMEOATY_XLS_175"/>
      <sheetName val="_TIMEOATY_XLS_176"/>
      <sheetName val="_TIMEOATY_XLS_177"/>
      <sheetName val="_TIMEOATY_XLS_178"/>
      <sheetName val="_TIMEOATY_XLS_185"/>
      <sheetName val="_TIMEOATY_XLS_186"/>
      <sheetName val="_TIMEOATY_XLS_187"/>
      <sheetName val="_TIMEOATY_XLS_182"/>
      <sheetName val="_TIMEOATY_XLS_183"/>
      <sheetName val="_TIMEOATY_XLS_184"/>
      <sheetName val="_TIMEOATY_XLS_188"/>
      <sheetName val="_TIMEOATY_XLS_189"/>
      <sheetName val="_TIMEOATY_XLS_190"/>
      <sheetName val="_TIMEOATY_XLS_200"/>
      <sheetName val="_TIMEOATY_XLS_201"/>
      <sheetName val="_TIMEOATY_XLS_202"/>
      <sheetName val="_MQADATA_TEST__39"/>
      <sheetName val="_V_MQADATA_TES_39"/>
      <sheetName val="_P_MQADATA_TES_39"/>
      <sheetName val="_C_V_MQADATA_T_39"/>
      <sheetName val="_C_P_MQADATA_T_39"/>
      <sheetName val="_TEST_TIMEOATY_38"/>
      <sheetName val="_TIMEOATY_XLS_191"/>
      <sheetName val="_TIMEOATY_XLS_192"/>
      <sheetName val="_TIMEOATY_XLS_193"/>
      <sheetName val="_MQADATA_TEST__36"/>
      <sheetName val="_V_MQADATA_TES_36"/>
      <sheetName val="_P_MQADATA_TES_36"/>
      <sheetName val="_C_V_MQADATA_T_36"/>
      <sheetName val="_C_P_MQADATA_T_36"/>
      <sheetName val="_TEST_TIMEOATY_35"/>
      <sheetName val="_TIMEOATY_XLS_194"/>
      <sheetName val="_TIMEOATY_XLS_195"/>
      <sheetName val="_TIMEOATY_XLS_196"/>
      <sheetName val="_MQADATA_TEST__37"/>
      <sheetName val="_V_MQADATA_TES_37"/>
      <sheetName val="_P_MQADATA_TES_37"/>
      <sheetName val="_C_V_MQADATA_T_37"/>
      <sheetName val="_C_P_MQADATA_T_37"/>
      <sheetName val="_TEST_TIMEOATY_36"/>
      <sheetName val="_TIMEOATY_XLS_197"/>
      <sheetName val="_TIMEOATY_XLS_198"/>
      <sheetName val="_TIMEOATY_XLS_199"/>
      <sheetName val="_MQADATA_TEST__38"/>
      <sheetName val="_V_MQADATA_TES_38"/>
      <sheetName val="_P_MQADATA_TES_38"/>
      <sheetName val="_C_V_MQADATA_T_38"/>
      <sheetName val="_C_P_MQADATA_T_38"/>
      <sheetName val="_TEST_TIMEOATY_37"/>
      <sheetName val="_TIMEOATY_XLS_203"/>
      <sheetName val="_TIMEOATY_XLS_204"/>
      <sheetName val="_TIMEOATY_XLS_205"/>
      <sheetName val="_TIMEOATY_XLS_206"/>
      <sheetName val="_TIMEOATY_XLS_207"/>
      <sheetName val="_TIMEOATY_XLS_208"/>
      <sheetName val="_TIMEOATY_XLS_209"/>
      <sheetName val="_TIMEOATY_XLS_210"/>
      <sheetName val="_TIMEOATY_XLS_211"/>
      <sheetName val="_MQADATA_TEST__40"/>
      <sheetName val="_V_MQADATA_TES_40"/>
      <sheetName val="_P_MQADATA_TES_40"/>
      <sheetName val="_C_V_MQADATA_T_40"/>
      <sheetName val="_C_P_MQADATA_T_40"/>
      <sheetName val="_TEST_TIMEOATY_39"/>
      <sheetName val="_D_V_MQADATA_T_29"/>
      <sheetName val="\TI"/>
      <sheetName val="\D\"/>
      <sheetName val="\TE"/>
      <sheetName val="_17"/>
      <sheetName val="_18"/>
      <sheetName val="_19"/>
      <sheetName val="_23"/>
      <sheetName val="_24"/>
      <sheetName val="_25"/>
      <sheetName val="__2"/>
      <sheetName val="__3"/>
      <sheetName val="__4"/>
      <sheetName val="__5"/>
      <sheetName val="__6"/>
      <sheetName val="__7"/>
      <sheetName val="__8"/>
      <sheetName val="__9"/>
      <sheetName val="_10"/>
      <sheetName val="_11"/>
      <sheetName val="_12"/>
      <sheetName val="_13"/>
      <sheetName val="_14"/>
      <sheetName val="_15"/>
      <sheetName val="_16"/>
      <sheetName val="_20"/>
      <sheetName val="_21"/>
      <sheetName val="_22"/>
      <sheetName val="附件1-开发筛选项"/>
      <sheetName val="附件2-问题分类说明"/>
      <sheetName val="[TIMEOATY.XLS]__192_168_200_276"/>
      <sheetName val="[TIMEOATY.XLS]__192_168_200_277"/>
      <sheetName val="[TIMEOATY.XLS]__10_12_8_248_139"/>
      <sheetName val="[TIMEOATY.XLS]__172_17_31_2_139"/>
      <sheetName val="[TIMEOATY.XLS]_TIMEOATY_XLS_695"/>
      <sheetName val="[TIMEOATY.XLS]_TIMEOATY_XLS_696"/>
      <sheetName val="[TIMEOATY.XLS]_TIMEOATY_XLS_697"/>
      <sheetName val="[TIMEOATY.XLS]__192_168_200_278"/>
      <sheetName val="[TIMEOATY.XLS]__192_168_200_279"/>
      <sheetName val="[TIMEOATY.XLS]__10_12_8_248_140"/>
      <sheetName val="[TIMEOATY.XLS]__172_17_31_2_140"/>
      <sheetName val="[TIMEOATY.XLS]_TIMEOATY_XLS_698"/>
      <sheetName val="[TIMEOATY.XLS]_TIMEOATY_XLS_699"/>
      <sheetName val="[TIMEOATY.XLS]_TIMEOATY_XLS_700"/>
      <sheetName val="[TIMEOATY.XLS]_TIMEOATY_XLS_701"/>
      <sheetName val="[TIMEOATY.XLS]_TIMEOATY_XLS_702"/>
      <sheetName val="[TIMEOATY.XLS]_TIMEOATY_XLS_703"/>
      <sheetName val="[TIMEOATY.XLS]_C_V_MQADATA__112"/>
      <sheetName val="[TIMEOATY.XLS]_C_P_MQADATA__112"/>
      <sheetName val="[TIMEOATY.XLS]_TEST_TIMEOAT_112"/>
      <sheetName val="[TIMEOATY.XLS]__192_168_200_280"/>
      <sheetName val="[TIMEOATY.XLS]__192_168_200_281"/>
      <sheetName val="[TIMEOATY.XLS]__10_12_8_248_141"/>
      <sheetName val="[TIMEOATY.XLS]__172_17_31_2_141"/>
      <sheetName val="[TIMEOATY.XLS]_D_V_MQADATA__106"/>
      <sheetName val="[TIMEOATY.XLS]__192_168_200_286"/>
      <sheetName val="[TIMEOATY.XLS]__192_168_200_287"/>
      <sheetName val="[TIMEOATY.XLS]__10_12_8_248_144"/>
      <sheetName val="[TIMEOATY.XLS]__172_17_31_2_144"/>
      <sheetName val="[TIMEOATY.XLS]_TIMEOATY_XLS_728"/>
      <sheetName val="[TIMEOATY.XLS]_TIMEOATY_XLS_729"/>
      <sheetName val="[TIMEOATY.XLS]_TIMEOATY_XLS_730"/>
      <sheetName val="[TIMEOATY.XLS]_C_V_MQADATA__115"/>
      <sheetName val="[TIMEOATY.XLS]_C_P_MQADATA__115"/>
      <sheetName val="[TIMEOATY.XLS]_TEST_TIMEOAT_115"/>
      <sheetName val="[TIMEOATY.XLS]_D_V_MQADATA__109"/>
      <sheetName val="[TIMEOATY.XLS]_TIMEOATY_XLS_707"/>
      <sheetName val="[TIMEOATY.XLS]_TIMEOATY_XLS_708"/>
      <sheetName val="[TIMEOATY.XLS]_TIMEOATY_XLS_709"/>
      <sheetName val="[TIMEOATY.XLS]_TIMEOATY_XLS_713"/>
      <sheetName val="[TIMEOATY.XLS]_TIMEOATY_XLS_714"/>
      <sheetName val="[TIMEOATY.XLS]_TIMEOATY_XLS_715"/>
      <sheetName val="[TIMEOATY.XLS]_TIMEOATY_XLS_710"/>
      <sheetName val="[TIMEOATY.XLS]_TIMEOATY_XLS_711"/>
      <sheetName val="[TIMEOATY.XLS]_TIMEOATY_XLS_712"/>
      <sheetName val="[TIMEOATY.XLS]_TIMEOATY_XLS_719"/>
      <sheetName val="[TIMEOATY.XLS]_TIMEOATY_XLS_720"/>
      <sheetName val="[TIMEOATY.XLS]_TIMEOATY_XLS_721"/>
      <sheetName val="[TIMEOATY.XLS]_TIMEOATY_XLS_716"/>
      <sheetName val="[TIMEOATY.XLS]_TIMEOATY_XLS_717"/>
      <sheetName val="[TIMEOATY.XLS]_TIMEOATY_XLS_718"/>
      <sheetName val="[TIMEOATY.XLS]_TIMEOATY_XLS_722"/>
      <sheetName val="[TIMEOATY.XLS]_TIMEOATY_XLS_723"/>
      <sheetName val="[TIMEOATY.XLS]_TIMEOATY_XLS_724"/>
      <sheetName val="[TIMEOATY.XLS]__192_168_200_284"/>
      <sheetName val="[TIMEOATY.XLS]__192_168_200_285"/>
      <sheetName val="[TIMEOATY.XLS]__10_12_8_248_143"/>
      <sheetName val="[TIMEOATY.XLS]__172_17_31_2_143"/>
      <sheetName val="[TIMEOATY.XLS]_C_V_MQADATA__114"/>
      <sheetName val="[TIMEOATY.XLS]_C_P_MQADATA__114"/>
      <sheetName val="[TIMEOATY.XLS]_TEST_TIMEOAT_114"/>
      <sheetName val="[TIMEOATY.XLS]_D_V_MQADATA__108"/>
      <sheetName val="[TIMEOATY.XLS]_TIMEOATY_XLS_731"/>
      <sheetName val="[TIMEOATY.XLS]_TIMEOATY_XLS_732"/>
      <sheetName val="[TIMEOATY.XLS]_TIMEOATY_XLS_733"/>
      <sheetName val="[TIMEOATY.XLS]__192_168_200_288"/>
      <sheetName val="[TIMEOATY.XLS]__192_168_200_289"/>
      <sheetName val="[TIMEOATY.XLS]__10_12_8_248_145"/>
      <sheetName val="[TIMEOATY.XLS]__172_17_31_2_145"/>
      <sheetName val="[TIMEOATY.XLS]_TIMEOATY_XLS_740"/>
      <sheetName val="[TIMEOATY.XLS]_TIMEOATY_XLS_741"/>
      <sheetName val="[TIMEOATY.XLS]_TIMEOATY_XLS_742"/>
      <sheetName val="[TIMEOATY.XLS]_C_V_MQADATA__116"/>
      <sheetName val="[TIMEOATY.XLS]_C_P_MQADATA__116"/>
      <sheetName val="[TIMEOATY.XLS]_TEST_TIMEOAT_116"/>
      <sheetName val="[TIMEOATY.XLS]_D_V_MQADATA__110"/>
      <sheetName val="[TIMEOATY.XLS]_TIMEOATY_XLS_734"/>
      <sheetName val="[TIMEOATY.XLS]_TIMEOATY_XLS_735"/>
      <sheetName val="[TIMEOATY.XLS]_TIMEOATY_XLS_736"/>
      <sheetName val="[TIMEOATY.XLS]_TIMEOATY_XLS_737"/>
      <sheetName val="[TIMEOATY.XLS]_TIMEOATY_XLS_738"/>
      <sheetName val="[TIMEOATY.XLS]_TIMEOATY_XLS_739"/>
      <sheetName val="[TIMEOATY.XLS]_MQADATA_TEST_165"/>
      <sheetName val="Pocket"/>
      <sheetName val="Sep"/>
      <sheetName val="ET"/>
      <sheetName val="[TIMEOATY.XLS]_C_V_MQADATA__121"/>
      <sheetName val="[TIMEOATY.XLS]_C_P_MQADATA__121"/>
      <sheetName val="[TIMEOATY.XLS]_TEST_TIMEOAT_121"/>
      <sheetName val="_D_V_MQADATA_T_30"/>
      <sheetName val="_D_V_MQADATA_T_31"/>
      <sheetName val="_D_V_MQADATA_T_32"/>
      <sheetName val="_32"/>
      <sheetName val="_33"/>
      <sheetName val="_34"/>
      <sheetName val="_29"/>
      <sheetName val="_30"/>
      <sheetName val="_31"/>
      <sheetName val="_26"/>
      <sheetName val="_27"/>
      <sheetName val="_28"/>
      <sheetName val="_35"/>
      <sheetName val="_36"/>
      <sheetName val="_37"/>
      <sheetName val="_38"/>
      <sheetName val="_39"/>
      <sheetName val="_40"/>
      <sheetName val="_44"/>
      <sheetName val="_45"/>
      <sheetName val="_46"/>
      <sheetName val="_80"/>
      <sheetName val="_81"/>
      <sheetName val="_82"/>
      <sheetName val="_41"/>
      <sheetName val="_42"/>
      <sheetName val="_43"/>
      <sheetName val="_56"/>
      <sheetName val="_57"/>
      <sheetName val="_58"/>
      <sheetName val="_65"/>
      <sheetName val="_66"/>
      <sheetName val="_67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9"/>
      <sheetName val="_60"/>
      <sheetName val="_61"/>
      <sheetName val="_77"/>
      <sheetName val="_78"/>
      <sheetName val="_79"/>
      <sheetName val="_62"/>
      <sheetName val="_63"/>
      <sheetName val="_64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_MQADATA_TEST__41"/>
      <sheetName val="_V_MQADATA_TES_41"/>
      <sheetName val="_P_MQADATA_TES_41"/>
      <sheetName val="_C_V_MQADATA_T_41"/>
      <sheetName val="_C_P_MQADATA_T_41"/>
      <sheetName val="_TEST_TIMEOATY_40"/>
      <sheetName val="_D_V_MQADATA_T_35"/>
      <sheetName val="_D_V_MQADATA_T_33"/>
      <sheetName val="_D_V_MQADATA_T_34"/>
      <sheetName val="_MQADATA_TEST__43"/>
      <sheetName val="_V_MQADATA_TES_43"/>
      <sheetName val="_P_MQADATA_TES_43"/>
      <sheetName val="_C_V_MQADATA_T_43"/>
      <sheetName val="_C_P_MQADATA_T_43"/>
      <sheetName val="_TEST_TIMEOATY_42"/>
      <sheetName val="_D_V_MQADATA_T_37"/>
      <sheetName val="_MQADATA_TEST__42"/>
      <sheetName val="_V_MQADATA_TES_42"/>
      <sheetName val="_P_MQADATA_TES_42"/>
      <sheetName val="_C_V_MQADATA_T_42"/>
      <sheetName val="_C_P_MQADATA_T_42"/>
      <sheetName val="_TEST_TIMEOATY_41"/>
      <sheetName val="_D_V_MQADATA_T_36"/>
      <sheetName val="_MQADATA_TEST__46"/>
      <sheetName val="_TIMEOATY_XLS_218"/>
      <sheetName val="_TIMEOATY_XLS_219"/>
      <sheetName val="_V_MQADATA_TES_46"/>
      <sheetName val="_P_MQADATA_TES_46"/>
      <sheetName val="_TIMEOATY_XLS_220"/>
      <sheetName val="_C_V_MQADATA_T_46"/>
      <sheetName val="_C_P_MQADATA_T_46"/>
      <sheetName val="_TEST_TIMEOATY_45"/>
      <sheetName val="_D_V_MQADATA_T_40"/>
      <sheetName val="_MQADATA_TEST__44"/>
      <sheetName val="_V_MQADATA_TES_44"/>
      <sheetName val="_P_MQADATA_TES_44"/>
      <sheetName val="_C_V_MQADATA_T_44"/>
      <sheetName val="_C_P_MQADATA_T_44"/>
      <sheetName val="_TEST_TIMEOATY_43"/>
      <sheetName val="_D_V_MQADATA_T_38"/>
      <sheetName val="_MQADATA_TEST__45"/>
      <sheetName val="_V_MQADATA_TES_45"/>
      <sheetName val="_P_MQADATA_TES_45"/>
      <sheetName val="_C_V_MQADATA_T_45"/>
      <sheetName val="_C_P_MQADATA_T_45"/>
      <sheetName val="_TEST_TIMEOATY_44"/>
      <sheetName val="_D_V_MQADATA_T_39"/>
      <sheetName val="_MQADATA_TEST__49"/>
      <sheetName val="_V_MQADATA_TES_49"/>
      <sheetName val="_P_MQADATA_TES_49"/>
      <sheetName val="_C_V_MQADATA_T_49"/>
      <sheetName val="_C_P_MQADATA_T_49"/>
      <sheetName val="_TEST_TIMEOATY_48"/>
      <sheetName val="_D_V_MQADATA_T_43"/>
      <sheetName val="_MQADATA_TEST__47"/>
      <sheetName val="_V_MQADATA_TES_47"/>
      <sheetName val="_P_MQADATA_TES_47"/>
      <sheetName val="_C_V_MQADATA_T_47"/>
      <sheetName val="_C_P_MQADATA_T_47"/>
      <sheetName val="_TEST_TIMEOATY_46"/>
      <sheetName val="_D_V_MQADATA_T_41"/>
      <sheetName val="_MQADATA_TEST__48"/>
      <sheetName val="_V_MQADATA_TES_48"/>
      <sheetName val="_P_MQADATA_TES_48"/>
      <sheetName val="_C_V_MQADATA_T_48"/>
      <sheetName val="_C_P_MQADATA_T_48"/>
      <sheetName val="_TEST_TIMEOATY_47"/>
      <sheetName val="_D_V_MQADATA_T_42"/>
      <sheetName val="_MQADATA_TEST__51"/>
      <sheetName val="_V_MQADATA_TES_51"/>
      <sheetName val="_P_MQADATA_TES_51"/>
      <sheetName val="_C_V_MQADATA_T_51"/>
      <sheetName val="_C_P_MQADATA_T_51"/>
      <sheetName val="_TEST_TIMEOATY_50"/>
      <sheetName val="_D_V_MQADATA_T_45"/>
      <sheetName val="_MQADATA_TEST__50"/>
      <sheetName val="_V_MQADATA_TES_50"/>
      <sheetName val="_P_MQADATA_TES_50"/>
      <sheetName val="_C_V_MQADATA_T_50"/>
      <sheetName val="_C_P_MQADATA_T_50"/>
      <sheetName val="_TEST_TIMEOATY_49"/>
      <sheetName val="_D_V_MQADATA_T_44"/>
      <sheetName val="_MQADATA_TEST__54"/>
      <sheetName val="_TIMEOATY_XLS_221"/>
      <sheetName val="_TIMEOATY_XLS_222"/>
      <sheetName val="_V_MQADATA_TES_54"/>
      <sheetName val="_P_MQADATA_TES_54"/>
      <sheetName val="_TIMEOATY_XLS_223"/>
      <sheetName val="_C_V_MQADATA_T_54"/>
      <sheetName val="_C_P_MQADATA_T_54"/>
      <sheetName val="_TEST_TIMEOATY_53"/>
      <sheetName val="_D_V_MQADATA_T_48"/>
      <sheetName val="_TIMEOATY_XLS_212"/>
      <sheetName val="_TIMEOATY_XLS_213"/>
      <sheetName val="_TIMEOATY_XLS_214"/>
      <sheetName val="_MQADATA_TEST__52"/>
      <sheetName val="_V_MQADATA_TES_52"/>
      <sheetName val="_P_MQADATA_TES_52"/>
      <sheetName val="_C_V_MQADATA_T_52"/>
      <sheetName val="_C_P_MQADATA_T_52"/>
      <sheetName val="_TEST_TIMEOATY_51"/>
      <sheetName val="_D_V_MQADATA_T_46"/>
      <sheetName val="_TIMEOATY_XLS_215"/>
      <sheetName val="_TIMEOATY_XLS_216"/>
      <sheetName val="_TIMEOATY_XLS_217"/>
      <sheetName val="_MQADATA_TEST__53"/>
      <sheetName val="_V_MQADATA_TES_53"/>
      <sheetName val="_P_MQADATA_TES_53"/>
      <sheetName val="_C_V_MQADATA_T_53"/>
      <sheetName val="_C_P_MQADATA_T_53"/>
      <sheetName val="_TEST_TIMEOATY_52"/>
      <sheetName val="_D_V_MQADATA_T_47"/>
      <sheetName val="_TIMEOATY_XLS_227"/>
      <sheetName val="_TIMEOATY_XLS_228"/>
      <sheetName val="_TIMEOATY_XLS_229"/>
      <sheetName val="_MQADATA_TEST__56"/>
      <sheetName val="_V_MQADATA_TES_56"/>
      <sheetName val="_P_MQADATA_TES_56"/>
      <sheetName val="_C_V_MQADATA_T_56"/>
      <sheetName val="_C_P_MQADATA_T_56"/>
      <sheetName val="_TEST_TIMEOATY_55"/>
      <sheetName val="_D_V_MQADATA_T_50"/>
      <sheetName val="_TIMEOATY_XLS_224"/>
      <sheetName val="_TIMEOATY_XLS_225"/>
      <sheetName val="_TIMEOATY_XLS_226"/>
      <sheetName val="_MQADATA_TEST__55"/>
      <sheetName val="_V_MQADATA_TES_55"/>
      <sheetName val="_P_MQADATA_TES_55"/>
      <sheetName val="_C_V_MQADATA_T_55"/>
      <sheetName val="_C_P_MQADATA_T_55"/>
      <sheetName val="_TEST_TIMEOATY_54"/>
      <sheetName val="_D_V_MQADATA_T_49"/>
      <sheetName val="_TIMEOATY_XLS_266"/>
      <sheetName val="_TIMEOATY_XLS_267"/>
      <sheetName val="_TIMEOATY_XLS_268"/>
      <sheetName val="_TIMEOATY_XLS_230"/>
      <sheetName val="_TIMEOATY_XLS_231"/>
      <sheetName val="_TIMEOATY_XLS_232"/>
      <sheetName val="_TIMEOATY_XLS_236"/>
      <sheetName val="_TIMEOATY_XLS_237"/>
      <sheetName val="_TIMEOATY_XLS_238"/>
      <sheetName val="_TIMEOATY_XLS_233"/>
      <sheetName val="_TIMEOATY_XLS_234"/>
      <sheetName val="_TIMEOATY_XLS_235"/>
      <sheetName val="_TIMEOATY_XLS_239"/>
      <sheetName val="_TIMEOATY_XLS_240"/>
      <sheetName val="_TIMEOATY_XLS_241"/>
      <sheetName val="_TIMEOATY_XLS_245"/>
      <sheetName val="_TIMEOATY_XLS_246"/>
      <sheetName val="_TIMEOATY_XLS_247"/>
      <sheetName val="_MQADATA_TEST__58"/>
      <sheetName val="_V_MQADATA_TES_58"/>
      <sheetName val="_TIMEOATY_XLS_263"/>
      <sheetName val="_TIMEOATY_XLS_264"/>
      <sheetName val="_P_MQADATA_TES_58"/>
      <sheetName val="_TIMEOATY_XLS_265"/>
      <sheetName val="_C_V_MQADATA_T_58"/>
      <sheetName val="_C_P_MQADATA_T_58"/>
      <sheetName val="_TEST_TIMEOATY_57"/>
      <sheetName val="_D_V_MQADATA_T_52"/>
      <sheetName val="_TIMEOATY_XLS_242"/>
      <sheetName val="_TIMEOATY_XLS_243"/>
      <sheetName val="_TIMEOATY_XLS_244"/>
      <sheetName val="_MQADATA_TEST__57"/>
      <sheetName val="_V_MQADATA_TES_57"/>
      <sheetName val="_P_MQADATA_TES_57"/>
      <sheetName val="_C_V_MQADATA_T_57"/>
      <sheetName val="_C_P_MQADATA_T_57"/>
      <sheetName val="_TEST_TIMEOATY_56"/>
      <sheetName val="_D_V_MQADATA_T_51"/>
      <sheetName val="_MQADATA_TEST__67"/>
      <sheetName val="_V_MQADATA_TES_67"/>
      <sheetName val="_P_MQADATA_TES_67"/>
      <sheetName val="_C_V_MQADATA_T_67"/>
      <sheetName val="_C_P_MQADATA_T_67"/>
      <sheetName val="_TEST_TIMEOATY_66"/>
      <sheetName val="_D_V_MQADATA_T_61"/>
      <sheetName val="_TIMEOATY_XLS_248"/>
      <sheetName val="_TIMEOATY_XLS_249"/>
      <sheetName val="_TIMEOATY_XLS_250"/>
      <sheetName val="_MQADATA_TEST__59"/>
      <sheetName val="_V_MQADATA_TES_59"/>
      <sheetName val="_P_MQADATA_TES_59"/>
      <sheetName val="_C_V_MQADATA_T_59"/>
      <sheetName val="_C_P_MQADATA_T_59"/>
      <sheetName val="_TEST_TIMEOATY_58"/>
      <sheetName val="_D_V_MQADATA_T_53"/>
      <sheetName val="_TIMEOATY_XLS_251"/>
      <sheetName val="_TIMEOATY_XLS_252"/>
      <sheetName val="_TIMEOATY_XLS_253"/>
      <sheetName val="_MQADATA_TEST__63"/>
      <sheetName val="_V_MQADATA_TES_63"/>
      <sheetName val="_P_MQADATA_TES_63"/>
      <sheetName val="_C_V_MQADATA_T_63"/>
      <sheetName val="_C_P_MQADATA_T_63"/>
      <sheetName val="_TEST_TIMEOATY_62"/>
      <sheetName val="_D_V_MQADATA_T_57"/>
      <sheetName val="_MQADATA_TEST__60"/>
      <sheetName val="_V_MQADATA_TES_60"/>
      <sheetName val="_P_MQADATA_TES_60"/>
      <sheetName val="_C_V_MQADATA_T_60"/>
      <sheetName val="_C_P_MQADATA_T_60"/>
      <sheetName val="_TEST_TIMEOATY_59"/>
      <sheetName val="_D_V_MQADATA_T_54"/>
      <sheetName val="_MQADATA_TEST__61"/>
      <sheetName val="_V_MQADATA_TES_61"/>
      <sheetName val="_P_MQADATA_TES_61"/>
      <sheetName val="_C_V_MQADATA_T_61"/>
      <sheetName val="_C_P_MQADATA_T_61"/>
      <sheetName val="_TEST_TIMEOATY_60"/>
      <sheetName val="_D_V_MQADATA_T_55"/>
      <sheetName val="_MQADATA_TEST__62"/>
      <sheetName val="_V_MQADATA_TES_62"/>
      <sheetName val="_P_MQADATA_TES_62"/>
      <sheetName val="_C_V_MQADATA_T_62"/>
      <sheetName val="_C_P_MQADATA_T_62"/>
      <sheetName val="_TEST_TIMEOATY_61"/>
      <sheetName val="_D_V_MQADATA_T_56"/>
      <sheetName val="_TIMEOATY_XLS_257"/>
      <sheetName val="_TIMEOATY_XLS_258"/>
      <sheetName val="_TIMEOATY_XLS_259"/>
      <sheetName val="_MQADATA_TEST__65"/>
      <sheetName val="_V_MQADATA_TES_65"/>
      <sheetName val="_P_MQADATA_TES_65"/>
      <sheetName val="_C_V_MQADATA_T_65"/>
      <sheetName val="_C_P_MQADATA_T_65"/>
      <sheetName val="_TEST_TIMEOATY_64"/>
      <sheetName val="_D_V_MQADATA_T_59"/>
      <sheetName val="_TIMEOATY_XLS_254"/>
      <sheetName val="_TIMEOATY_XLS_255"/>
      <sheetName val="_TIMEOATY_XLS_256"/>
      <sheetName val="_MQADATA_TEST__64"/>
      <sheetName val="_V_MQADATA_TES_64"/>
      <sheetName val="_P_MQADATA_TES_64"/>
      <sheetName val="_C_V_MQADATA_T_64"/>
      <sheetName val="_C_P_MQADATA_T_64"/>
      <sheetName val="_TEST_TIMEOATY_63"/>
      <sheetName val="_D_V_MQADATA_T_58"/>
      <sheetName val="_TIMEOATY_XLS_260"/>
      <sheetName val="_TIMEOATY_XLS_261"/>
      <sheetName val="_TIMEOATY_XLS_262"/>
      <sheetName val="_MQADATA_TEST__66"/>
      <sheetName val="_V_MQADATA_TES_66"/>
      <sheetName val="_P_MQADATA_TES_66"/>
      <sheetName val="_C_V_MQADATA_T_66"/>
      <sheetName val="_C_P_MQADATA_T_66"/>
      <sheetName val="_TEST_TIMEOATY_65"/>
      <sheetName val="_D_V_MQADATA_T_60"/>
      <sheetName val="_TIMEOATY_XLS_287"/>
      <sheetName val="_TIMEOATY_XLS_288"/>
      <sheetName val="_TIMEOATY_XLS_289"/>
      <sheetName val="_TIMEOATY_XLS_272"/>
      <sheetName val="_TIMEOATY_XLS_273"/>
      <sheetName val="_TIMEOATY_XLS_274"/>
      <sheetName val="_TIMEOATY_XLS_269"/>
      <sheetName val="_TIMEOATY_XLS_270"/>
      <sheetName val="_TIMEOATY_XLS_271"/>
      <sheetName val="_TIMEOATY_XLS_275"/>
      <sheetName val="_TIMEOATY_XLS_276"/>
      <sheetName val="_TIMEOATY_XLS_277"/>
      <sheetName val="_TIMEOATY_XLS_278"/>
      <sheetName val="_TIMEOATY_XLS_279"/>
      <sheetName val="_TIMEOATY_XLS_280"/>
      <sheetName val="_TIMEOATY_XLS_281"/>
      <sheetName val="_TIMEOATY_XLS_282"/>
      <sheetName val="_TIMEOATY_XLS_283"/>
      <sheetName val="_TIMEOATY_XLS_284"/>
      <sheetName val="_TIMEOATY_XLS_285"/>
      <sheetName val="_TIMEOATY_XLS_286"/>
      <sheetName val="_TIMEOATY_XLS_296"/>
      <sheetName val="_TIMEOATY_XLS_297"/>
      <sheetName val="_TIMEOATY_XLS_298"/>
      <sheetName val="_TIMEOATY_XLS_290"/>
      <sheetName val="_TIMEOATY_XLS_291"/>
      <sheetName val="_TIMEOATY_XLS_292"/>
      <sheetName val="_TIMEOATY_XLS_293"/>
      <sheetName val="_TIMEOATY_XLS_294"/>
      <sheetName val="_TIMEOATY_XLS_295"/>
      <sheetName val="_TIMEOATY_XLS_299"/>
      <sheetName val="_TIMEOATY_XLS_300"/>
      <sheetName val="_TIMEOATY_XLS_301"/>
      <sheetName val="[TIMEOATY.XLS]\\192.168.200.1\C"/>
      <sheetName val="[TIMEOATY.XLS]_C_V_MQADATA__118"/>
      <sheetName val="[TIMEOATY.XLS]_C_P_MQADATA__118"/>
      <sheetName val="[TIMEOATY.XLS]_TEST_TIMEOAT_118"/>
      <sheetName val="[TIMEOATY.XLS]_C_V_MQADATA__117"/>
      <sheetName val="[TIMEOATY.XLS]_C_P_MQADATA__117"/>
      <sheetName val="[TIMEOATY.XLS]_TEST_TIMEOAT_117"/>
      <sheetName val="[TIMEOATY.XLS]_C_V_MQADATA__119"/>
      <sheetName val="[TIMEOATY.XLS]_C_P_MQADATA__119"/>
      <sheetName val="[TIMEOATY.XLS]_TEST_TIMEOAT_119"/>
      <sheetName val="[TIMEOATY.XLS]_C_V_MQADATA__120"/>
      <sheetName val="[TIMEOATY.XLS]_C_P_MQADATA__120"/>
      <sheetName val="[TIMEOATY.XLS]_TEST_TIMEOAT_120"/>
      <sheetName val="[TIMEOATY.XLS]_C_V_MQADATA__122"/>
      <sheetName val="[TIMEOATY.XLS]_C_P_MQADATA__122"/>
      <sheetName val="[TIMEOATY.XLS]_TEST_TIMEOAT_122"/>
      <sheetName val="[TIMEOATY.XLS]_D_V_MQADATA__111"/>
      <sheetName val="[TIMEOATY.XLS]_TIMEOATY_XLS_770"/>
      <sheetName val="[TIMEOATY.XLS]_TIMEOATY_XLS_771"/>
      <sheetName val="[TIMEOATY.XLS]_TIMEOATY_XLS_772"/>
      <sheetName val="[TIMEOATY.XLS]_C_V_MQADATA__123"/>
      <sheetName val="[TIMEOATY.XLS]_C_P_MQADATA__123"/>
      <sheetName val="[TIMEOATY.XLS]_TEST_TIMEOAT_123"/>
      <sheetName val="[TIMEOATY.XLS]_D_V_MQADATA__112"/>
      <sheetName val="[TIMEOATY.XLS]__192_168_200_308"/>
      <sheetName val="[TIMEOATY.XLS]__192_168_200_309"/>
      <sheetName val="[TIMEOATY.XLS]__10_12_8_248_155"/>
      <sheetName val="[TIMEOATY.XLS]__172_17_31_2_155"/>
      <sheetName val="[TIMEOATY.XLS]_TIMEOATY_XLS_773"/>
      <sheetName val="[TIMEOATY.XLS]_TIMEOATY_XLS_774"/>
      <sheetName val="[TIMEOATY.XLS]_TIMEOATY_XLS_775"/>
      <sheetName val="[TIMEOATY.XLS]_C_V_MQADATA__133"/>
      <sheetName val="[TIMEOATY.XLS]_C_P_MQADATA__133"/>
      <sheetName val="[TIMEOATY.XLS]_TEST_TIMEOAT_133"/>
      <sheetName val="[TIMEOATY.XLS]_D_V_MQADATA__122"/>
      <sheetName val="[TIMEOATY.XLS]_C_V_MQADATA__124"/>
      <sheetName val="[TIMEOATY.XLS]_C_P_MQADATA__124"/>
      <sheetName val="[TIMEOATY.XLS]_TEST_TIMEOAT_124"/>
      <sheetName val="[TIMEOATY.XLS]_D_V_MQADATA__113"/>
      <sheetName val="[TIMEOATY.XLS]_TIMEOATY_XLS_743"/>
      <sheetName val="[TIMEOATY.XLS]_TIMEOATY_XLS_744"/>
      <sheetName val="[TIMEOATY.XLS]_TIMEOATY_XLS_745"/>
      <sheetName val="[TIMEOATY.XLS]__192_168_200_290"/>
      <sheetName val="[TIMEOATY.XLS]__192_168_200_291"/>
      <sheetName val="[TIMEOATY.XLS]__10_12_8_248_146"/>
      <sheetName val="[TIMEOATY.XLS]__172_17_31_2_146"/>
      <sheetName val="[TIMEOATY.XLS]_TIMEOATY_XLS_746"/>
      <sheetName val="[TIMEOATY.XLS]_TIMEOATY_XLS_747"/>
      <sheetName val="[TIMEOATY.XLS]_TIMEOATY_XLS_748"/>
      <sheetName val="[TIMEOATY.XLS]__192_168_200_292"/>
      <sheetName val="[TIMEOATY.XLS]__192_168_200_293"/>
      <sheetName val="[TIMEOATY.XLS]__10_12_8_248_147"/>
      <sheetName val="[TIMEOATY.XLS]__172_17_31_2_147"/>
      <sheetName val="[TIMEOATY.XLS]_C_V_MQADATA__125"/>
      <sheetName val="[TIMEOATY.XLS]_C_P_MQADATA__125"/>
      <sheetName val="[TIMEOATY.XLS]_TEST_TIMEOAT_125"/>
      <sheetName val="[TIMEOATY.XLS]_D_V_MQADATA__114"/>
      <sheetName val="[TIMEOATY.XLS]_TIMEOATY_XLS_749"/>
      <sheetName val="[TIMEOATY.XLS]_TIMEOATY_XLS_750"/>
      <sheetName val="[TIMEOATY.XLS]_TIMEOATY_XLS_751"/>
      <sheetName val="[TIMEOATY.XLS]__192_168_200_294"/>
      <sheetName val="[TIMEOATY.XLS]__192_168_200_295"/>
      <sheetName val="[TIMEOATY.XLS]__10_12_8_248_148"/>
      <sheetName val="[TIMEOATY.XLS]__172_17_31_2_148"/>
      <sheetName val="[TIMEOATY.XLS]_C_V_MQADATA__126"/>
      <sheetName val="[TIMEOATY.XLS]_C_P_MQADATA__126"/>
      <sheetName val="[TIMEOATY.XLS]_TEST_TIMEOAT_126"/>
      <sheetName val="[TIMEOATY.XLS]_D_V_MQADATA__115"/>
      <sheetName val="[TIMEOATY.XLS]_TIMEOATY_XLS_752"/>
      <sheetName val="[TIMEOATY.XLS]_TIMEOATY_XLS_753"/>
      <sheetName val="[TIMEOATY.XLS]_TIMEOATY_XLS_754"/>
      <sheetName val="[TIMEOATY.XLS]__192_168_200_296"/>
      <sheetName val="[TIMEOATY.XLS]__192_168_200_297"/>
      <sheetName val="[TIMEOATY.XLS]__10_12_8_248_149"/>
      <sheetName val="[TIMEOATY.XLS]__172_17_31_2_149"/>
      <sheetName val="[TIMEOATY.XLS]_C_V_MQADATA__127"/>
      <sheetName val="[TIMEOATY.XLS]_C_P_MQADATA__127"/>
      <sheetName val="[TIMEOATY.XLS]_TEST_TIMEOAT_127"/>
      <sheetName val="[TIMEOATY.XLS]_D_V_MQADATA__116"/>
      <sheetName val="[TIMEOATY.XLS]_TIMEOATY_XLS_755"/>
      <sheetName val="[TIMEOATY.XLS]_TIMEOATY_XLS_756"/>
      <sheetName val="[TIMEOATY.XLS]_TIMEOATY_XLS_757"/>
      <sheetName val="[TIMEOATY.XLS]__192_168_200_298"/>
      <sheetName val="[TIMEOATY.XLS]__192_168_200_299"/>
      <sheetName val="[TIMEOATY.XLS]__10_12_8_248_150"/>
      <sheetName val="[TIMEOATY.XLS]__172_17_31_2_150"/>
      <sheetName val="[TIMEOATY.XLS]_C_V_MQADATA__128"/>
      <sheetName val="[TIMEOATY.XLS]_C_P_MQADATA__128"/>
      <sheetName val="[TIMEOATY.XLS]_TEST_TIMEOAT_128"/>
      <sheetName val="[TIMEOATY.XLS]_D_V_MQADATA__117"/>
      <sheetName val="[TIMEOATY.XLS]_TIMEOATY_XLS_758"/>
      <sheetName val="[TIMEOATY.XLS]_TIMEOATY_XLS_759"/>
      <sheetName val="[TIMEOATY.XLS]_TIMEOATY_XLS_760"/>
      <sheetName val="[TIMEOATY.XLS]__192_168_200_300"/>
      <sheetName val="[TIMEOATY.XLS]__192_168_200_301"/>
      <sheetName val="[TIMEOATY.XLS]__10_12_8_248_151"/>
      <sheetName val="[TIMEOATY.XLS]__172_17_31_2_151"/>
      <sheetName val="[TIMEOATY.XLS]_C_V_MQADATA__129"/>
      <sheetName val="[TIMEOATY.XLS]_C_P_MQADATA__129"/>
      <sheetName val="[TIMEOATY.XLS]_TEST_TIMEOAT_129"/>
      <sheetName val="[TIMEOATY.XLS]_D_V_MQADATA__118"/>
      <sheetName val="[TIMEOATY.XLS]_TIMEOATY_XLS_761"/>
      <sheetName val="[TIMEOATY.XLS]_TIMEOATY_XLS_762"/>
      <sheetName val="[TIMEOATY.XLS]_TIMEOATY_XLS_763"/>
      <sheetName val="[TIMEOATY.XLS]__192_168_200_302"/>
      <sheetName val="[TIMEOATY.XLS]__192_168_200_303"/>
      <sheetName val="[TIMEOATY.XLS]__10_12_8_248_152"/>
      <sheetName val="[TIMEOATY.XLS]__172_17_31_2_152"/>
      <sheetName val="[TIMEOATY.XLS]_C_V_MQADATA__130"/>
      <sheetName val="[TIMEOATY.XLS]_C_P_MQADATA__130"/>
      <sheetName val="[TIMEOATY.XLS]_TEST_TIMEOAT_130"/>
      <sheetName val="[TIMEOATY.XLS]_D_V_MQADATA__119"/>
      <sheetName val="[TIMEOATY.XLS]_TIMEOATY_XLS_764"/>
      <sheetName val="[TIMEOATY.XLS]_TIMEOATY_XLS_765"/>
      <sheetName val="[TIMEOATY.XLS]_TIMEOATY_XLS_766"/>
      <sheetName val="[TIMEOATY.XLS]__192_168_200_304"/>
      <sheetName val="[TIMEOATY.XLS]__192_168_200_305"/>
      <sheetName val="[TIMEOATY.XLS]__10_12_8_248_153"/>
      <sheetName val="[TIMEOATY.XLS]__172_17_31_2_153"/>
      <sheetName val="[TIMEOATY.XLS]_C_V_MQADATA__131"/>
      <sheetName val="[TIMEOATY.XLS]_C_P_MQADATA__131"/>
      <sheetName val="[TIMEOATY.XLS]_TEST_TIMEOAT_131"/>
      <sheetName val="[TIMEOATY.XLS]_D_V_MQADATA__120"/>
      <sheetName val="[TIMEOATY.XLS]_TIMEOATY_XLS_767"/>
      <sheetName val="[TIMEOATY.XLS]_TIMEOATY_XLS_768"/>
      <sheetName val="[TIMEOATY.XLS]_TIMEOATY_XLS_769"/>
      <sheetName val="[TIMEOATY.XLS]__192_168_200_306"/>
      <sheetName val="[TIMEOATY.XLS]__192_168_200_307"/>
      <sheetName val="[TIMEOATY.XLS]__10_12_8_248_154"/>
      <sheetName val="[TIMEOATY.XLS]__172_17_31_2_154"/>
      <sheetName val="[TIMEOATY.XLS]_C_V_MQADATA__132"/>
      <sheetName val="[TIMEOATY.XLS]_C_P_MQADATA__132"/>
      <sheetName val="[TIMEOATY.XLS]_TEST_TIMEOAT_132"/>
      <sheetName val="[TIMEOATY.XLS]_D_V_MQADATA__121"/>
      <sheetName val="[TIMEOATY.XLS]_TIMEOATY_XLS_776"/>
      <sheetName val="[TIMEOATY.XLS]_TIMEOATY_XLS_777"/>
      <sheetName val="[TIMEOATY.XLS]_TIMEOATY_XLS_778"/>
      <sheetName val="[TIMEOATY.XLS]__192_168_200_310"/>
      <sheetName val="[TIMEOATY.XLS]__192_168_200_311"/>
      <sheetName val="[TIMEOATY.XLS]__10_12_8_248_156"/>
      <sheetName val="[TIMEOATY.XLS]__172_17_31_2_156"/>
      <sheetName val="[TIMEOATY.XLS]_TIMEOATY_XLS_779"/>
      <sheetName val="[TIMEOATY.XLS]_TIMEOATY_XLS_780"/>
      <sheetName val="[TIMEOATY.XLS]_TIMEOATY_XLS_781"/>
      <sheetName val="[TIMEOATY.XLS]_C_V_MQADATA__134"/>
      <sheetName val="[TIMEOATY.XLS]_C_P_MQADATA__134"/>
      <sheetName val="[TIMEOATY.XLS]_TEST_TIMEOAT_134"/>
      <sheetName val="[TIMEOATY.XLS]_D_V_MQADATA__123"/>
      <sheetName val="[TIMEOATY.XLS]_TIMEOATY_XLS_782"/>
      <sheetName val="[TIMEOATY.XLS]_TIMEOATY_XLS_783"/>
      <sheetName val="[TIMEOATY.XLS]_TIMEOATY_XLS_784"/>
      <sheetName val="[TIMEOATY.XLS]__192_168_200_312"/>
      <sheetName val="[TIMEOATY.XLS]__192_168_200_313"/>
      <sheetName val="[TIMEOATY.XLS]__10_12_8_248_157"/>
      <sheetName val="[TIMEOATY.XLS]__172_17_31_2_157"/>
      <sheetName val="[TIMEOATY.XLS]_TIMEOATY_XLS_785"/>
      <sheetName val="[TIMEOATY.XLS]_TIMEOATY_XLS_786"/>
      <sheetName val="[TIMEOATY.XLS]_TIMEOATY_XLS_787"/>
      <sheetName val="[TIMEOATY.XLS]_C_V_MQADATA__135"/>
      <sheetName val="[TIMEOATY.XLS]_C_P_MQADATA__135"/>
      <sheetName val="[TIMEOATY.XLS]_TEST_TIMEOAT_135"/>
      <sheetName val="[TIMEOATY.XLS]_D_V_MQADATA__124"/>
      <sheetName val="[TIMEOATY.XLS]_TIMEOATY_XLS_794"/>
      <sheetName val="[TIMEOATY.XLS]_TIMEOATY_XLS_795"/>
      <sheetName val="[TIMEOATY.XLS]_TIMEOATY_XLS_796"/>
      <sheetName val="[TIMEOATY.XLS]_TIMEOATY_XLS_788"/>
      <sheetName val="[TIMEOATY.XLS]_TIMEOATY_XLS_789"/>
      <sheetName val="[TIMEOATY.XLS]_TIMEOATY_XLS_790"/>
      <sheetName val="[TIMEOATY.XLS]_TIMEOATY_XLS_791"/>
      <sheetName val="[TIMEOATY.XLS]_TIMEOATY_XLS_792"/>
      <sheetName val="[TIMEOATY.XLS]_TIMEOATY_XLS_793"/>
      <sheetName val="[TIMEOATY.XLS]_TIMEOATY_XLS_797"/>
      <sheetName val="[TIMEOATY.XLS]_TIMEOATY_XLS_798"/>
      <sheetName val="[TIMEOATY.XLS]_TIMEOATY_XLS_799"/>
      <sheetName val="[TIMEOATY.XLS]_TIMEOATY_XLS_800"/>
      <sheetName val="[TIMEOATY.XLS]_TIMEOATY_XLS_801"/>
      <sheetName val="[TIMEOATY.XLS]_TIMEOATY_XLS_802"/>
      <sheetName val="[TIMEOATY.XLS]_C_V_MQADATA__136"/>
      <sheetName val="[TIMEOATY.XLS]_C_P_MQADATA__136"/>
      <sheetName val="[TIMEOATY.XLS]_TEST_TIMEOAT_136"/>
      <sheetName val="[TIMEOATY.XLS]__192_168_200_314"/>
      <sheetName val="[TIMEOATY.XLS]__192_168_200_315"/>
      <sheetName val="[TIMEOATY.XLS]__10_12_8_248_158"/>
      <sheetName val="[TIMEOATY.XLS]_D_V_MQADATA__125"/>
      <sheetName val="[TIMEOATY.XLS]__172_17_31_2_158"/>
      <sheetName val="[TIMEOATY.XLS]__192_168_200_316"/>
      <sheetName val="[TIMEOATY.XLS]__192_168_200_317"/>
      <sheetName val="[TIMEOATY.XLS]__10_12_8_248_159"/>
      <sheetName val="[TIMEOATY.XLS]__172_17_31_2_159"/>
      <sheetName val="[TIMEOATY.XLS]_TIMEOATY_XLS_803"/>
      <sheetName val="[TIMEOATY.XLS]_TIMEOATY_XLS_804"/>
      <sheetName val="[TIMEOATY.XLS]_TIMEOATY_XLS_805"/>
      <sheetName val="[TIMEOATY.XLS]_C_V_MQADATA__137"/>
      <sheetName val="[TIMEOATY.XLS]_C_P_MQADATA__137"/>
      <sheetName val="[TIMEOATY.XLS]_TEST_TIMEOAT_137"/>
      <sheetName val="[TIMEOATY.XLS]_D_V_MQADATA__126"/>
      <sheetName val="[TIMEOATY.XLS]__192_168_200_318"/>
      <sheetName val="[TIMEOATY.XLS]__192_168_200_319"/>
      <sheetName val="[TIMEOATY.XLS]__10_12_8_248_160"/>
      <sheetName val="[TIMEOATY.XLS]__172_17_31_2_160"/>
      <sheetName val="[TIMEOATY.XLS]_TIMEOATY_XLS_806"/>
      <sheetName val="[TIMEOATY.XLS]_TIMEOATY_XLS_807"/>
      <sheetName val="[TIMEOATY.XLS]_TIMEOATY_XLS_808"/>
      <sheetName val="[TIMEOATY.XLS]_C_V_MQADATA__138"/>
      <sheetName val="[TIMEOATY.XLS]_C_P_MQADATA__138"/>
      <sheetName val="[TIMEOATY.XLS]_TEST_TIMEOAT_138"/>
      <sheetName val="[TIMEOATY.XLS]_D_V_MQADATA__127"/>
      <sheetName val="[TIMEOATY.XLS]__192_168_200_320"/>
      <sheetName val="[TIMEOATY.XLS]__192_168_200_321"/>
      <sheetName val="[TIMEOATY.XLS]__10_12_8_248_161"/>
      <sheetName val="[TIMEOATY.XLS]__172_17_31_2_161"/>
      <sheetName val="[TIMEOATY.XLS]_TIMEOATY_XLS_809"/>
      <sheetName val="[TIMEOATY.XLS]_TIMEOATY_XLS_810"/>
      <sheetName val="[TIMEOATY.XLS]_TIMEOATY_XLS_811"/>
      <sheetName val="[TIMEOATY.XLS]_C_V_MQADATA__139"/>
      <sheetName val="[TIMEOATY.XLS]_C_P_MQADATA__139"/>
      <sheetName val="[TIMEOATY.XLS]_TEST_TIMEOAT_139"/>
      <sheetName val="[TIMEOATY.XLS]_D_V_MQADATA__128"/>
      <sheetName val="[TIMEOATY.XLS]_TIMEOATY_XLS_818"/>
      <sheetName val="[TIMEOATY.XLS]_TIMEOATY_XLS_819"/>
      <sheetName val="[TIMEOATY.XLS]_TIMEOATY_XLS_820"/>
      <sheetName val="[TIMEOATY.XLS]_C_V_MQADATA__141"/>
      <sheetName val="[TIMEOATY.XLS]_C_P_MQADATA__141"/>
      <sheetName val="[TIMEOATY.XLS]_TEST_TIMEOAT_141"/>
      <sheetName val="[TIMEOATY.XLS]__192_168_200_324"/>
      <sheetName val="[TIMEOATY.XLS]__192_168_200_325"/>
      <sheetName val="[TIMEOATY.XLS]__10_12_8_248_163"/>
      <sheetName val="[TIMEOATY.XLS]_D_V_MQADATA__130"/>
      <sheetName val="[TIMEOATY.XLS]__172_17_31_2_163"/>
      <sheetName val="[TIMEOATY.XLS]_TIMEOATY_XLS_815"/>
      <sheetName val="[TIMEOATY.XLS]_TIMEOATY_XLS_816"/>
      <sheetName val="[TIMEOATY.XLS]_TIMEOATY_XLS_817"/>
      <sheetName val="[TIMEOATY.XLS]_C_V_MQADATA__140"/>
      <sheetName val="[TIMEOATY.XLS]_C_P_MQADATA__140"/>
      <sheetName val="[TIMEOATY.XLS]_TEST_TIMEOAT_140"/>
      <sheetName val="[TIMEOATY.XLS]__192_168_200_322"/>
      <sheetName val="[TIMEOATY.XLS]__192_168_200_323"/>
      <sheetName val="[TIMEOATY.XLS]__10_12_8_248_162"/>
      <sheetName val="[TIMEOATY.XLS]_D_V_MQADATA__129"/>
      <sheetName val="[TIMEOATY.XLS]__172_17_31_2_162"/>
      <sheetName val="[TIMEOATY.XLS]_TIMEOATY_XLS_812"/>
      <sheetName val="[TIMEOATY.XLS]_TIMEOATY_XLS_813"/>
      <sheetName val="[TIMEOATY.XLS]_TIMEOATY_XLS_814"/>
      <sheetName val="[TIMEOATY.XLS]__192_168_200_326"/>
      <sheetName val="[TIMEOATY.XLS]__192_168_200_327"/>
      <sheetName val="[TIMEOATY.XLS]__10_12_8_248_164"/>
      <sheetName val="[TIMEOATY.XLS]__172_17_31_2_164"/>
      <sheetName val="[TIMEOATY.XLS]_TIMEOATY_XLS_821"/>
      <sheetName val="[TIMEOATY.XLS]_TIMEOATY_XLS_822"/>
      <sheetName val="[TIMEOATY.XLS]_TIMEOATY_XLS_823"/>
      <sheetName val="[TIMEOATY.XLS]_C_V_MQADATA__142"/>
      <sheetName val="[TIMEOATY.XLS]_C_P_MQADATA__142"/>
      <sheetName val="[TIMEOATY.XLS]_TEST_TIMEOAT_142"/>
      <sheetName val="[TIMEOATY.XLS]_D_V_MQADATA__131"/>
      <sheetName val="[TIMEOATY.XLS]_MQADATA_TEST_156"/>
      <sheetName val="[TIMEOATY.XLS]_MQADATA_TEST_155"/>
      <sheetName val="[TIMEOATY.XLS]_MQADATA_TEST_157"/>
      <sheetName val="[TIMEOATY.XLS]_MQADATA_TEST_158"/>
      <sheetName val="[TIMEOATY.XLS]_MQADATA_TEST_159"/>
      <sheetName val="[TIMEOATY.XLS]_MQADATA_TEST_160"/>
      <sheetName val="[TIMEOATY.XLS]_MQADATA_TEST_162"/>
      <sheetName val="[TIMEOATY.XLS]_MQADATA_TEST_161"/>
      <sheetName val="[TIMEOATY.XLS]_MQADATA_TEST_163"/>
      <sheetName val="[TIMEOATY.XLS]_MQADATA_TEST_164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 refreshError="1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 refreshError="1"/>
      <sheetData sheetId="1522" refreshError="1"/>
      <sheetData sheetId="1523" refreshError="1"/>
      <sheetData sheetId="1524" refreshError="1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 refreshError="1"/>
      <sheetData sheetId="1553" refreshError="1"/>
      <sheetData sheetId="1554" refreshError="1"/>
      <sheetData sheetId="1555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/>
      <sheetData sheetId="2142"/>
      <sheetData sheetId="2143"/>
      <sheetData sheetId="2144"/>
      <sheetData sheetId="2145"/>
      <sheetData sheetId="2146"/>
      <sheetData sheetId="2147" refreshError="1"/>
      <sheetData sheetId="2148" refreshError="1"/>
      <sheetData sheetId="2149" refreshError="1"/>
      <sheetData sheetId="2150" refreshError="1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 refreshError="1"/>
      <sheetData sheetId="2178" refreshError="1"/>
      <sheetData sheetId="2179" refreshError="1"/>
      <sheetData sheetId="2180" refreshError="1"/>
      <sheetData sheetId="2181"/>
      <sheetData sheetId="2182"/>
      <sheetData sheetId="2183"/>
      <sheetData sheetId="2184"/>
      <sheetData sheetId="2185" refreshError="1"/>
      <sheetData sheetId="2186" refreshError="1"/>
      <sheetData sheetId="2187" refreshError="1"/>
      <sheetData sheetId="2188"/>
      <sheetData sheetId="2189" refreshError="1"/>
      <sheetData sheetId="2190" refreshError="1"/>
      <sheetData sheetId="2191" refreshError="1"/>
      <sheetData sheetId="2192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/>
      <sheetData sheetId="2672"/>
      <sheetData sheetId="2673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0612B0609015-1"/>
      <sheetName val="0612B0609027-1"/>
      <sheetName val="Fading_Data"/>
      <sheetName val="CD_Data"/>
      <sheetName val="C&amp;D_Data"/>
      <sheetName val="TIMEOATY.XLS"/>
      <sheetName val="ISRDATA"/>
      <sheetName val="MPS Q3 FY04"/>
      <sheetName val="MPS Q4 FY04"/>
      <sheetName val="125PIECE"/>
      <sheetName val="_MQADATA_TEST_TIMEOATY.XLS"/>
      <sheetName val="Data"/>
      <sheetName val="조절Panel"/>
      <sheetName val="TMK280-02"/>
      <sheetName val="Meal ticket"/>
      <sheetName val="Rate"/>
      <sheetName val="11168IM1"/>
      <sheetName val="11168SH4"/>
      <sheetName val="TTL Yield"/>
      <sheetName val="Sheet 2"/>
      <sheetName val="\\17.91.99.189\V\MQADATA\TEST\T"/>
      <sheetName val="\\17.91.99.189\P\MQADATA\TEST\T"/>
      <sheetName val="총집계내역"/>
      <sheetName val="Database"/>
      <sheetName val="\\sslrd-ser-rfile\rfile\TEST\TI"/>
      <sheetName val="\@\nd-ri-rfile\rfile\MQADATA\TE"/>
      <sheetName val="Sheet371"/>
      <sheetName val="재무기준"/>
      <sheetName val="OK2x"/>
      <sheetName val="Sheet1"/>
      <sheetName val="상용"/>
      <sheetName val="Sheet2"/>
      <sheetName val="DBL LPG시험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605ML91"/>
      <sheetName val="REPAIR DATA - CONTAINER #5"/>
      <sheetName val="FA-LISTING"/>
      <sheetName val="Ripple voltage"/>
      <sheetName val="#REF!"/>
      <sheetName val="Data lists"/>
      <sheetName val="\@\sslrd-ser-rfile\rfile\C\V\MQ"/>
      <sheetName val="__17.91.99.189_V_MQADATA_TEST_T"/>
      <sheetName val="__17.91.99.189_P_MQADATA_TEST_T"/>
      <sheetName val="\\ssl-rfile\rfile\V\MQADATA\TES"/>
      <sheetName val="\\ssl-rfile\rfile\P\MQADATA\TES"/>
      <sheetName val="\Documents and Settings\VIOLA.Y"/>
      <sheetName val="\C\Documents and Settings\VIOLA"/>
      <sheetName val="\C\C\Documents and Settings\VIO"/>
      <sheetName val="\C\C\C\Documents and Settings\V"/>
      <sheetName val="\C\C\C\C\Documents and Settings"/>
      <sheetName val="\C\C\C\C\C\Documents and Settin"/>
      <sheetName val="\C\C\C\C\C\C\Documents and Sett"/>
      <sheetName val="\sslrd-ser-rfile\rfile\C\V\MQAD"/>
      <sheetName val="[TIMEOATY.XLS][TIMEOATY.XLS]_20"/>
      <sheetName val="[TIMEOATY.XLS][TIMEOATY.XLS]_21"/>
      <sheetName val="[TIMEOATY.XLS][TIMEOATY.XLS]_22"/>
      <sheetName val="[TIMEOATY.XLS][TIMEOATY.XLS]\TI"/>
      <sheetName val="[TIMEOATY.XLS][TIMEOATY.XLS]\D\"/>
      <sheetName val="[TIMEOATY.XLS]\MQADATA\TEST\TIM"/>
      <sheetName val="[TIMEOATY.XLS]\V\MQADATA\TEST\T"/>
      <sheetName val="[TIMEOATY.XLS]\P\MQADATA\TEST\T"/>
      <sheetName val="[TIMEOATY.XLS]\C\V\MQADATA\TEST"/>
      <sheetName val="[TIMEOATY.XLS]\C\P\MQADATA\TEST"/>
      <sheetName val="[TIMEOATY.XLS]_MQADATA_TEST_T_5"/>
      <sheetName val="[TIMEOATY.XLS]_V_MQADATA_TEST_5"/>
      <sheetName val="[TIMEOATY.XLS][TIMEOATY.XLS]_26"/>
      <sheetName val="[TIMEOATY.XLS][TIMEOATY.XLS]_27"/>
      <sheetName val="[TIMEOATY.XLS]_P_MQADATA_TEST_5"/>
      <sheetName val="[TIMEOATY.XLS]_C_V_MQADATA_TE_5"/>
      <sheetName val="[TIMEOATY.XLS]_C_P_MQADATA_TE_5"/>
      <sheetName val="[TIMEOATY.XLS][TIMEOATY.XLS]_28"/>
      <sheetName val="[TIMEOATY.XLS]_MQADATA_TEST_T_2"/>
      <sheetName val="[TIMEOATY.XLS]_V_MQADATA_TEST_2"/>
      <sheetName val="[TIMEOATY.XLS][TIMEOATY.XLS]__5"/>
      <sheetName val="[TIMEOATY.XLS][TIMEOATY.XLS]__6"/>
      <sheetName val="[TIMEOATY.XLS]_P_MQADATA_TEST_2"/>
      <sheetName val="[TIMEOATY.XLS]_C_V_MQADATA_TE_2"/>
      <sheetName val="[TIMEOATY.XLS]_C_P_MQADATA_TE_2"/>
      <sheetName val="[TIMEOATY.XLS][TIMEOATY.XLS]__7"/>
      <sheetName val="[TIMEOATY.XLS][TIMEOATY.XLS]__2"/>
      <sheetName val="[TIMEOATY.XLS][TIMEOATY.XLS]__3"/>
      <sheetName val="[TIMEOATY.XLS][TIMEOATY.XLS]__4"/>
      <sheetName val="[TIMEOATY.XLS]_MQADATA_TEST_T_3"/>
      <sheetName val="[TIMEOATY.XLS]_V_MQADATA_TEST_3"/>
      <sheetName val="[TIMEOATY.XLS][TIMEOATY.XLS]_11"/>
      <sheetName val="[TIMEOATY.XLS][TIMEOATY.XLS]_12"/>
      <sheetName val="[TIMEOATY.XLS]_P_MQADATA_TEST_3"/>
      <sheetName val="[TIMEOATY.XLS]_C_V_MQADATA_TE_3"/>
      <sheetName val="[TIMEOATY.XLS]_C_P_MQADATA_TE_3"/>
      <sheetName val="[TIMEOATY.XLS][TIMEOATY.XLS]_13"/>
      <sheetName val="[TIMEOATY.XLS][TIMEOATY.XLS]__8"/>
      <sheetName val="[TIMEOATY.XLS][TIMEOATY.XLS]__9"/>
      <sheetName val="[TIMEOATY.XLS][TIMEOATY.XLS]_10"/>
      <sheetName val="[TIMEOATY.XLS][TIMEOATY.XLS]_14"/>
      <sheetName val="[TIMEOATY.XLS][TIMEOATY.XLS]_15"/>
      <sheetName val="[TIMEOATY.XLS][TIMEOATY.XLS]_16"/>
      <sheetName val="[TIMEOATY.XLS][TIMEOATY.XLS]_17"/>
      <sheetName val="[TIMEOATY.XLS][TIMEOATY.XLS]_18"/>
      <sheetName val="[TIMEOATY.XLS][TIMEOATY.XLS]_19"/>
      <sheetName val="[TIMEOATY.XLS]_MQADATA_TEST_T_4"/>
      <sheetName val="[TIMEOATY.XLS]_V_MQADATA_TEST_4"/>
      <sheetName val="[TIMEOATY.XLS]_P_MQADATA_TEST_4"/>
      <sheetName val="[TIMEOATY.XLS]_C_V_MQADATA_TE_4"/>
      <sheetName val="[TIMEOATY.XLS]_C_P_MQADATA_TE_4"/>
      <sheetName val="[TIMEOATY.XLS][TIMEOATY.XLS]_23"/>
      <sheetName val="[TIMEOATY.XLS][TIMEOATY.XLS]_24"/>
      <sheetName val="[TIMEOATY.XLS][TIMEOATY.XLS]_25"/>
      <sheetName val="[TIMEOATY.XLS][TIMEOATY.XLS]_29"/>
      <sheetName val="[TIMEOATY.XLS][TIMEOATY.XLS]_30"/>
      <sheetName val="[TIMEOATY.XLS][TIMEOATY.XLS]_31"/>
      <sheetName val="[TIMEOATY.XLS]\TIMEOATY.XLS"/>
      <sheetName val="[TIMEOATY.XLS]\D\TIMEOATY.XLS"/>
      <sheetName val="[TIMEOATY.XLS]\D\D\TIMEOATY.XLS"/>
      <sheetName val="[TIMEOATY.XLS][TIMEOATY.XLS]_32"/>
      <sheetName val="[TIMEOATY.XLS][TIMEOATY.XLS]_33"/>
      <sheetName val="[TIMEOATY.XLS][TIMEOATY.XLS]_34"/>
      <sheetName val="[TIMEOATY.XLS][TIMEOATY.XLS]_38"/>
      <sheetName val="[TIMEOATY.XLS][TIMEOATY.XLS]_39"/>
      <sheetName val="[TIMEOATY.XLS][TIMEOATY.XLS]_40"/>
      <sheetName val="[TIMEOATY.XLS][TIMEOATY.XLS]_35"/>
      <sheetName val="[TIMEOATY.XLS][TIMEOATY.XLS]_36"/>
      <sheetName val="[TIMEOATY.XLS][TIMEOATY.XLS]_37"/>
      <sheetName val="\MQADATA\TEST\TIMEOATY.XLS"/>
      <sheetName val="\V\MQADATA\TEST\TIMEOATY.XLS"/>
      <sheetName val="\TIMEOATY.XLS"/>
      <sheetName val="\D\TIMEOATY.XLS"/>
      <sheetName val="\P\MQADATA\TEST\TIMEOATY.XLS"/>
      <sheetName val="\C\V\MQADATA\TEST\TIMEOATY.XLS"/>
      <sheetName val="\C\P\MQADATA\TEST\TIMEOATY.XLS"/>
      <sheetName val="\D\D\TIMEOATY.XLS"/>
      <sheetName val="_V_MQADATA_TEST_TIMEOATY.XLS"/>
      <sheetName val="_TIMEOATY.XLS"/>
      <sheetName val="_D_TIMEOATY.XLS"/>
      <sheetName val="__sslrd-ser-rfile_rfile_TEST_TI"/>
      <sheetName val="液"/>
      <sheetName val="pe"/>
      <sheetName val="_P_MQADATA_TEST_TIMEOATY.XLS"/>
      <sheetName val="_@_nd-ri-rfile_rfile_MQADATA_TE"/>
      <sheetName val="\sslrd-ser-rfile\rfile\C\@\sslr"/>
      <sheetName val="\\SSLRD-ENG-RFILE\Rfile\P\MQADA"/>
      <sheetName val="\\ssl-file\V\MQADATA\TEST\TIMEO"/>
      <sheetName val="\\sgsdspc6111\V\MQADATA\TEST\TI"/>
      <sheetName val="\\sgsdspc6111\P\MQADATA\TEST\TI"/>
      <sheetName val="\\192.168.200.1\C\V\MQADATA\TES"/>
      <sheetName val="\\192.168.200.1\V\MQADATA\TEST\"/>
      <sheetName val="\\192.168.200.1\C\P\MQADATA\TES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Input commodity fallout"/>
      <sheetName val="Reporting"/>
      <sheetName val="Physical Description"/>
      <sheetName val="Data List"/>
      <sheetName val="S_H"/>
      <sheetName val="Y_H"/>
      <sheetName val="\Users\LG\AppData\Local\Microso"/>
      <sheetName val="\C\Users\LG\AppData\Local\Micro"/>
      <sheetName val="Extraction Elga"/>
      <sheetName val="\C\@\sslrd-ser-rfile\rfile\C\V\"/>
      <sheetName val="OPERATION_MEETING"/>
      <sheetName val="\MQADATA\TEST\TIMEOATY_XLS"/>
      <sheetName val="TIMEOATY_XLS"/>
      <sheetName val="MPS_Q3_FY04"/>
      <sheetName val="MPS_Q4_FY04"/>
      <sheetName val="_MQADATA_TEST_TIMEOATY_XLS"/>
      <sheetName val="Meal_ticket"/>
      <sheetName val="TTL_Yield"/>
      <sheetName val="\V\MQADATA\TEST\TIMEOATY_XLS"/>
      <sheetName val="Sheet_2"/>
      <sheetName val="\\17_91_99_189\V\MQADATA\TEST\T"/>
      <sheetName val="\\17_91_99_189\P\MQADATA\TEST\T"/>
      <sheetName val="\TIMEOATY_XLS"/>
      <sheetName val="\D\TIMEOATY_XLS"/>
      <sheetName val="Ripple_voltage"/>
      <sheetName val="\P\MQADATA\TEST\TIMEOATY_XLS"/>
      <sheetName val="DBL_LPG시험"/>
      <sheetName val="REPAIR_DATA_-_CONTAINER_#5"/>
      <sheetName val="Data_lists"/>
      <sheetName val="__17_91_99_189_V_MQADATA_TEST_T"/>
      <sheetName val="__17_91_99_189_P_MQADATA_TEST_T"/>
      <sheetName val="\D\D\TIMEOATY_XLS"/>
      <sheetName val="\C\V\MQADATA\TEST\TIMEOATY_XLS"/>
      <sheetName val="\C\P\MQADATA\TEST\TIMEOATY_XLS"/>
      <sheetName val="\Documents_and_Settings\VIOLA_Y"/>
      <sheetName val="\C\Documents_and_Settings\VIOLA"/>
      <sheetName val="\C\C\Documents_and_Settings\VIO"/>
      <sheetName val="\C\C\C\Documents_and_Settings\V"/>
      <sheetName val="\C\C\C\C\Documents_and_Settings"/>
      <sheetName val="\C\C\C\C\C\Documents_and_Settin"/>
      <sheetName val="\C\C\C\C\C\C\Documents_and_Sett"/>
      <sheetName val="_TIMEOATY_XLS"/>
      <sheetName val="_D_TIMEOATY_XLS"/>
      <sheetName val="_V_MQADATA_TEST_TIMEOATY_XLS"/>
      <sheetName val="_P_MQADATA_TEST_TIMEOATY_XLS"/>
      <sheetName val="\TEST\TIMEOATY_XLS"/>
      <sheetName val="\\192_168_200_1\C\V\MQADATA\TES"/>
      <sheetName val="\\192_168_200_1\V\MQADATA\TEST\"/>
      <sheetName val="\\192_168_200_1\C\P\MQADATA\TES"/>
      <sheetName val="Input_commodity_fallout"/>
      <sheetName val="Physical_Description"/>
      <sheetName val="Data_List"/>
      <sheetName val="\\17_91_41_171\server\V\MQADATA"/>
      <sheetName val="\\17_91_41_171\server\P\MQADATA"/>
      <sheetName val="OPERATION_MEETING1"/>
      <sheetName val="\MQADATA\TEST\TIMEOATY_XLS1"/>
      <sheetName val="TIMEOATY_XLS1"/>
      <sheetName val="MPS_Q3_FY041"/>
      <sheetName val="MPS_Q4_FY041"/>
      <sheetName val="_MQADATA_TEST_TIMEOATY_XLS1"/>
      <sheetName val="Meal_ticket1"/>
      <sheetName val="TTL_Yield1"/>
      <sheetName val="\V\MQADATA\TEST\TIMEOATY_XLS1"/>
      <sheetName val="Sheet_21"/>
      <sheetName val="\\17_91_99_189\V\MQADATA\TEST\1"/>
      <sheetName val="\\17_91_99_189\P\MQADATA\TEST\1"/>
      <sheetName val="\TIMEOATY_XLS1"/>
      <sheetName val="\D\TIMEOATY_XLS1"/>
      <sheetName val="Ripple_voltage1"/>
      <sheetName val="\P\MQADATA\TEST\TIMEOATY_XLS1"/>
      <sheetName val="DBL_LPG시험1"/>
      <sheetName val="REPAIR_DATA_-_CONTAINER_#51"/>
      <sheetName val="Data_lists1"/>
      <sheetName val="__17_91_99_189_V_MQADATA_TEST_1"/>
      <sheetName val="__17_91_99_189_P_MQADATA_TEST_1"/>
      <sheetName val="\D\D\TIMEOATY_XLS1"/>
      <sheetName val="\C\V\MQADATA\TEST\TIMEOATY_XLS1"/>
      <sheetName val="\C\P\MQADATA\TEST\TIMEOATY_XLS1"/>
      <sheetName val="\Documents_and_Settings\VIOLA_1"/>
      <sheetName val="\C\Documents_and_Settings\VIOL1"/>
      <sheetName val="\C\C\Documents_and_Settings\VI1"/>
      <sheetName val="\C\C\C\Documents_and_Settings\1"/>
      <sheetName val="\C\C\C\C\Documents_and_Setting1"/>
      <sheetName val="\C\C\C\C\C\Documents_and_Setti1"/>
      <sheetName val="\C\C\C\C\C\C\Documents_and_Set1"/>
      <sheetName val="_TIMEOATY_XLS1"/>
      <sheetName val="_D_TIMEOATY_XLS1"/>
      <sheetName val="_V_MQADATA_TEST_TIMEOATY_XLS1"/>
      <sheetName val="_P_MQADATA_TEST_TIMEOATY_XLS1"/>
      <sheetName val="\TEST\TIMEOATY_XLS1"/>
      <sheetName val="\\192_168_200_1\C\V\MQADATA\TE1"/>
      <sheetName val="\\192_168_200_1\V\MQADATA\TEST1"/>
      <sheetName val="\\192_168_200_1\C\P\MQADATA\TE1"/>
      <sheetName val="Input_commodity_fallout1"/>
      <sheetName val="Physical_Description1"/>
      <sheetName val="Data_List1"/>
      <sheetName val="\\17_91_41_171\server\V\MQADAT1"/>
      <sheetName val="\\17_91_41_171\server\P\MQADAT1"/>
      <sheetName val="OPERATION_MEETING2"/>
      <sheetName val="\MQADATA\TEST\TIMEOATY_XLS2"/>
      <sheetName val="TIMEOATY_XLS2"/>
      <sheetName val="MPS_Q3_FY042"/>
      <sheetName val="MPS_Q4_FY042"/>
      <sheetName val="_MQADATA_TEST_TIMEOATY_XLS2"/>
      <sheetName val="Meal_ticket2"/>
      <sheetName val="TTL_Yield2"/>
      <sheetName val="\V\MQADATA\TEST\TIMEOATY_XLS2"/>
      <sheetName val="Sheet_22"/>
      <sheetName val="\\17_91_99_189\V\MQADATA\TEST\2"/>
      <sheetName val="\\17_91_99_189\P\MQADATA\TEST\2"/>
      <sheetName val="\TIMEOATY_XLS2"/>
      <sheetName val="\D\TIMEOATY_XLS2"/>
      <sheetName val="Ripple_voltage2"/>
      <sheetName val="\P\MQADATA\TEST\TIMEOATY_XLS2"/>
      <sheetName val="DBL_LPG시험2"/>
      <sheetName val="REPAIR_DATA_-_CONTAINER_#52"/>
      <sheetName val="Data_lists2"/>
      <sheetName val="__17_91_99_189_V_MQADATA_TEST_2"/>
      <sheetName val="__17_91_99_189_P_MQADATA_TEST_2"/>
      <sheetName val="\D\D\TIMEOATY_XLS2"/>
      <sheetName val="\C\V\MQADATA\TEST\TIMEOATY_XLS2"/>
      <sheetName val="\C\P\MQADATA\TEST\TIMEOATY_XLS2"/>
      <sheetName val="\Documents_and_Settings\VIOLA_2"/>
      <sheetName val="\C\Documents_and_Settings\VIOL2"/>
      <sheetName val="\C\C\Documents_and_Settings\VI2"/>
      <sheetName val="\C\C\C\Documents_and_Settings\2"/>
      <sheetName val="\C\C\C\C\Documents_and_Setting2"/>
      <sheetName val="\C\C\C\C\C\Documents_and_Setti2"/>
      <sheetName val="\C\C\C\C\C\C\Documents_and_Set2"/>
      <sheetName val="_TIMEOATY_XLS2"/>
      <sheetName val="_D_TIMEOATY_XLS2"/>
      <sheetName val="_V_MQADATA_TEST_TIMEOATY_XLS2"/>
      <sheetName val="_P_MQADATA_TEST_TIMEOATY_XLS2"/>
      <sheetName val="\TEST\TIMEOATY_XLS2"/>
      <sheetName val="\\192_168_200_1\C\V\MQADATA\TE2"/>
      <sheetName val="\\192_168_200_1\V\MQADATA\TEST2"/>
      <sheetName val="\\192_168_200_1\C\P\MQADATA\TE2"/>
      <sheetName val="Input_commodity_fallout2"/>
      <sheetName val="Physical_Description2"/>
      <sheetName val="Data_List2"/>
      <sheetName val="\\17_91_41_171\server\V\MQADAT2"/>
      <sheetName val="\\17_91_41_171\server\P\MQADAT2"/>
      <sheetName val="SD-3 0%storage"/>
      <sheetName val="Administrative"/>
      <sheetName val="SD-3_0%storage"/>
      <sheetName val="SD-3_0%storage1"/>
      <sheetName val="SD-3_0%storage2"/>
      <sheetName val="45℃可逆容量"/>
      <sheetName val="Capa réelle TPT S49"/>
      <sheetName val="Récap capa TPT S49"/>
      <sheetName val="\rfile\V\MQADATA\TEST\TIMEOATY."/>
      <sheetName val="\\SSLRD-ENG-RFILE\Rfile\V\MQADA"/>
      <sheetName val="\rfile\P\MQADATA\TEST\TIMEOATY."/>
      <sheetName val="Pressure_Data"/>
      <sheetName val="DRATE-Summary"/>
      <sheetName val="DR-0617AA701117"/>
      <sheetName val="DR-0617AA701118"/>
      <sheetName val="[TIMEOATY.XLS][TIMEOATY.XLS]_68"/>
      <sheetName val="[TIMEOATY.XLS][TIMEOATY.XLS]_69"/>
      <sheetName val="[TIMEOATY.XLS][TIMEOATY.XLS]_70"/>
      <sheetName val="[TIMEOATY.XLS]_MQADATA_TEST__19"/>
      <sheetName val="[TIMEOATY.XLS]_V_MQADATA_TES_19"/>
      <sheetName val="[TIMEOATY.XLS]_P_MQADATA_TES_19"/>
      <sheetName val="[TIMEOATY.XLS]_C_V_MQADATA_T_19"/>
      <sheetName val="[TIMEOATY.XLS]_C_P_MQADATA_T_19"/>
      <sheetName val="[TIMEOATY.XLS]_MQADATA_TEST__11"/>
      <sheetName val="[TIMEOATY.XLS]_V_MQADATA_TES_11"/>
      <sheetName val="[TIMEOATY.XLS]_P_MQADATA_TES_11"/>
      <sheetName val="[TIMEOATY.XLS]_C_V_MQADATA_T_11"/>
      <sheetName val="[TIMEOATY.XLS]_C_P_MQADATA_T_11"/>
      <sheetName val="[TIMEOATY.XLS]_MQADATA_TEST_T_9"/>
      <sheetName val="[TIMEOATY.XLS]_V_MQADATA_TEST_9"/>
      <sheetName val="[TIMEOATY.XLS]_P_MQADATA_TEST_9"/>
      <sheetName val="[TIMEOATY.XLS]_C_V_MQADATA_TE_9"/>
      <sheetName val="[TIMEOATY.XLS]_C_P_MQADATA_TE_9"/>
      <sheetName val="[TIMEOATY.XLS]_MQADATA_TEST_T_8"/>
      <sheetName val="[TIMEOATY.XLS]_V_MQADATA_TEST_8"/>
      <sheetName val="[TIMEOATY.XLS]_P_MQADATA_TEST_8"/>
      <sheetName val="[TIMEOATY.XLS]_C_V_MQADATA_TE_8"/>
      <sheetName val="[TIMEOATY.XLS]_C_P_MQADATA_TE_8"/>
      <sheetName val="[TIMEOATY.XLS]_MQADATA_TEST_T_6"/>
      <sheetName val="[TIMEOATY.XLS]_V_MQADATA_TEST_6"/>
      <sheetName val="[TIMEOATY.XLS]_P_MQADATA_TEST_6"/>
      <sheetName val="[TIMEOATY.XLS]_C_V_MQADATA_TE_6"/>
      <sheetName val="[TIMEOATY.XLS]_C_P_MQADATA_TE_6"/>
      <sheetName val="[TIMEOATY.XLS]_MQADATA_TEST_T_7"/>
      <sheetName val="[TIMEOATY.XLS]_V_MQADATA_TEST_7"/>
      <sheetName val="[TIMEOATY.XLS]_P_MQADATA_TEST_7"/>
      <sheetName val="[TIMEOATY.XLS]_C_V_MQADATA_TE_7"/>
      <sheetName val="[TIMEOATY.XLS]_C_P_MQADATA_TE_7"/>
      <sheetName val="[TIMEOATY.XLS]_MQADATA_TEST__10"/>
      <sheetName val="[TIMEOATY.XLS]_V_MQADATA_TES_10"/>
      <sheetName val="[TIMEOATY.XLS]_P_MQADATA_TES_10"/>
      <sheetName val="[TIMEOATY.XLS]_C_V_MQADATA_T_10"/>
      <sheetName val="[TIMEOATY.XLS]_C_P_MQADATA_T_10"/>
      <sheetName val="[TIMEOATY.XLS][TIMEOATY.XLS]_41"/>
      <sheetName val="[TIMEOATY.XLS][TIMEOATY.XLS]_42"/>
      <sheetName val="[TIMEOATY.XLS][TIMEOATY.XLS]_43"/>
      <sheetName val="[TIMEOATY.XLS]_MQADATA_TEST__12"/>
      <sheetName val="[TIMEOATY.XLS]_V_MQADATA_TES_12"/>
      <sheetName val="[TIMEOATY.XLS][TIMEOATY.XLS]_44"/>
      <sheetName val="[TIMEOATY.XLS][TIMEOATY.XLS]_45"/>
      <sheetName val="[TIMEOATY.XLS]_P_MQADATA_TES_12"/>
      <sheetName val="[TIMEOATY.XLS]_C_V_MQADATA_T_12"/>
      <sheetName val="[TIMEOATY.XLS]_C_P_MQADATA_T_12"/>
      <sheetName val="[TIMEOATY.XLS][TIMEOATY.XLS]_46"/>
      <sheetName val="[TIMEOATY.XLS][TIMEOATY.XLS]_47"/>
      <sheetName val="[TIMEOATY.XLS][TIMEOATY.XLS]_48"/>
      <sheetName val="[TIMEOATY.XLS][TIMEOATY.XLS]_49"/>
      <sheetName val="[TIMEOATY.XLS]_MQADATA_TEST__14"/>
      <sheetName val="[TIMEOATY.XLS]_V_MQADATA_TES_14"/>
      <sheetName val="[TIMEOATY.XLS][TIMEOATY.XLS]_50"/>
      <sheetName val="[TIMEOATY.XLS][TIMEOATY.XLS]_51"/>
      <sheetName val="[TIMEOATY.XLS]_P_MQADATA_TES_14"/>
      <sheetName val="[TIMEOATY.XLS]_C_V_MQADATA_T_14"/>
      <sheetName val="[TIMEOATY.XLS]_C_P_MQADATA_T_14"/>
      <sheetName val="[TIMEOATY.XLS][TIMEOATY.XLS]_52"/>
      <sheetName val="[TIMEOATY.XLS]_MQADATA_TEST__13"/>
      <sheetName val="[TIMEOATY.XLS]_V_MQADATA_TES_13"/>
      <sheetName val="[TIMEOATY.XLS]_P_MQADATA_TES_13"/>
      <sheetName val="[TIMEOATY.XLS]_C_V_MQADATA_T_13"/>
      <sheetName val="[TIMEOATY.XLS]_C_P_MQADATA_T_13"/>
      <sheetName val="[TIMEOATY.XLS][TIMEOATY.XLS]_53"/>
      <sheetName val="[TIMEOATY.XLS][TIMEOATY.XLS]_54"/>
      <sheetName val="[TIMEOATY.XLS][TIMEOATY.XLS]_55"/>
      <sheetName val="[TIMEOATY.XLS]_MQADATA_TEST__15"/>
      <sheetName val="[TIMEOATY.XLS]_V_MQADATA_TES_15"/>
      <sheetName val="[TIMEOATY.XLS][TIMEOATY.XLS]_56"/>
      <sheetName val="[TIMEOATY.XLS][TIMEOATY.XLS]_57"/>
      <sheetName val="[TIMEOATY.XLS]_P_MQADATA_TES_15"/>
      <sheetName val="[TIMEOATY.XLS]_C_V_MQADATA_T_15"/>
      <sheetName val="[TIMEOATY.XLS]_C_P_MQADATA_T_15"/>
      <sheetName val="[TIMEOATY.XLS][TIMEOATY.XLS]_58"/>
      <sheetName val="[TIMEOATY.XLS][TIMEOATY.XLS]_59"/>
      <sheetName val="[TIMEOATY.XLS][TIMEOATY.XLS]_60"/>
      <sheetName val="[TIMEOATY.XLS][TIMEOATY.XLS]_61"/>
      <sheetName val="[TIMEOATY.XLS]_MQADATA_TEST__16"/>
      <sheetName val="[TIMEOATY.XLS]_V_MQADATA_TES_16"/>
      <sheetName val="[TIMEOATY.XLS]_P_MQADATA_TES_16"/>
      <sheetName val="[TIMEOATY.XLS]_C_V_MQADATA_T_16"/>
      <sheetName val="[TIMEOATY.XLS]_C_P_MQADATA_T_16"/>
      <sheetName val="[TIMEOATY.XLS][TIMEOATY.XLS]_62"/>
      <sheetName val="[TIMEOATY.XLS][TIMEOATY.XLS]_63"/>
      <sheetName val="[TIMEOATY.XLS][TIMEOATY.XLS]_64"/>
      <sheetName val="[TIMEOATY.XLS]_MQADATA_TEST__17"/>
      <sheetName val="[TIMEOATY.XLS]_V_MQADATA_TES_17"/>
      <sheetName val="[TIMEOATY.XLS]_P_MQADATA_TES_17"/>
      <sheetName val="[TIMEOATY.XLS]_C_V_MQADATA_T_17"/>
      <sheetName val="[TIMEOATY.XLS]_C_P_MQADATA_T_17"/>
      <sheetName val="[TIMEOATY.XLS][TIMEOATY.XLS]_65"/>
      <sheetName val="[TIMEOATY.XLS][TIMEOATY.XLS]_66"/>
      <sheetName val="[TIMEOATY.XLS][TIMEOATY.XLS]_67"/>
      <sheetName val="[TIMEOATY.XLS]_MQADATA_TEST__18"/>
      <sheetName val="[TIMEOATY.XLS]_V_MQADATA_TES_18"/>
      <sheetName val="[TIMEOATY.XLS]_P_MQADATA_TES_18"/>
      <sheetName val="[TIMEOATY.XLS]_C_V_MQADATA_T_18"/>
      <sheetName val="[TIMEOATY.XLS]_C_P_MQADATA_T_18"/>
      <sheetName val="[TIMEOATY.XLS][TIMEOATY.XLS]_71"/>
      <sheetName val="[TIMEOATY.XLS][TIMEOATY.XLS]_72"/>
      <sheetName val="[TIMEOATY.XLS][TIMEOATY.XLS]_73"/>
      <sheetName val="[TIMEOATY.XLS]_MQADATA_TEST__20"/>
      <sheetName val="[TIMEOATY.XLS]_V_MQADATA_TES_20"/>
      <sheetName val="[TIMEOATY.XLS]_P_MQADATA_TES_20"/>
      <sheetName val="[TIMEOATY.XLS]_C_V_MQADATA_T_20"/>
      <sheetName val="[TIMEOATY.XLS]_C_P_MQADATA_T_20"/>
      <sheetName val="[TIMEOATY.XLS]_TEST_TIMEOATY__3"/>
      <sheetName val="[TIMEOATY.XLS]_TEST_TIMEOATY__2"/>
      <sheetName val="[TIMEOATY.XLS]_TEST_TIMEOATY__7"/>
      <sheetName val="[TIMEOATY.XLS]_TEST_TIMEOATY__5"/>
      <sheetName val="[TIMEOATY.XLS]_TEST_TIMEOATY__4"/>
      <sheetName val="[TIMEOATY.XLS]_TEST_TIMEOATY__6"/>
      <sheetName val="[TIMEOATY.XLS]__192_168_200_1_2"/>
      <sheetName val="[TIMEOATY.XLS]__192_168_200_1_3"/>
      <sheetName val="[TIMEOATY.XLS][TIMEOATY.XLS]_77"/>
      <sheetName val="[TIMEOATY.XLS][TIMEOATY.XLS]_78"/>
      <sheetName val="[TIMEOATY.XLS][TIMEOATY.XLS]_79"/>
      <sheetName val="[TIMEOATY.XLS]_MQADATA_TEST__21"/>
      <sheetName val="[TIMEOATY.XLS]_V_MQADATA_TES_21"/>
      <sheetName val="[TIMEOATY.XLS][TIMEOATY.XLS]_80"/>
      <sheetName val="[TIMEOATY.XLS][TIMEOATY.XLS]_81"/>
      <sheetName val="[TIMEOATY.XLS]_P_MQADATA_TES_21"/>
      <sheetName val="[TIMEOATY.XLS]_C_V_MQADATA_T_21"/>
      <sheetName val="[TIMEOATY.XLS]_C_P_MQADATA_T_21"/>
      <sheetName val="[TIMEOATY.XLS][TIMEOATY.XLS]_82"/>
      <sheetName val="[TIMEOATY.XLS][TIMEOATY.XLS]_74"/>
      <sheetName val="[TIMEOATY.XLS][TIMEOATY.XLS]_75"/>
      <sheetName val="[TIMEOATY.XLS][TIMEOATY.XLS]_76"/>
      <sheetName val="[TIMEOATY.XLS][TIMEOATY.XLS]_89"/>
      <sheetName val="[TIMEOATY.XLS][TIMEOATY.XLS]_90"/>
      <sheetName val="[TIMEOATY.XLS][TIMEOATY.XLS]_91"/>
      <sheetName val="[TIMEOATY.XLS]_MQADATA_TEST__24"/>
      <sheetName val="[TIMEOATY.XLS]_V_MQADATA_TES_24"/>
      <sheetName val="[TIMEOATY.XLS][TIMEOATY.XLS]_92"/>
      <sheetName val="[TIMEOATY.XLS][TIMEOATY.XLS]_93"/>
      <sheetName val="[TIMEOATY.XLS]_P_MQADATA_TES_24"/>
      <sheetName val="[TIMEOATY.XLS]_C_V_MQADATA_T_24"/>
      <sheetName val="[TIMEOATY.XLS]_C_P_MQADATA_T_24"/>
      <sheetName val="[TIMEOATY.XLS][TIMEOATY.XLS]_94"/>
      <sheetName val="[TIMEOATY.XLS][TIMEOATY.XLS]_86"/>
      <sheetName val="[TIMEOATY.XLS][TIMEOATY.XLS]_87"/>
      <sheetName val="[TIMEOATY.XLS][TIMEOATY.XLS]_88"/>
      <sheetName val="[TIMEOATY.XLS]_MQADATA_TEST__23"/>
      <sheetName val="[TIMEOATY.XLS]_V_MQADATA_TES_23"/>
      <sheetName val="[TIMEOATY.XLS]_P_MQADATA_TES_23"/>
      <sheetName val="[TIMEOATY.XLS]_C_V_MQADATA_T_23"/>
      <sheetName val="[TIMEOATY.XLS]_C_P_MQADATA_T_23"/>
      <sheetName val="[TIMEOATY.XLS][TIMEOATY.XLS]_83"/>
      <sheetName val="[TIMEOATY.XLS][TIMEOATY.XLS]_84"/>
      <sheetName val="[TIMEOATY.XLS][TIMEOATY.XLS]_85"/>
      <sheetName val="[TIMEOATY.XLS]_MQADATA_TEST__22"/>
      <sheetName val="[TIMEOATY.XLS]_V_MQADATA_TES_22"/>
      <sheetName val="[TIMEOATY.XLS]_P_MQADATA_TES_22"/>
      <sheetName val="[TIMEOATY.XLS]_C_V_MQADATA_T_22"/>
      <sheetName val="[TIMEOATY.XLS]_C_P_MQADATA_T_22"/>
      <sheetName val="[TIMEOATY.XLS][TIMEOATY.XLS]_95"/>
      <sheetName val="[TIMEOATY.XLS][TIMEOATY.XLS]_96"/>
      <sheetName val="[TIMEOATY.XLS][TIMEOATY.XLS]_97"/>
      <sheetName val="[TIMEOATY.XLS]_MQADATA_TEST__25"/>
      <sheetName val="[TIMEOATY.XLS]_V_MQADATA_TES_25"/>
      <sheetName val="[TIMEOATY.XLS][TIMEOATY.XLS]_98"/>
      <sheetName val="[TIMEOATY.XLS][TIMEOATY.XLS]_99"/>
      <sheetName val="[TIMEOATY.XLS]_P_MQADATA_TES_25"/>
      <sheetName val="[TIMEOATY.XLS]_C_V_MQADATA_T_25"/>
      <sheetName val="[TIMEOATY.XLS]_C_P_MQADATA_T_25"/>
      <sheetName val="[TIMEOATY.XLS]_TIMEOATY_XLS_100"/>
      <sheetName val="[TIMEOATY.XLS]__192_168_200_1_4"/>
      <sheetName val="[TIMEOATY.XLS]__192_168_200_1_5"/>
      <sheetName val="[TIMEOATY.XLS]__192_168_200_1_8"/>
      <sheetName val="[TIMEOATY.XLS]__192_168_200_1_9"/>
      <sheetName val="[TIMEOATY.XLS]__192_168_200_1_6"/>
      <sheetName val="[TIMEOATY.XLS]__192_168_200_1_7"/>
      <sheetName val="[TIMEOATY.XLS]__192_168_200__10"/>
      <sheetName val="[TIMEOATY.XLS]__192_168_200__11"/>
      <sheetName val="[TIMEOATY.XLS]_TIMEOATY_XLS_101"/>
      <sheetName val="[TIMEOATY.XLS]_TIMEOATY_XLS_102"/>
      <sheetName val="[TIMEOATY.XLS]_TIMEOATY_XLS_103"/>
      <sheetName val="[TIMEOATY.XLS]_MQADATA_TEST__26"/>
      <sheetName val="[TIMEOATY.XLS]_V_MQADATA_TES_26"/>
      <sheetName val="[TIMEOATY.XLS]_TIMEOATY_XLS_104"/>
      <sheetName val="[TIMEOATY.XLS]_TIMEOATY_XLS_105"/>
      <sheetName val="[TIMEOATY.XLS]_P_MQADATA_TES_26"/>
      <sheetName val="[TIMEOATY.XLS]_C_V_MQADATA_T_26"/>
      <sheetName val="[TIMEOATY.XLS]_C_P_MQADATA_T_26"/>
      <sheetName val="[TIMEOATY.XLS]_TIMEOATY_XLS_106"/>
      <sheetName val="[TIMEOATY.XLS]__192_168_200__12"/>
      <sheetName val="[TIMEOATY.XLS]__192_168_200__13"/>
      <sheetName val="CAUDIT"/>
      <sheetName val="[TIMEOATY.XLS][TIMEOATY.XLS][TI"/>
      <sheetName val="_D_D_TIMEOATY.XLS"/>
      <sheetName val="_sslrd-ser-rfile_rfile_C_V_MQAD"/>
      <sheetName val="__ssl-rfile_rfile_V_MQADATA_TES"/>
      <sheetName val="__ssl-rfile_rfile_P_MQADATA_TES"/>
      <sheetName val="_C_V_MQADATA_TEST_TIMEOATY.XLS"/>
      <sheetName val="_C_P_MQADATA_TEST_TIMEOATY.XLS"/>
      <sheetName val="_@_sslrd-ser-rfile_rfile_C_V_MQ"/>
      <sheetName val="_Documents and Settings_VIOLA.Y"/>
      <sheetName val="_C_Documents and Settings_VIOLA"/>
      <sheetName val="_C_C_Documents and Settings_VIO"/>
      <sheetName val="_C_C_C_Documents and Settings_V"/>
      <sheetName val="_C_C_C_C_Documents and Settings"/>
      <sheetName val="_C_C_C_C_C_Documents and Settin"/>
      <sheetName val="_C_C_C_C_C_C_Documents and Sett"/>
      <sheetName val="_sslrd-ser-rfile_rfile_C_@_sslr"/>
      <sheetName val="__SSLRD-ENG-RFILE_Rfile_P_MQADA"/>
      <sheetName val="_TEST_TIMEOATY.XLS"/>
      <sheetName val="__ssl-file_V_MQADATA_TEST_TIMEO"/>
      <sheetName val="__sgsdspc6111_V_MQADATA_TEST_TI"/>
      <sheetName val="__sgsdspc6111_P_MQADATA_TEST_TI"/>
      <sheetName val="__192.168.200.1_C_V_MQADATA_TES"/>
      <sheetName val="__192.168.200.1_V_MQADATA_TEST_"/>
      <sheetName val="__192.168.200.1_C_P_MQADATA_TES"/>
      <sheetName val="_Users_sanjaysheth_Library_Cont"/>
      <sheetName val="_C_Users_sanjaysheth_Library_Co"/>
      <sheetName val="_C_C_Users_sanjaysheth_Library_"/>
      <sheetName val="__17.91.41.171_server_V_MQADATA"/>
      <sheetName val="__17.91.41.171_server_P_MQADATA"/>
      <sheetName val="_Users_LG_AppData_Local_Microso"/>
      <sheetName val="_C_Users_LG_AppData_Local_Micro"/>
      <sheetName val="_C_@_sslrd-ser-rfile_rfile_C_V_"/>
      <sheetName val="_D_D_TIMEOATY_XLS"/>
      <sheetName val="_C_V_MQADATA_TEST_TIMEOATY_XLS"/>
      <sheetName val="_C_P_MQADATA_TEST_TIMEOATY_XLS"/>
      <sheetName val="_Documents_and_Settings_VIOLA_Y"/>
      <sheetName val="_C_Documents_and_Settings_VIOLA"/>
      <sheetName val="_C_C_Documents_and_Settings_VIO"/>
      <sheetName val="_C_C_C_Documents_and_Settings_V"/>
      <sheetName val="_C_C_C_C_Documents_and_Settings"/>
      <sheetName val="_C_C_C_C_C_Documents_and_Settin"/>
      <sheetName val="_C_C_C_C_C_C_Documents_and_Sett"/>
      <sheetName val="_TEST_TIMEOATY_XLS"/>
      <sheetName val="__192_168_200_1_C_V_MQADATA_TES"/>
      <sheetName val="__192_168_200_1_V_MQADATA_TEST_"/>
      <sheetName val="__192_168_200_1_C_P_MQADATA_TES"/>
      <sheetName val="__17_91_41_171_server_V_MQADATA"/>
      <sheetName val="__17_91_41_171_server_P_MQADATA"/>
      <sheetName val="_D_D_TIMEOATY_XLS1"/>
      <sheetName val="_C_V_MQADATA_TEST_TIMEOATY_XLS1"/>
      <sheetName val="_C_P_MQADATA_TEST_TIMEOATY_XLS1"/>
      <sheetName val="_Documents_and_Settings_VIOLA_1"/>
      <sheetName val="_C_Documents_and_Settings_VIOL1"/>
      <sheetName val="_C_C_Documents_and_Settings_VI1"/>
      <sheetName val="_C_C_C_Documents_and_Settings_1"/>
      <sheetName val="_C_C_C_C_Documents_and_Setting1"/>
      <sheetName val="_C_C_C_C_C_Documents_and_Setti1"/>
      <sheetName val="_C_C_C_C_C_C_Documents_and_Set1"/>
      <sheetName val="Para Grille"/>
      <sheetName val="Internal_Pressure_Data"/>
      <sheetName val="811Pressure_Data"/>
      <sheetName val="\Users\623840\AppData\Roaming\M"/>
      <sheetName val="\@\Users\623840\AppData\Roaming"/>
      <sheetName val="\C\@\Users\623840\AppData\Roami"/>
      <sheetName val="\Users\c-3202\AppData\Roaming\M"/>
      <sheetName val="\Users\c1978\AppData\Roaming\Fo"/>
      <sheetName val="&amp;MPS#Q1#FY08"/>
      <sheetName val="\Users\admin\Documents\Microsof"/>
      <sheetName val="\C\Users\admin\Documents\Micros"/>
      <sheetName val="\C\C\Users\admin\Documents\Micr"/>
      <sheetName val="\C\C\C\Users\admin\Documents\Mi"/>
      <sheetName val="\Volumes\246 302资料\CTB\TIMEOATY"/>
      <sheetName val="\C\Volumes\246 302资料\CTB\TIMEOA"/>
      <sheetName val="\C\C\Volumes\246 302资料\CTB\TIME"/>
      <sheetName val="\C\C\C\Volumes\246 302资料\CTB\TI"/>
      <sheetName val="\\10.12.8.248\C\C\C\C\Users\adm"/>
      <sheetName val="\\vmware-host\Shared Folders\P\"/>
      <sheetName val="\\csg00fls01\V\MQADATA\TEST\TIM"/>
      <sheetName val="\\vmware-host\Shared Folders\V\"/>
      <sheetName val="\\csg00fls01\P\MQADATA\TEST\TIM"/>
      <sheetName val="\Documents and Settings\LYDIA.Z"/>
      <sheetName val="combine"/>
      <sheetName val="O1OB"/>
      <sheetName val="\Users\LIUJIANF\AppData\Local\M"/>
      <sheetName val="\C\Users\LIUJIANF\AppData\Local"/>
      <sheetName val="합제밀도에의한 계산"/>
      <sheetName val="\\192.168.100.11\V\MQADATA\TEST"/>
      <sheetName val="\Documents and Settings\wang_zh"/>
      <sheetName val="\C\C\Users\LG\AppData\Local\Mic"/>
      <sheetName val="__vmware-host_Shared Folders_V_"/>
      <sheetName val="__vmware-host_Shared Folders_P_"/>
      <sheetName val="\\10.12.8.39\V\MQADATA\TEST\TIM"/>
      <sheetName val="\\10.12.8.39\P\MQADATA\TEST\TIM"/>
      <sheetName val="\Users\sandyyang\Library\Contai"/>
      <sheetName val="\Users\lianglu\AppData\Local\Mi"/>
      <sheetName val="\Library\Containers\com.apple.m"/>
      <sheetName val="\C\Library\Containers\com.apple"/>
      <sheetName val="\\Users\623840\AppData\Roaming\"/>
      <sheetName val="\\Jgsp-fsv4\con_ga1$\V\MQADATA\"/>
      <sheetName val="\Volumes\Document\! Temp 不要放重要文"/>
      <sheetName val="\C\Volumes\Document\! Temp 不要放重"/>
      <sheetName val="\C\C\Volumes\Document\! Temp 不要"/>
      <sheetName val="\C\C\C\Volumes\Document\! Temp "/>
      <sheetName val="\D\C\C\C\Volumes\Document\! Tem"/>
      <sheetName val="\C\D\C\C\C\Volumes\Document\! T"/>
      <sheetName val="\C\C\D\C\C\C\Volumes\Document\!"/>
      <sheetName val="\Users\test11\Library\Mail Down"/>
      <sheetName val="\D\Users\test11\Library\Mail Do"/>
      <sheetName val="\C\C\C\D\C\C\C\Volumes\Document"/>
      <sheetName val="_Users_623840_AppData_Roaming_M"/>
      <sheetName val="_@_Users_623840_AppData_Roaming"/>
      <sheetName val="_C_@_Users_623840_AppData_Roami"/>
      <sheetName val="期初B"/>
      <sheetName val="New Sys Spreaddsht Instructions"/>
      <sheetName val="Calculation"/>
      <sheetName val="01"/>
      <sheetName val="2004-4"/>
      <sheetName val="0414data"/>
      <sheetName val="Raw Data"/>
      <sheetName val="Model HourSet-sw"/>
      <sheetName val="ENG_1_Workmanship_Defect"/>
      <sheetName val="040126"/>
      <sheetName val="TORNADO_RANGE"/>
      <sheetName val="Main"/>
      <sheetName val="\C\C\Library\Containers\com.app"/>
      <sheetName val="__Users_623840_AppData_Roaming_"/>
      <sheetName val="Receiving Inspection"/>
      <sheetName val="dmvt"/>
      <sheetName val="\\jgsp-fsv4\Macintosh HD\V\MQAD"/>
      <sheetName val="\\172.17.31.252\C\C\@\Users\623"/>
      <sheetName val="\\172.17.31.252\Volumes\专案文件服务器"/>
      <sheetName val="\\172.17.31.252\@\172.17.31.252"/>
      <sheetName val="GB-IC Villingen GG"/>
      <sheetName val="[TIMEOATY.XLS][TIMEOATY.XLS]\MQ"/>
      <sheetName val="D-Rate_2.5V"/>
      <sheetName val="CsvFile"/>
      <sheetName val="5 PFC"/>
      <sheetName val="_TEST_TIMEOATY_XLS1"/>
      <sheetName val="__192_168_200_1_C_V_MQADATA_TE1"/>
      <sheetName val="__192_168_200_1_V_MQADATA_TEST1"/>
      <sheetName val="__192_168_200_1_C_P_MQADATA_TE1"/>
      <sheetName val="__17_91_41_171_server_V_MQADAT1"/>
      <sheetName val="__17_91_41_171_server_P_MQADAT1"/>
      <sheetName val="_D_D_TIMEOATY_XLS2"/>
      <sheetName val="_C_V_MQADATA_TEST_TIMEOATY_XLS2"/>
      <sheetName val="_C_P_MQADATA_TEST_TIMEOATY_XLS2"/>
      <sheetName val="_Documents_and_Settings_VIOLA_2"/>
      <sheetName val="_C_Documents_and_Settings_VIOL2"/>
      <sheetName val="_C_C_Documents_and_Settings_VI2"/>
      <sheetName val="_C_C_C_Documents_and_Settings_2"/>
      <sheetName val="_C_C_C_C_Documents_and_Setting2"/>
      <sheetName val="_C_C_C_C_C_Documents_and_Setti2"/>
      <sheetName val="_C_C_C_C_C_C_Documents_and_Set2"/>
      <sheetName val="_TEST_TIMEOATY_XLS2"/>
      <sheetName val="__192_168_200_1_C_V_MQADATA_TE2"/>
      <sheetName val="__192_168_200_1_V_MQADATA_TEST2"/>
      <sheetName val="__192_168_200_1_C_P_MQADATA_TE2"/>
      <sheetName val="__17_91_41_171_server_V_MQADAT2"/>
      <sheetName val="__17_91_41_171_server_P_MQADAT2"/>
      <sheetName val="_rfile_V_MQADATA_TEST_TIMEOATY."/>
      <sheetName val="__SSLRD-ENG-RFILE_Rfile_V_MQADA"/>
      <sheetName val="_rfile_P_MQADATA_TEST_TIMEOATY."/>
      <sheetName val="비용명세1"/>
      <sheetName val="[TIMEOATY.XLS][TI"/>
      <sheetName val="[TIMEOATY.XLS]\MQ"/>
      <sheetName val="25度循环2"/>
      <sheetName val="TTL-M3"/>
      <sheetName val="[TI"/>
      <sheetName val="Tab"/>
      <sheetName val="Foil"/>
      <sheetName val="隔离膜"/>
      <sheetName val="BOM"/>
      <sheetName val="新BOM"/>
      <sheetName val="铜铝箔"/>
      <sheetName val="Anode"/>
      <sheetName val="Cathode"/>
      <sheetName val="4原始数据"/>
      <sheetName val="TCA"/>
      <sheetName val="HL_2.5V"/>
      <sheetName val="HL_2.0V"/>
      <sheetName val="_TIMEOATY.XLS__TIMEOATY.XLS"/>
      <sheetName val="_TIMEOATY.XLS__D_TIMEOATY.XLS"/>
      <sheetName val="_TIMEOATY.XLS__D_D_TIMEOATY.XLS"/>
      <sheetName val="Data liets"/>
      <sheetName val="Data Liet"/>
      <sheetName val="Data_liets"/>
      <sheetName val="Data_Liet"/>
      <sheetName val="Data_liets1"/>
      <sheetName val="Data_Liet1"/>
      <sheetName val="Data_liets2"/>
      <sheetName val="Data_Liet2"/>
      <sheetName val="Adminietrative"/>
      <sheetName val="\Users\teet11\Library\Mail Down"/>
      <sheetName val="\D\Users\teet11\Library\Mail Do"/>
      <sheetName val="New Sys Spreaddsht Inetructions"/>
      <sheetName val="Receiving Inepection"/>
      <sheetName val="[TIMEOATY.XLS][TIMEOATY.XLS]\TE"/>
      <sheetName val="Abbreviations"/>
      <sheetName val="\TEST\TIMEOATY.XLS"/>
      <sheetName val="\D\V\MQADATA\TEST\TIMEOATY.XLS"/>
      <sheetName val="Attachment A"/>
      <sheetName val="03 市场调研报告"/>
      <sheetName val="_TIMEOATY.XLS__TIMEOATY.XLS__29"/>
      <sheetName val="_TIMEOATY.XLS__TIMEOATY.XLS__30"/>
      <sheetName val="_TIMEOATY.XLS__TIMEOATY.XLS__31"/>
      <sheetName val="_TIMEOATY.XLS__MQADATA_TEST__11"/>
      <sheetName val="_TIMEOATY.XLS__V_MQADATA_TES_11"/>
      <sheetName val="_TIMEOATY.XLS__TIMEOATY.XLS__32"/>
      <sheetName val="_TIMEOATY.XLS__TIMEOATY.XLS__33"/>
      <sheetName val="_TIMEOATY.XLS__P_MQADATA_TES_11"/>
      <sheetName val="_TIMEOATY.XLS__C_V_MQADATA_T_11"/>
      <sheetName val="_TIMEOATY.XLS__C_P_MQADATA_T_11"/>
      <sheetName val="_TIMEOATY.XLS__TIMEOATY.XLS__34"/>
      <sheetName val="_TIMEOATY.XLS__TIMEOATY.XLS__TI"/>
      <sheetName val="_TIMEOATY.XLS__TIMEOATY.XLS__D_"/>
      <sheetName val="_TIMEOATY.XLS__MQADATA_TEST_TIM"/>
      <sheetName val="_TIMEOATY.XLS__V_MQADATA_TEST_T"/>
      <sheetName val="_TIMEOATY.XLS__P_MQADATA_TEST_T"/>
      <sheetName val="_TIMEOATY.XLS__C_V_MQADATA_TEST"/>
      <sheetName val="_TIMEOATY.XLS__C_P_MQADATA_TEST"/>
      <sheetName val="_TIMEOATY.XLS__TIMEOATY.XLS__20"/>
      <sheetName val="_TIMEOATY.XLS__TIMEOATY.XLS__21"/>
      <sheetName val="_TIMEOATY.XLS__TIMEOATY.XLS__22"/>
      <sheetName val="_TIMEOATY.XLS__MQADATA_TEST_T_8"/>
      <sheetName val="_TIMEOATY.XLS__V_MQADATA_TEST_8"/>
      <sheetName val="_TIMEOATY.XLS__P_MQADATA_TEST_8"/>
      <sheetName val="_TIMEOATY.XLS__C_V_MQADATA_TE_8"/>
      <sheetName val="_TIMEOATY.XLS__C_P_MQADATA_TE_8"/>
      <sheetName val="_TIMEOATY.XLS__MQADATA_TEST_T_3"/>
      <sheetName val="_TIMEOATY.XLS__V_MQADATA_TEST_3"/>
      <sheetName val="_TIMEOATY.XLS__TIMEOATY.XLS___5"/>
      <sheetName val="_TIMEOATY.XLS__TIMEOATY.XLS___6"/>
      <sheetName val="_TIMEOATY.XLS__P_MQADATA_TEST_3"/>
      <sheetName val="_TIMEOATY.XLS__C_V_MQADATA_TE_3"/>
      <sheetName val="_TIMEOATY.XLS__C_P_MQADATA_TE_3"/>
      <sheetName val="_TIMEOATY.XLS__TIMEOATY.XLS___7"/>
      <sheetName val="_TIMEOATY.XLS__TEST_TIMEOATY__3"/>
      <sheetName val="_TIMEOATY.XLS___192_168_200_1_2"/>
      <sheetName val="_TIMEOATY.XLS___192_168_200_1_3"/>
      <sheetName val="_TIMEOATY.XLS__MQADATA_TEST_T_2"/>
      <sheetName val="_TIMEOATY.XLS__V_MQADATA_TEST_2"/>
      <sheetName val="_TIMEOATY.XLS__TIMEOATY.XLS___2"/>
      <sheetName val="_TIMEOATY.XLS__TIMEOATY.XLS___3"/>
      <sheetName val="_TIMEOATY.XLS__P_MQADATA_TEST_2"/>
      <sheetName val="_TIMEOATY.XLS__C_V_MQADATA_TE_2"/>
      <sheetName val="_TIMEOATY.XLS__C_P_MQADATA_TE_2"/>
      <sheetName val="_TIMEOATY.XLS__TIMEOATY.XLS___4"/>
      <sheetName val="_TIMEOATY.XLS__TEST_TIMEOATY__2"/>
      <sheetName val="_TIMEOATY.XLS__MQADATA_TEST_T_7"/>
      <sheetName val="_TIMEOATY.XLS__V_MQADATA_TEST_7"/>
      <sheetName val="_TIMEOATY.XLS__TIMEOATY.XLS__17"/>
      <sheetName val="_TIMEOATY.XLS__TIMEOATY.XLS__18"/>
      <sheetName val="_TIMEOATY.XLS__P_MQADATA_TEST_7"/>
      <sheetName val="_TIMEOATY.XLS__C_V_MQADATA_TE_7"/>
      <sheetName val="_TIMEOATY.XLS__C_P_MQADATA_TE_7"/>
      <sheetName val="_TIMEOATY.XLS__TIMEOATY.XLS__19"/>
      <sheetName val="_TIMEOATY.XLS__TEST_TIMEOATY__7"/>
      <sheetName val="_TIMEOATY.XLS__MQADATA_TEST_T_5"/>
      <sheetName val="_TIMEOATY.XLS__V_MQADATA_TEST_5"/>
      <sheetName val="_TIMEOATY.XLS__TIMEOATY.XLS__11"/>
      <sheetName val="_TIMEOATY.XLS__TIMEOATY.XLS__12"/>
      <sheetName val="_TIMEOATY.XLS__P_MQADATA_TEST_5"/>
      <sheetName val="_TIMEOATY.XLS__C_V_MQADATA_TE_5"/>
      <sheetName val="_TIMEOATY.XLS__C_P_MQADATA_TE_5"/>
      <sheetName val="_TIMEOATY.XLS__TIMEOATY.XLS__13"/>
      <sheetName val="_TIMEOATY.XLS__TEST_TIMEOATY__5"/>
      <sheetName val="_TIMEOATY.XLS__MQADATA_TEST_T_4"/>
      <sheetName val="_TIMEOATY.XLS__V_MQADATA_TEST_4"/>
      <sheetName val="_TIMEOATY.XLS__TIMEOATY.XLS___8"/>
      <sheetName val="_TIMEOATY.XLS__TIMEOATY.XLS___9"/>
      <sheetName val="_TIMEOATY.XLS__P_MQADATA_TEST_4"/>
      <sheetName val="_TIMEOATY.XLS__C_V_MQADATA_TE_4"/>
      <sheetName val="_TIMEOATY.XLS__C_P_MQADATA_TE_4"/>
      <sheetName val="_TIMEOATY.XLS__TIMEOATY.XLS__10"/>
      <sheetName val="_TIMEOATY.XLS__TEST_TIMEOATY__4"/>
      <sheetName val="_TIMEOATY.XLS__MQADATA_TEST_T_6"/>
      <sheetName val="_TIMEOATY.XLS__V_MQADATA_TEST_6"/>
      <sheetName val="_TIMEOATY.XLS__TIMEOATY.XLS__14"/>
      <sheetName val="_TIMEOATY.XLS__TIMEOATY.XLS__15"/>
      <sheetName val="_TIMEOATY.XLS__P_MQADATA_TEST_6"/>
      <sheetName val="_TIMEOATY.XLS__C_V_MQADATA_TE_6"/>
      <sheetName val="_TIMEOATY.XLS__C_P_MQADATA_TE_6"/>
      <sheetName val="_TIMEOATY.XLS__TIMEOATY.XLS__16"/>
      <sheetName val="_TIMEOATY.XLS__TEST_TIMEOATY__6"/>
      <sheetName val="_TIMEOATY.XLS__TIMEOATY.XLS__26"/>
      <sheetName val="_TIMEOATY.XLS__TIMEOATY.XLS__27"/>
      <sheetName val="_TIMEOATY.XLS__TIMEOATY.XLS__28"/>
      <sheetName val="_TIMEOATY.XLS__MQADATA_TEST__10"/>
      <sheetName val="_TIMEOATY.XLS__V_MQADATA_TES_10"/>
      <sheetName val="_TIMEOATY.XLS__P_MQADATA_TES_10"/>
      <sheetName val="_TIMEOATY.XLS__C_V_MQADATA_T_10"/>
      <sheetName val="_TIMEOATY.XLS__C_P_MQADATA_T_10"/>
      <sheetName val="_TIMEOATY.XLS__TIMEOATY.XLS__23"/>
      <sheetName val="_TIMEOATY.XLS__TIMEOATY.XLS__24"/>
      <sheetName val="_TIMEOATY.XLS__TIMEOATY.XLS__25"/>
      <sheetName val="_TIMEOATY.XLS__MQADATA_TEST_T_9"/>
      <sheetName val="_TIMEOATY.XLS__V_MQADATA_TEST_9"/>
      <sheetName val="_TIMEOATY.XLS__P_MQADATA_TEST_9"/>
      <sheetName val="_TIMEOATY.XLS__C_V_MQADATA_TE_9"/>
      <sheetName val="_TIMEOATY.XLS__C_P_MQADATA_TE_9"/>
      <sheetName val="_TIMEOATY.XLS___192_168_200_1_4"/>
      <sheetName val="_TIMEOATY.XLS___192_168_200_1_5"/>
      <sheetName val="_TIMEOATY.XLS__TIMEOATY.XLS__41"/>
      <sheetName val="_TIMEOATY.XLS__TIMEOATY.XLS__42"/>
      <sheetName val="_TIMEOATY.XLS__TIMEOATY.XLS__43"/>
      <sheetName val="_TIMEOATY.XLS__MQADATA_TEST__13"/>
      <sheetName val="_TIMEOATY.XLS__V_MQADATA_TES_13"/>
      <sheetName val="_TIMEOATY.XLS__P_MQADATA_TES_13"/>
      <sheetName val="_TIMEOATY.XLS__C_V_MQADATA_T_13"/>
      <sheetName val="_TIMEOATY.XLS__C_P_MQADATA_T_13"/>
      <sheetName val="_TIMEOATY.XLS___192_168_200_1_8"/>
      <sheetName val="_TIMEOATY.XLS___192_168_200_1_9"/>
      <sheetName val="_TIMEOATY.XLS__TIMEOATY.XLS__35"/>
      <sheetName val="_TIMEOATY.XLS__TIMEOATY.XLS__36"/>
      <sheetName val="_TIMEOATY.XLS__TIMEOATY.XLS__37"/>
      <sheetName val="_TIMEOATY.XLS__MQADATA_TEST__12"/>
      <sheetName val="_TIMEOATY.XLS__V_MQADATA_TES_12"/>
      <sheetName val="_TIMEOATY.XLS__TIMEOATY.XLS__38"/>
      <sheetName val="_TIMEOATY.XLS__TIMEOATY.XLS__39"/>
      <sheetName val="_TIMEOATY.XLS__P_MQADATA_TES_12"/>
      <sheetName val="_TIMEOATY.XLS__C_V_MQADATA_T_12"/>
      <sheetName val="_TIMEOATY.XLS__C_P_MQADATA_T_12"/>
      <sheetName val="_TIMEOATY.XLS__TIMEOATY.XLS__40"/>
      <sheetName val="_TIMEOATY.XLS___192_168_200_1_6"/>
      <sheetName val="_TIMEOATY.XLS___192_168_200_1_7"/>
      <sheetName val="_TIMEOATY.XLS__TIMEOATY.XLS__44"/>
      <sheetName val="_TIMEOATY.XLS__TIMEOATY.XLS__45"/>
      <sheetName val="_TIMEOATY.XLS__TIMEOATY.XLS__46"/>
      <sheetName val="_TIMEOATY.XLS__MQADATA_TEST__14"/>
      <sheetName val="_TIMEOATY.XLS__V_MQADATA_TES_14"/>
      <sheetName val="_TIMEOATY.XLS__P_MQADATA_TES_14"/>
      <sheetName val="_TIMEOATY.XLS__C_V_MQADATA_T_14"/>
      <sheetName val="_TIMEOATY.XLS__C_P_MQADATA_T_14"/>
      <sheetName val="_TIMEOATY.XLS___192_168_200__10"/>
      <sheetName val="_TIMEOATY.XLS___192_168_200__11"/>
      <sheetName val="_TIMEOATY.XLS__TIMEOATY.XLS__56"/>
      <sheetName val="_TIMEOATY.XLS__TIMEOATY.XLS__57"/>
      <sheetName val="_TIMEOATY.XLS__TIMEOATY.XLS__58"/>
      <sheetName val="_TIMEOATY.XLS__TIMEOATY.XLS__47"/>
      <sheetName val="_TIMEOATY.XLS__TIMEOATY.XLS__48"/>
      <sheetName val="_TIMEOATY.XLS__TIMEOATY.XLS__49"/>
      <sheetName val="_TIMEOATY.XLS__TIMEOATY.XLS__50"/>
      <sheetName val="_TIMEOATY.XLS__TIMEOATY.XLS__51"/>
      <sheetName val="_TIMEOATY.XLS__TIMEOATY.XLS__52"/>
      <sheetName val="_TIMEOATY.XLS__TIMEOATY.XLS__53"/>
      <sheetName val="_TIMEOATY.XLS__TIMEOATY.XLS__54"/>
      <sheetName val="_TIMEOATY.XLS__TIMEOATY.XLS__55"/>
      <sheetName val="_TIMEOATY.XLS__MQADATA_TEST__15"/>
      <sheetName val="_TIMEOATY.XLS__V_MQADATA_TES_15"/>
      <sheetName val="_TIMEOATY.XLS__P_MQADATA_TES_15"/>
      <sheetName val="_TIMEOATY.XLS__C_V_MQADATA_T_15"/>
      <sheetName val="_TIMEOATY.XLS__C_P_MQADATA_T_15"/>
      <sheetName val="_TIMEOATY.XLS__TIMEOATY.XLS__77"/>
      <sheetName val="_TIMEOATY.XLS__TIMEOATY.XLS__78"/>
      <sheetName val="_TIMEOATY.XLS__TIMEOATY.XLS__79"/>
      <sheetName val="_TIMEOATY.XLS__MQADATA_TEST__21"/>
      <sheetName val="_TIMEOATY.XLS__V_MQADATA_TES_21"/>
      <sheetName val="_TIMEOATY.XLS__TIMEOATY.XLS__80"/>
      <sheetName val="_TIMEOATY.XLS__TIMEOATY.XLS__81"/>
      <sheetName val="_TIMEOATY.XLS__P_MQADATA_TES_21"/>
      <sheetName val="_TIMEOATY.XLS__C_V_MQADATA_T_21"/>
      <sheetName val="_TIMEOATY.XLS__C_P_MQADATA_T_21"/>
      <sheetName val="_TIMEOATY.XLS__TIMEOATY.XLS__82"/>
      <sheetName val="_TIMEOATY.XLS__MQADATA_TEST__16"/>
      <sheetName val="_TIMEOATY.XLS__V_MQADATA_TES_16"/>
      <sheetName val="_TIMEOATY.XLS__TIMEOATY.XLS__59"/>
      <sheetName val="_TIMEOATY.XLS__TIMEOATY.XLS__60"/>
      <sheetName val="_TIMEOATY.XLS__P_MQADATA_TES_16"/>
      <sheetName val="_TIMEOATY.XLS__C_V_MQADATA_T_16"/>
      <sheetName val="_TIMEOATY.XLS__C_P_MQADATA_T_16"/>
      <sheetName val="_TIMEOATY.XLS__TIMEOATY.XLS__61"/>
      <sheetName val="_TIMEOATY.XLS__MQADATA_TEST__17"/>
      <sheetName val="_TIMEOATY.XLS__V_MQADATA_TES_17"/>
      <sheetName val="_TIMEOATY.XLS__TIMEOATY.XLS__62"/>
      <sheetName val="_TIMEOATY.XLS__TIMEOATY.XLS__63"/>
      <sheetName val="_TIMEOATY.XLS__P_MQADATA_TES_17"/>
      <sheetName val="_TIMEOATY.XLS__C_V_MQADATA_T_17"/>
      <sheetName val="_TIMEOATY.XLS__C_P_MQADATA_T_17"/>
      <sheetName val="_TIMEOATY.XLS__TIMEOATY.XLS__64"/>
      <sheetName val="_TIMEOATY.XLS__TIMEOATY.XLS__65"/>
      <sheetName val="_TIMEOATY.XLS__TIMEOATY.XLS__66"/>
      <sheetName val="_TIMEOATY.XLS__TIMEOATY.XLS__67"/>
      <sheetName val="_TIMEOATY.XLS__MQADATA_TEST__18"/>
      <sheetName val="_TIMEOATY.XLS__V_MQADATA_TES_18"/>
      <sheetName val="_TIMEOATY.XLS__TIMEOATY.XLS__68"/>
      <sheetName val="_TIMEOATY.XLS__TIMEOATY.XLS__69"/>
      <sheetName val="_TIMEOATY.XLS__P_MQADATA_TES_18"/>
      <sheetName val="_TIMEOATY.XLS__C_V_MQADATA_T_18"/>
      <sheetName val="_TIMEOATY.XLS__C_P_MQADATA_T_18"/>
      <sheetName val="_TIMEOATY.XLS__TIMEOATY.XLS__70"/>
      <sheetName val="_TIMEOATY.XLS__MQADATA_TEST__19"/>
      <sheetName val="_TIMEOATY.XLS__V_MQADATA_TES_19"/>
      <sheetName val="_TIMEOATY.XLS__TIMEOATY.XLS__71"/>
      <sheetName val="_TIMEOATY.XLS__TIMEOATY.XLS__72"/>
      <sheetName val="_TIMEOATY.XLS__P_MQADATA_TES_19"/>
      <sheetName val="_TIMEOATY.XLS__C_V_MQADATA_T_19"/>
      <sheetName val="_TIMEOATY.XLS__C_P_MQADATA_T_19"/>
      <sheetName val="_TIMEOATY.XLS__TIMEOATY.XLS__73"/>
      <sheetName val="_TIMEOATY.XLS__MQADATA_TEST__20"/>
      <sheetName val="_TIMEOATY.XLS__V_MQADATA_TES_20"/>
      <sheetName val="_TIMEOATY.XLS__TIMEOATY.XLS__74"/>
      <sheetName val="_TIMEOATY.XLS__TIMEOATY.XLS__75"/>
      <sheetName val="_TIMEOATY.XLS__P_MQADATA_TES_20"/>
      <sheetName val="_TIMEOATY.XLS__C_V_MQADATA_T_20"/>
      <sheetName val="_TIMEOATY.XLS__C_P_MQADATA_T_20"/>
      <sheetName val="_TIMEOATY.XLS__TIMEOATY.XLS__76"/>
      <sheetName val="_TIMEOATY.XLS__TIMEOATY.XLS__95"/>
      <sheetName val="_TIMEOATY.XLS__TIMEOATY.XLS__96"/>
      <sheetName val="_TIMEOATY.XLS__TIMEOATY.XLS__97"/>
      <sheetName val="_TIMEOATY.XLS__MQADATA_TEST__25"/>
      <sheetName val="_TIMEOATY.XLS__V_MQADATA_TES_25"/>
      <sheetName val="_TIMEOATY.XLS__TIMEOATY.XLS__98"/>
      <sheetName val="_TIMEOATY.XLS__TIMEOATY.XLS__99"/>
      <sheetName val="_TIMEOATY.XLS__P_MQADATA_TES_25"/>
      <sheetName val="_TIMEOATY.XLS__C_V_MQADATA_T_25"/>
      <sheetName val="_TIMEOATY.XLS__C_P_MQADATA_T_25"/>
      <sheetName val="_TIMEOATY.XLS__TIMEOATY_XLS_100"/>
      <sheetName val="_TIMEOATY.XLS__TIMEOATY.XLS__83"/>
      <sheetName val="_TIMEOATY.XLS__TIMEOATY.XLS__84"/>
      <sheetName val="_TIMEOATY.XLS__TIMEOATY.XLS__85"/>
      <sheetName val="_TIMEOATY.XLS__MQADATA_TEST__22"/>
      <sheetName val="_TIMEOATY.XLS__V_MQADATA_TES_22"/>
      <sheetName val="_TIMEOATY.XLS__TIMEOATY.XLS__89"/>
      <sheetName val="_TIMEOATY.XLS__TIMEOATY.XLS__90"/>
      <sheetName val="_TIMEOATY.XLS__P_MQADATA_TES_22"/>
      <sheetName val="_TIMEOATY.XLS__C_V_MQADATA_T_22"/>
      <sheetName val="_TIMEOATY.XLS__C_P_MQADATA_T_22"/>
      <sheetName val="_TIMEOATY.XLS__TIMEOATY.XLS__91"/>
      <sheetName val="_TIMEOATY.XLS__TIMEOATY.XLS__86"/>
      <sheetName val="_TIMEOATY.XLS__TIMEOATY.XLS__87"/>
      <sheetName val="_TIMEOATY.XLS__TIMEOATY.XLS__88"/>
      <sheetName val="_TIMEOATY.XLS__MQADATA_TEST__24"/>
      <sheetName val="_TIMEOATY.XLS__V_MQADATA_TES_24"/>
      <sheetName val="_TIMEOATY.XLS__P_MQADATA_TES_24"/>
      <sheetName val="_TIMEOATY.XLS__C_V_MQADATA_T_24"/>
      <sheetName val="_TIMEOATY.XLS__C_P_MQADATA_T_24"/>
      <sheetName val="_TIMEOATY.XLS__MQADATA_TEST__23"/>
      <sheetName val="_TIMEOATY.XLS__V_MQADATA_TES_23"/>
      <sheetName val="_TIMEOATY.XLS__P_MQADATA_TES_23"/>
      <sheetName val="_TIMEOATY.XLS__C_V_MQADATA_T_23"/>
      <sheetName val="_TIMEOATY.XLS__C_P_MQADATA_T_23"/>
      <sheetName val="_TIMEOATY.XLS__TIMEOATY.XLS__92"/>
      <sheetName val="_TIMEOATY.XLS__TIMEOATY.XLS__93"/>
      <sheetName val="_TIMEOATY.XLS__TIMEOATY.XLS__94"/>
      <sheetName val="_TIMEOATY.XLS__TIMEOATY_XLS_101"/>
      <sheetName val="_TIMEOATY.XLS__TIMEOATY_XLS_102"/>
      <sheetName val="_TIMEOATY.XLS__TIMEOATY_XLS_103"/>
      <sheetName val="_TIMEOATY.XLS__MQADATA_TEST__26"/>
      <sheetName val="_TIMEOATY.XLS__V_MQADATA_TES_26"/>
      <sheetName val="_TIMEOATY.XLS__TIMEOATY_XLS_104"/>
      <sheetName val="_TIMEOATY.XLS__TIMEOATY_XLS_105"/>
      <sheetName val="_TIMEOATY.XLS__P_MQADATA_TES_26"/>
      <sheetName val="_TIMEOATY.XLS__C_V_MQADATA_T_26"/>
      <sheetName val="_TIMEOATY.XLS__C_P_MQADATA_T_26"/>
      <sheetName val="_TIMEOATY.XLS__TIMEOATY_XLS_106"/>
      <sheetName val="_TIMEOATY.XLS___192_168_200__12"/>
      <sheetName val="_TIMEOATY.XLS___192_168_200__13"/>
      <sheetName val="_Users_c-3202_AppData_Roaming_M"/>
      <sheetName val="_Users_c1978_AppData_Roaming_Fo"/>
      <sheetName val="_Users_admin_Documents_Microsof"/>
      <sheetName val="_C_Users_admin_Documents_Micros"/>
      <sheetName val="_C_C_Users_admin_Documents_Micr"/>
      <sheetName val="_C_C_C_Users_admin_Documents_Mi"/>
      <sheetName val="_Volumes_246 302资料_CTB_TIMEOATY"/>
      <sheetName val="_C_Volumes_246 302资料_CTB_TIMEOA"/>
      <sheetName val="_C_C_Volumes_246 302资料_CTB_TIME"/>
      <sheetName val="_C_C_C_Volumes_246 302资料_CTB_TI"/>
      <sheetName val="__10.12.8.248_C_C_C_C_Users_adm"/>
      <sheetName val="__csg00fls01_V_MQADATA_TEST_TIM"/>
      <sheetName val="__csg00fls01_P_MQADATA_TEST_TIM"/>
      <sheetName val="_Documents and Settings_LYDIA.Z"/>
      <sheetName val="_Users_LIUJIANF_AppData_Local_M"/>
      <sheetName val="_C_Users_LIUJIANF_AppData_Local"/>
      <sheetName val="__192.168.100.11_V_MQADATA_TEST"/>
      <sheetName val="_Documents and Settings_wang_zh"/>
      <sheetName val="_C_C_Users_LG_AppData_Local_Mic"/>
      <sheetName val="__10.12.8.39_V_MQADATA_TEST_TIM"/>
      <sheetName val="__10.12.8.39_P_MQADATA_TEST_TIM"/>
      <sheetName val="_Users_sandyyang_Library_Contai"/>
      <sheetName val="_Users_lianglu_AppData_Local_Mi"/>
      <sheetName val="_Library_Containers_com.apple.m"/>
      <sheetName val="_C_Library_Containers_com.apple"/>
      <sheetName val="__Jgsp-fsv4_con_ga1$_V_MQADATA_"/>
      <sheetName val="_Volumes_Document_! Temp 不要放重要文"/>
      <sheetName val="_C_Volumes_Document_! Temp 不要放重"/>
      <sheetName val="_C_C_Volumes_Document_! Temp 不要"/>
      <sheetName val="_C_C_C_Volumes_Document_! Temp "/>
      <sheetName val="_D_C_C_C_Volumes_Document_! Tem"/>
      <sheetName val="_C_D_C_C_C_Volumes_Document_! T"/>
      <sheetName val="_C_C_D_C_C_C_Volumes_Document_!"/>
      <sheetName val="_Users_test11_Library_Mail Down"/>
      <sheetName val="_D_Users_test11_Library_Mail Do"/>
      <sheetName val="_C_C_C_D_C_C_C_Volumes_Document"/>
      <sheetName val="_C_C_Library_Containers_com.app"/>
      <sheetName val="__jgsp-fsv4_Macintosh HD_V_MQAD"/>
      <sheetName val="__172.17.31.252_C_C_@_Users_623"/>
      <sheetName val="__172.17.31.252_Volumes_专案文件服务器"/>
      <sheetName val="__172.17.31.252_@_172.17.31.252"/>
      <sheetName val="_TIMEOATY.XLS__TIMEOATY.XLS__MQ"/>
      <sheetName val="_TIMEOATY.XLS__TI"/>
      <sheetName val="_TIMEOATY.XLS__MQ"/>
      <sheetName val="_TI"/>
      <sheetName val="_Users_teet11_Library_Mail Down"/>
      <sheetName val="_D_Users_teet11_Library_Mail Do"/>
      <sheetName val="_TIMEOATY.XLS__TIMEOATY.XLS__TE"/>
      <sheetName val="_D_V_MQADATA_TEST_TIMEOATY.XLS"/>
      <sheetName val="[TIMEOATY.XLS]_MQADATA_TEST__27"/>
      <sheetName val="[TIMEOATY.XLS]_V_MQADATA_TES_27"/>
      <sheetName val="[TIMEOATY.XLS]_P_MQADATA_TES_27"/>
      <sheetName val="[TIMEOATY.XLS]_C_V_MQADATA_T_27"/>
      <sheetName val="[TIMEOATY.XLS]_C_P_MQADATA_T_27"/>
      <sheetName val="[TIMEOATY.XLS]_TIMEOATY_XLS_107"/>
      <sheetName val="[TIMEOATY.XLS]_TIMEOATY_XLS_108"/>
      <sheetName val="[TIMEOATY.XLS]_TIMEOATY_XLS_109"/>
      <sheetName val="[TIMEOATY.XLS]_MQADATA_TEST__28"/>
      <sheetName val="[TIMEOATY.XLS]_V_MQADATA_TES_28"/>
      <sheetName val="[TIMEOATY.XLS]_P_MQADATA_TES_28"/>
      <sheetName val="[TIMEOATY.XLS]_C_V_MQADATA_T_28"/>
      <sheetName val="[TIMEOATY.XLS]_C_P_MQADATA_T_28"/>
      <sheetName val="[TIMEOATY.XLS]__10_12_8_248_C_3"/>
      <sheetName val="[TIMEOATY.XLS]_D_V_MQADATA_TE_3"/>
      <sheetName val="[TIMEOATY.XLS]__172_17_31_252_3"/>
      <sheetName val="[TIMEOATY.XLS]__10_12_8_248_C_2"/>
      <sheetName val="[TIMEOATY.XLS]_D_V_MQADATA_TE_2"/>
      <sheetName val="[TIMEOATY.XLS]__172_17_31_252_2"/>
      <sheetName val="[TIMEOATY.XLS]_TIMEOATY_XLS_119"/>
      <sheetName val="[TIMEOATY.XLS]_TIMEOATY_XLS_120"/>
      <sheetName val="[TIMEOATY.XLS]_TIMEOATY_XLS_121"/>
      <sheetName val="[TIMEOATY.XLS]__192_168_200__14"/>
      <sheetName val="[TIMEOATY.XLS]__192_168_200__15"/>
      <sheetName val="[TIMEOATY.XLS]_TEST_TIMEOATY__8"/>
      <sheetName val="[TIMEOATY.XLS]_TIMEOATY_XLS_110"/>
      <sheetName val="[TIMEOATY.XLS]_TIMEOATY_XLS_111"/>
      <sheetName val="[TIMEOATY.XLS]_TIMEOATY_XLS_112"/>
      <sheetName val="[TIMEOATY.XLS]_TIMEOATY_XLS_113"/>
      <sheetName val="[TIMEOATY.XLS]_TIMEOATY_XLS_114"/>
      <sheetName val="[TIMEOATY.XLS]_TIMEOATY_XLS_115"/>
      <sheetName val="[TIMEOATY.XLS]_TIMEOATY_XLS_116"/>
      <sheetName val="[TIMEOATY.XLS]_TIMEOATY_XLS_117"/>
      <sheetName val="[TIMEOATY.XLS]_TIMEOATY_XLS_118"/>
      <sheetName val="[TIMEOATY.XLS]__192_168_200__16"/>
      <sheetName val="[TIMEOATY.XLS]__192_168_200__17"/>
      <sheetName val="[TIMEOATY.XLS]_TEST_TIMEOATY__9"/>
      <sheetName val="[TIMEOATY.XLS]_TIMEOATY_XLS_122"/>
      <sheetName val="[TIMEOATY.XLS]_TIMEOATY_XLS_123"/>
      <sheetName val="[TIMEOATY.XLS]_TIMEOATY_XLS_124"/>
      <sheetName val="[TIMEOATY.XLS]_MQADATA_TEST__29"/>
      <sheetName val="[TIMEOATY.XLS]_V_MQADATA_TES_29"/>
      <sheetName val="[TIMEOATY.XLS]_TIMEOATY_XLS_125"/>
      <sheetName val="[TIMEOATY.XLS]_TIMEOATY_XLS_126"/>
      <sheetName val="[TIMEOATY.XLS]_P_MQADATA_TES_29"/>
      <sheetName val="[TIMEOATY.XLS]_C_V_MQADATA_T_29"/>
      <sheetName val="[TIMEOATY.XLS]_C_P_MQADATA_T_29"/>
      <sheetName val="[TIMEOATY.XLS]_TIMEOATY_XLS_127"/>
      <sheetName val="[TIMEOATY.XLS]__192_168_200__18"/>
      <sheetName val="[TIMEOATY.XLS]__192_168_200__19"/>
      <sheetName val="[TIMEOATY.XLS]__10_12_8_248_C_4"/>
      <sheetName val="[TIMEOATY.XLS]__172_17_31_252_4"/>
      <sheetName val="[TIMEOATY.XLS]_TEST_TIMEOATY_10"/>
      <sheetName val="[TIMEOATY.XLS]_D_V_MQADATA_TE_4"/>
      <sheetName val="[TIMEOATY.XLS]_TIMEOATY_XLS_128"/>
      <sheetName val="[TIMEOATY.XLS]_TIMEOATY_XLS_129"/>
      <sheetName val="[TIMEOATY.XLS]_TIMEOATY_XLS_130"/>
      <sheetName val="[TIMEOATY.XLS]_MQADATA_TEST__30"/>
      <sheetName val="[TIMEOATY.XLS]_V_MQADATA_TES_30"/>
      <sheetName val="[TIMEOATY.XLS]_P_MQADATA_TES_30"/>
      <sheetName val="[TIMEOATY.XLS]_C_V_MQADATA_T_30"/>
      <sheetName val="[TIMEOATY.XLS]_C_P_MQADATA_T_30"/>
      <sheetName val="[TIMEOATY.XLS]__192_168_200__20"/>
      <sheetName val="[TIMEOATY.XLS]__192_168_200__21"/>
      <sheetName val="[TIMEOATY.XLS]__10_12_8_248_C_5"/>
      <sheetName val="[TIMEOATY.XLS]__172_17_31_252_5"/>
      <sheetName val="[TIMEOATY.XLS]_TEST_TIMEOATY_11"/>
      <sheetName val="[TIMEOATY.XLS]_D_V_MQADATA_TE_5"/>
      <sheetName val="[TIMEOATY.XLS]_TIMEOATY_XLS_131"/>
      <sheetName val="[TIMEOATY.XLS]_TIMEOATY_XLS_132"/>
      <sheetName val="[TIMEOATY.XLS]_TIMEOATY_XLS_133"/>
      <sheetName val="[TIMEOATY.XLS]_MQADATA_TEST__31"/>
      <sheetName val="[TIMEOATY.XLS]_V_MQADATA_TES_31"/>
      <sheetName val="[TIMEOATY.XLS]_TIMEOATY_XLS_134"/>
      <sheetName val="[TIMEOATY.XLS]_TIMEOATY_XLS_135"/>
      <sheetName val="[TIMEOATY.XLS]_P_MQADATA_TES_31"/>
      <sheetName val="[TIMEOATY.XLS]_C_V_MQADATA_T_31"/>
      <sheetName val="[TIMEOATY.XLS]_C_P_MQADATA_T_31"/>
      <sheetName val="[TIMEOATY.XLS]_TIMEOATY_XLS_136"/>
      <sheetName val="[TIMEOATY.XLS]__192_168_200__22"/>
      <sheetName val="[TIMEOATY.XLS]__192_168_200__23"/>
      <sheetName val="[TIMEOATY.XLS]__10_12_8_248_C_6"/>
      <sheetName val="[TIMEOATY.XLS]__172_17_31_252_6"/>
      <sheetName val="[TIMEOATY.XLS]_TEST_TIMEOATY_12"/>
      <sheetName val="[TIMEOATY.XLS]_D_V_MQADATA_TE_6"/>
      <sheetName val="[TIMEOATY.XLS]_TIMEOATY_XLS_137"/>
      <sheetName val="[TIMEOATY.XLS]_TIMEOATY_XLS_138"/>
      <sheetName val="[TIMEOATY.XLS]_TIMEOATY_XLS_139"/>
      <sheetName val="[TIMEOATY.XLS]_MQADATA_TEST__32"/>
      <sheetName val="[TIMEOATY.XLS]_V_MQADATA_TES_32"/>
      <sheetName val="[TIMEOATY.XLS]_TIMEOATY_XLS_140"/>
      <sheetName val="[TIMEOATY.XLS]_TIMEOATY_XLS_141"/>
      <sheetName val="[TIMEOATY.XLS]_P_MQADATA_TES_32"/>
      <sheetName val="[TIMEOATY.XLS]_C_V_MQADATA_T_32"/>
      <sheetName val="[TIMEOATY.XLS]_C_P_MQADATA_T_32"/>
      <sheetName val="[TIMEOATY.XLS]_TIMEOATY_XLS_142"/>
      <sheetName val="[TIMEOATY.XLS]__192_168_200__24"/>
      <sheetName val="[TIMEOATY.XLS]__192_168_200__25"/>
      <sheetName val="[TIMEOATY.XLS]__10_12_8_248_C_7"/>
      <sheetName val="[TIMEOATY.XLS]__172_17_31_252_7"/>
      <sheetName val="[TIMEOATY.XLS]_TEST_TIMEOATY_13"/>
      <sheetName val="[TIMEOATY.XLS]_D_V_MQADATA_TE_7"/>
      <sheetName val="[TIMEOATY.XLS]_TIMEOATY_XLS_143"/>
      <sheetName val="[TIMEOATY.XLS]_TIMEOATY_XLS_144"/>
      <sheetName val="[TIMEOATY.XLS]_TIMEOATY_XLS_145"/>
      <sheetName val="[TIMEOATY.XLS]_TIMEOATY_XLS_146"/>
      <sheetName val="[TIMEOATY.XLS]_TIMEOATY_XLS_147"/>
      <sheetName val="[TIMEOATY.XLS]_TIMEOATY_XLS_148"/>
      <sheetName val="[TIMEOATY.XLS]_MQADATA_TEST__33"/>
      <sheetName val="[TIMEOATY.XLS]_V_MQADATA_TES_33"/>
      <sheetName val="[TIMEOATY.XLS]_TIMEOATY_XLS_149"/>
      <sheetName val="[TIMEOATY.XLS]_TIMEOATY_XLS_150"/>
      <sheetName val="[TIMEOATY.XLS]_P_MQADATA_TES_33"/>
      <sheetName val="[TIMEOATY.XLS]_C_V_MQADATA_T_33"/>
      <sheetName val="[TIMEOATY.XLS]_C_P_MQADATA_T_33"/>
      <sheetName val="[TIMEOATY.XLS]_TIMEOATY_XLS_151"/>
      <sheetName val="[TIMEOATY.XLS]__192_168_200__26"/>
      <sheetName val="[TIMEOATY.XLS]__192_168_200__27"/>
      <sheetName val="[TIMEOATY.XLS]__10_12_8_248_C_8"/>
      <sheetName val="[TIMEOATY.XLS]__172_17_31_252_8"/>
      <sheetName val="[TIMEOATY.XLS]_TEST_TIMEOATY_14"/>
      <sheetName val="[TIMEOATY.XLS]_D_V_MQADATA_TE_8"/>
      <sheetName val="[TIMEOATY.XLS]_TIMEOATY_XLS_152"/>
      <sheetName val="[TIMEOATY.XLS]_TIMEOATY_XLS_153"/>
      <sheetName val="[TIMEOATY.XLS]_TIMEOATY_XLS_154"/>
      <sheetName val="[TIMEOATY.XLS]_MQADATA_TEST__34"/>
      <sheetName val="[TIMEOATY.XLS]_V_MQADATA_TES_34"/>
      <sheetName val="[TIMEOATY.XLS]_P_MQADATA_TES_34"/>
      <sheetName val="[TIMEOATY.XLS]_C_V_MQADATA_T_34"/>
      <sheetName val="[TIMEOATY.XLS]_C_P_MQADATA_T_34"/>
      <sheetName val="[TIMEOATY.XLS]__192_168_200__28"/>
      <sheetName val="[TIMEOATY.XLS]__192_168_200__29"/>
      <sheetName val="[TIMEOATY.XLS]__10_12_8_248_C_9"/>
      <sheetName val="[TIMEOATY.XLS]__172_17_31_252_9"/>
      <sheetName val="[TIMEOATY.XLS]_TEST_TIMEOATY_15"/>
      <sheetName val="[TIMEOATY.XLS]_D_V_MQADATA_TE_9"/>
      <sheetName val="材料序列"/>
      <sheetName val="Gantt Chart w % Complete"/>
      <sheetName val="Basic Gantt Chart"/>
      <sheetName val="Manual Chart"/>
      <sheetName val="Pocket"/>
      <sheetName val="Sep"/>
      <sheetName val="ET"/>
      <sheetName val="DEF"/>
      <sheetName val="[TIMEOATY.XLS]__10_12_8_248__11"/>
      <sheetName val="[TIMEOATY.XLS]__172_17_31_25_11"/>
      <sheetName val="[TIMEOATY.XLS]_D_V_MQADATA_T_11"/>
      <sheetName val="[TIMEOATY.XLS]__10_12_8_248__10"/>
      <sheetName val="[TIMEOATY.XLS]__172_17_31_25_10"/>
      <sheetName val="[TIMEOATY.XLS]_D_V_MQADATA_T_10"/>
      <sheetName val="[TIMEOATY.XLS]_MQADATA_TEST__35"/>
      <sheetName val="[TIMEOATY.XLS]_V_MQADATA_TES_35"/>
      <sheetName val="[TIMEOATY.XLS]_P_MQADATA_TES_35"/>
      <sheetName val="[TIMEOATY.XLS]_C_V_MQADATA_T_35"/>
      <sheetName val="[TIMEOATY.XLS]_C_P_MQADATA_T_35"/>
      <sheetName val="[TIMEOATY.XLS]__192_168_200__30"/>
      <sheetName val="[TIMEOATY.XLS]__192_168_200__31"/>
      <sheetName val="[TIMEOATY.XLS]__10_12_8_248__12"/>
      <sheetName val="[TIMEOATY.XLS]__172_17_31_25_12"/>
      <sheetName val="[TIMEOATY.XLS]_TEST_TIMEOATY_16"/>
      <sheetName val="[TIMEOATY.XLS]_D_V_MQADATA_T_12"/>
      <sheetName val="[TIMEOATY.XLS]_TIMEOATY_XLS_155"/>
      <sheetName val="[TIMEOATY.XLS]_TIMEOATY_XLS_156"/>
      <sheetName val="[TIMEOATY.XLS]_TIMEOATY_XLS_157"/>
      <sheetName val="[TIMEOATY.XLS]_TIMEOATY_XLS_158"/>
      <sheetName val="[TIMEOATY.XLS]_TIMEOATY_XLS_159"/>
      <sheetName val="[TIMEOATY.XLS]_TIMEOATY_XLS_160"/>
      <sheetName val="[TIMEOATY.XLS]_TIMEOATY_XLS_161"/>
      <sheetName val="[TIMEOATY.XLS]_TIMEOATY_XLS_162"/>
      <sheetName val="[TIMEOATY.XLS]_TIMEOATY_XLS_163"/>
      <sheetName val="[TIMEOATY.XLS]_MQADATA_TEST__36"/>
      <sheetName val="[TIMEOATY.XLS]_V_MQADATA_TES_36"/>
      <sheetName val="[TIMEOATY.XLS]_P_MQADATA_TES_36"/>
      <sheetName val="[TIMEOATY.XLS]_C_V_MQADATA_T_36"/>
      <sheetName val="[TIMEOATY.XLS]_C_P_MQADATA_T_36"/>
      <sheetName val="[TIMEOATY.XLS]__192_168_200__32"/>
      <sheetName val="[TIMEOATY.XLS]__192_168_200__33"/>
      <sheetName val="[TIMEOATY.XLS]_TEST_TIMEOATY_17"/>
      <sheetName val="[TIMEOATY.XLS]_TIMEOATY_XLS_164"/>
      <sheetName val="[TIMEOATY.XLS]_TIMEOATY_XLS_165"/>
      <sheetName val="[TIMEOATY.XLS]_TIMEOATY_XLS_166"/>
      <sheetName val="[TIMEOATY.XLS]_MQADATA_TEST__37"/>
      <sheetName val="[TIMEOATY.XLS]_V_MQADATA_TES_37"/>
      <sheetName val="[TIMEOATY.XLS]_P_MQADATA_TES_37"/>
      <sheetName val="[TIMEOATY.XLS]_C_V_MQADATA_T_37"/>
      <sheetName val="[TIMEOATY.XLS]_C_P_MQADATA_T_37"/>
      <sheetName val="[TIMEOATY.XLS]__192_168_200__34"/>
      <sheetName val="[TIMEOATY.XLS]__192_168_200__35"/>
      <sheetName val="[TIMEOATY.XLS]_TEST_TIMEOATY_18"/>
      <sheetName val="[TIMEOATY.XLS]__10_12_8_248__13"/>
      <sheetName val="[TIMEOATY.XLS]__172_17_31_25_13"/>
      <sheetName val="[TIMEOATY.XLS]__10_12_8_248__14"/>
      <sheetName val="[TIMEOATY.XLS]__172_17_31_25_14"/>
      <sheetName val="[TIMEOATY.XLS]_D_V_MQADATA_T_13"/>
      <sheetName val="[TIMEOATY.XLS]__192_168_200__72"/>
      <sheetName val="[TIMEOATY.XLS]__192_168_200__73"/>
      <sheetName val="[TIMEOATY.XLS]__10_12_8_248__37"/>
      <sheetName val="[TIMEOATY.XLS]__172_17_31_25_37"/>
      <sheetName val="[TIMEOATY.XLS]__10_12_8_248__15"/>
      <sheetName val="[TIMEOATY.XLS]__172_17_31_25_15"/>
      <sheetName val="[TIMEOATY.XLS]_D_V_MQADATA_T_14"/>
      <sheetName val="[TIMEOATY.XLS]__10_12_8_248__16"/>
      <sheetName val="[TIMEOATY.XLS]__172_17_31_25_16"/>
      <sheetName val="[TIMEOATY.XLS]_TEST_TIMEOATY_19"/>
      <sheetName val="[TIMEOATY.XLS]_D_V_MQADATA_T_15"/>
      <sheetName val="[TIMEOATY.XLS]__10_12_8_248__17"/>
      <sheetName val="[TIMEOATY.XLS]__172_17_31_25_17"/>
      <sheetName val="[TIMEOATY.XLS]__10_12_8_248__18"/>
      <sheetName val="[TIMEOATY.XLS]__172_17_31_25_18"/>
      <sheetName val="[TIMEOATY.XLS]__192_168_200__36"/>
      <sheetName val="[TIMEOATY.XLS]__192_168_200__37"/>
      <sheetName val="[TIMEOATY.XLS]__10_12_8_248__19"/>
      <sheetName val="[TIMEOATY.XLS]__172_17_31_25_19"/>
      <sheetName val="[TIMEOATY.XLS]_TEST_TIMEOATY_20"/>
      <sheetName val="[TIMEOATY.XLS]_D_V_MQADATA_T_17"/>
      <sheetName val="[TIMEOATY.XLS]_D_V_MQADATA_T_16"/>
      <sheetName val="[TIMEOATY.XLS]__192_168_200__38"/>
      <sheetName val="[TIMEOATY.XLS]__192_168_200__39"/>
      <sheetName val="[TIMEOATY.XLS]__10_12_8_248__20"/>
      <sheetName val="[TIMEOATY.XLS]__172_17_31_25_20"/>
      <sheetName val="[TIMEOATY.XLS]_TEST_TIMEOATY_21"/>
      <sheetName val="[TIMEOATY.XLS]_D_V_MQADATA_T_18"/>
      <sheetName val="[TIMEOATY.XLS]_MQADATA_TEST__44"/>
      <sheetName val="[TIMEOATY.XLS]_V_MQADATA_TES_44"/>
      <sheetName val="[TIMEOATY.XLS]_P_MQADATA_TES_44"/>
      <sheetName val="[TIMEOATY.XLS]_C_V_MQADATA_T_44"/>
      <sheetName val="[TIMEOATY.XLS]_C_P_MQADATA_T_44"/>
      <sheetName val="[TIMEOATY.XLS]_TEST_TIMEOATY_44"/>
      <sheetName val="[TIMEOATY.XLS]_TIMEOATY_XLS_242"/>
      <sheetName val="[TIMEOATY.XLS]_TIMEOATY_XLS_243"/>
      <sheetName val="[TIMEOATY.XLS]_TIMEOATY_XLS_244"/>
      <sheetName val="[TIMEOATY.XLS]_D_V_MQADATA_T_35"/>
      <sheetName val="[TIMEOATY.XLS]_TEST_TIMEOATY_23"/>
      <sheetName val="[TIMEOATY.XLS]__192_168_200__42"/>
      <sheetName val="[TIMEOATY.XLS]__192_168_200__43"/>
      <sheetName val="[TIMEOATY.XLS]__10_12_8_248__22"/>
      <sheetName val="[TIMEOATY.XLS]__172_17_31_25_22"/>
      <sheetName val="[TIMEOATY.XLS]_D_V_MQADATA_T_20"/>
      <sheetName val="[TIMEOATY.XLS]_TEST_TIMEOATY_22"/>
      <sheetName val="[TIMEOATY.XLS]__192_168_200__40"/>
      <sheetName val="[TIMEOATY.XLS]__192_168_200__41"/>
      <sheetName val="[TIMEOATY.XLS]__10_12_8_248__21"/>
      <sheetName val="[TIMEOATY.XLS]__172_17_31_25_21"/>
      <sheetName val="[TIMEOATY.XLS]_D_V_MQADATA_T_19"/>
      <sheetName val="[TIMEOATY.XLS]__192_168_200__44"/>
      <sheetName val="[TIMEOATY.XLS]__192_168_200__45"/>
      <sheetName val="[TIMEOATY.XLS]__10_12_8_248__23"/>
      <sheetName val="[TIMEOATY.XLS]__172_17_31_25_23"/>
      <sheetName val="[TIMEOATY.XLS]_TEST_TIMEOATY_24"/>
      <sheetName val="[TIMEOATY.XLS]_D_V_MQADATA_T_21"/>
      <sheetName val="[TIMEOATY.XLS]__192_168_200__52"/>
      <sheetName val="[TIMEOATY.XLS]__192_168_200__53"/>
      <sheetName val="[TIMEOATY.XLS]__10_12_8_248__27"/>
      <sheetName val="[TIMEOATY.XLS]__172_17_31_25_27"/>
      <sheetName val="[TIMEOATY.XLS]__192_168_200__46"/>
      <sheetName val="[TIMEOATY.XLS]__192_168_200__47"/>
      <sheetName val="[TIMEOATY.XLS]__10_12_8_248__24"/>
      <sheetName val="[TIMEOATY.XLS]__172_17_31_25_24"/>
      <sheetName val="[TIMEOATY.XLS]_TEST_TIMEOATY_25"/>
      <sheetName val="[TIMEOATY.XLS]_D_V_MQADATA_T_22"/>
      <sheetName val="[TIMEOATY.XLS]_TEST_TIMEOATY_26"/>
      <sheetName val="[TIMEOATY.XLS]__192_168_200__48"/>
      <sheetName val="[TIMEOATY.XLS]__192_168_200__49"/>
      <sheetName val="[TIMEOATY.XLS]__10_12_8_248__25"/>
      <sheetName val="[TIMEOATY.XLS]__172_17_31_25_25"/>
      <sheetName val="[TIMEOATY.XLS]_D_V_MQADATA_T_23"/>
      <sheetName val="[TIMEOATY.XLS]_TEST_TIMEOATY_28"/>
      <sheetName val="[TIMEOATY.XLS]_D_V_MQADATA_T_25"/>
      <sheetName val="[TIMEOATY.XLS]_TEST_TIMEOATY_27"/>
      <sheetName val="[TIMEOATY.XLS]__192_168_200__50"/>
      <sheetName val="[TIMEOATY.XLS]__192_168_200__51"/>
      <sheetName val="[TIMEOATY.XLS]__10_12_8_248__26"/>
      <sheetName val="[TIMEOATY.XLS]__172_17_31_25_26"/>
      <sheetName val="[TIMEOATY.XLS]_D_V_MQADATA_T_24"/>
      <sheetName val="[TIMEOATY.XLS]_TEST_TIMEOATY_29"/>
      <sheetName val="[TIMEOATY.XLS]__192_168_200__54"/>
      <sheetName val="[TIMEOATY.XLS]__192_168_200__55"/>
      <sheetName val="[TIMEOATY.XLS]__10_12_8_248__28"/>
      <sheetName val="[TIMEOATY.XLS]__172_17_31_25_28"/>
      <sheetName val="[TIMEOATY.XLS]_D_V_MQADATA_T_26"/>
      <sheetName val="[TIMEOATY.XLS]__192_168_200__56"/>
      <sheetName val="[TIMEOATY.XLS]__192_168_200__57"/>
      <sheetName val="[TIMEOATY.XLS]__10_12_8_248__29"/>
      <sheetName val="[TIMEOATY.XLS]__172_17_31_25_29"/>
      <sheetName val="[TIMEOATY.XLS]_TEST_TIMEOATY_30"/>
      <sheetName val="[TIMEOATY.XLS]_D_V_MQADATA_T_27"/>
      <sheetName val="[TIMEOATY.XLS]_TEST_TIMEOATY_31"/>
      <sheetName val="[TIMEOATY.XLS]__192_168_200__58"/>
      <sheetName val="[TIMEOATY.XLS]__192_168_200__59"/>
      <sheetName val="[TIMEOATY.XLS]__10_12_8_248__30"/>
      <sheetName val="[TIMEOATY.XLS]__172_17_31_25_30"/>
      <sheetName val="[TIMEOATY.XLS]_D_V_MQADATA_T_28"/>
      <sheetName val="[TIMEOATY.XLS]_TIMEOATY_XLS_170"/>
      <sheetName val="[TIMEOATY.XLS]_TIMEOATY_XLS_171"/>
      <sheetName val="[TIMEOATY.XLS]_TIMEOATY_XLS_172"/>
      <sheetName val="[TIMEOATY.XLS]__192_168_200__64"/>
      <sheetName val="[TIMEOATY.XLS]__192_168_200__65"/>
      <sheetName val="[TIMEOATY.XLS]__10_12_8_248__33"/>
      <sheetName val="[TIMEOATY.XLS]__172_17_31_25_33"/>
      <sheetName val="[TIMEOATY.XLS]_TEST_TIMEOATY_34"/>
      <sheetName val="[TIMEOATY.XLS]_D_V_MQADATA_T_31"/>
      <sheetName val="[TIMEOATY.XLS]_TEST_TIMEOATY_32"/>
      <sheetName val="[TIMEOATY.XLS]__192_168_200__60"/>
      <sheetName val="[TIMEOATY.XLS]__192_168_200__61"/>
      <sheetName val="[TIMEOATY.XLS]__10_12_8_248__31"/>
      <sheetName val="[TIMEOATY.XLS]_D_V_MQADATA_T_29"/>
      <sheetName val="[TIMEOATY.XLS]__172_17_31_25_31"/>
      <sheetName val="[TIMEOATY.XLS]__192_168_200__62"/>
      <sheetName val="[TIMEOATY.XLS]__192_168_200__63"/>
      <sheetName val="[TIMEOATY.XLS]__10_12_8_248__32"/>
      <sheetName val="[TIMEOATY.XLS]__172_17_31_25_32"/>
      <sheetName val="[TIMEOATY.XLS]_TIMEOATY_XLS_167"/>
      <sheetName val="[TIMEOATY.XLS]_TIMEOATY_XLS_168"/>
      <sheetName val="[TIMEOATY.XLS]_TIMEOATY_XLS_169"/>
      <sheetName val="[TIMEOATY.XLS]_TEST_TIMEOATY_33"/>
      <sheetName val="[TIMEOATY.XLS]_D_V_MQADATA_T_30"/>
      <sheetName val="[TIMEOATY.XLS]_TIMEOATY_XLS_209"/>
      <sheetName val="[TIMEOATY.XLS]_TIMEOATY_XLS_210"/>
      <sheetName val="[TIMEOATY.XLS]_TIMEOATY_XLS_211"/>
      <sheetName val="[TIMEOATY.XLS]__192_168_200__66"/>
      <sheetName val="[TIMEOATY.XLS]__192_168_200__67"/>
      <sheetName val="[TIMEOATY.XLS]__10_12_8_248__34"/>
      <sheetName val="[TIMEOATY.XLS]__172_17_31_25_34"/>
      <sheetName val="[TIMEOATY.XLS]_MQADATA_TEST__40"/>
      <sheetName val="[TIMEOATY.XLS]_V_MQADATA_TES_40"/>
      <sheetName val="[TIMEOATY.XLS]_P_MQADATA_TES_40"/>
      <sheetName val="[TIMEOATY.XLS]_C_V_MQADATA_T_40"/>
      <sheetName val="[TIMEOATY.XLS]_C_P_MQADATA_T_40"/>
      <sheetName val="[TIMEOATY.XLS]_TEST_TIMEOATY_40"/>
      <sheetName val="[TIMEOATY.XLS]_D_V_MQADATA_T_32"/>
      <sheetName val="源"/>
      <sheetName val="2.供应商端质量数据"/>
      <sheetName val="倍率放电16"/>
      <sheetName val="倍率放电17"/>
      <sheetName val="倍率放电18"/>
      <sheetName val="倍率放电19-1"/>
      <sheetName val="倍率放电19-2"/>
      <sheetName val="倍率放电20"/>
      <sheetName val="倍率放电21"/>
      <sheetName val="倍率放电22"/>
      <sheetName val="60℃放电"/>
      <sheetName val="数据源不可删除"/>
      <sheetName val="25度循环6只"/>
      <sheetName val="[TIMEOATY.XLS]\D\V\MQADATA\TEST"/>
      <sheetName val="Cork"/>
      <sheetName val="[TIMEOATY.XLS]_TIMEOATY_XLS_179"/>
      <sheetName val="[TIMEOATY.XLS]_TIMEOATY_XLS_180"/>
      <sheetName val="[TIMEOATY.XLS]_TIMEOATY_XLS_181"/>
      <sheetName val="[TIMEOATY.XLS]_TEST_TIMEOATY_35"/>
      <sheetName val="[TIMEOATY.XLS]_TIMEOATY_XLS_173"/>
      <sheetName val="[TIMEOATY.XLS]_TIMEOATY_XLS_174"/>
      <sheetName val="[TIMEOATY.XLS]_TIMEOATY_XLS_175"/>
      <sheetName val="[TIMEOATY.XLS]_TIMEOATY_XLS_176"/>
      <sheetName val="[TIMEOATY.XLS]_TIMEOATY_XLS_177"/>
      <sheetName val="[TIMEOATY.XLS]_TIMEOATY_XLS_178"/>
      <sheetName val="[TIMEOATY.XLS]_TIMEOATY_XLS_185"/>
      <sheetName val="[TIMEOATY.XLS]_TIMEOATY_XLS_186"/>
      <sheetName val="[TIMEOATY.XLS]_TIMEOATY_XLS_187"/>
      <sheetName val="[TIMEOATY.XLS]_TIMEOATY_XLS_182"/>
      <sheetName val="[TIMEOATY.XLS]_TIMEOATY_XLS_183"/>
      <sheetName val="[TIMEOATY.XLS]_TIMEOATY_XLS_184"/>
      <sheetName val="[TIMEOATY.XLS]_TIMEOATY_XLS_188"/>
      <sheetName val="[TIMEOATY.XLS]_TIMEOATY_XLS_189"/>
      <sheetName val="[TIMEOATY.XLS]_TIMEOATY_XLS_190"/>
      <sheetName val="[TIMEOATY.XLS]_TIMEOATY_XLS_200"/>
      <sheetName val="[TIMEOATY.XLS]_TIMEOATY_XLS_201"/>
      <sheetName val="[TIMEOATY.XLS]_TIMEOATY_XLS_202"/>
      <sheetName val="[TIMEOATY.XLS]_MQADATA_TEST__39"/>
      <sheetName val="[TIMEOATY.XLS]_V_MQADATA_TES_39"/>
      <sheetName val="[TIMEOATY.XLS]_P_MQADATA_TES_39"/>
      <sheetName val="[TIMEOATY.XLS]_C_V_MQADATA_T_39"/>
      <sheetName val="[TIMEOATY.XLS]_C_P_MQADATA_T_39"/>
      <sheetName val="[TIMEOATY.XLS]_TEST_TIMEOATY_39"/>
      <sheetName val="[TIMEOATY.XLS]_TIMEOATY_XLS_191"/>
      <sheetName val="[TIMEOATY.XLS]_TIMEOATY_XLS_192"/>
      <sheetName val="[TIMEOATY.XLS]_TIMEOATY_XLS_193"/>
      <sheetName val="[TIMEOATY.XLS]_TEST_TIMEOATY_36"/>
      <sheetName val="[TIMEOATY.XLS]_TIMEOATY_XLS_194"/>
      <sheetName val="[TIMEOATY.XLS]_TIMEOATY_XLS_195"/>
      <sheetName val="[TIMEOATY.XLS]_TIMEOATY_XLS_196"/>
      <sheetName val="[TIMEOATY.XLS]_TEST_TIMEOATY_37"/>
      <sheetName val="[TIMEOATY.XLS]_TIMEOATY_XLS_197"/>
      <sheetName val="[TIMEOATY.XLS]_TIMEOATY_XLS_198"/>
      <sheetName val="[TIMEOATY.XLS]_TIMEOATY_XLS_199"/>
      <sheetName val="[TIMEOATY.XLS]_MQADATA_TEST__38"/>
      <sheetName val="[TIMEOATY.XLS]_V_MQADATA_TES_38"/>
      <sheetName val="[TIMEOATY.XLS]_P_MQADATA_TES_38"/>
      <sheetName val="[TIMEOATY.XLS]_C_V_MQADATA_T_38"/>
      <sheetName val="[TIMEOATY.XLS]_C_P_MQADATA_T_38"/>
      <sheetName val="[TIMEOATY.XLS]_TEST_TIMEOATY_38"/>
      <sheetName val="\MQ"/>
      <sheetName val="T진도"/>
      <sheetName val="evaluated question"/>
      <sheetName val="合规性审核"/>
      <sheetName val="[TIMEOATY.XLS]_TIMEOATY_XLS_203"/>
      <sheetName val="[TIMEOATY.XLS]_TIMEOATY_XLS_204"/>
      <sheetName val="[TIMEOATY.XLS]_TIMEOATY_XLS_205"/>
      <sheetName val="[TIMEOATY.XLS]_TIMEOATY_XLS_206"/>
      <sheetName val="[TIMEOATY.XLS]_TIMEOATY_XLS_207"/>
      <sheetName val="[TIMEOATY.XLS]_TIMEOATY_XLS_208"/>
      <sheetName val="[TIMEOATY.XLS]_TIMEOATY_XLS_227"/>
      <sheetName val="[TIMEOATY.XLS]_TIMEOATY_XLS_228"/>
      <sheetName val="[TIMEOATY.XLS]_TIMEOATY_XLS_229"/>
      <sheetName val="[TIMEOATY.XLS]__192_168_200__68"/>
      <sheetName val="[TIMEOATY.XLS]__192_168_200__69"/>
      <sheetName val="[TIMEOATY.XLS]__10_12_8_248__35"/>
      <sheetName val="[TIMEOATY.XLS]__172_17_31_25_35"/>
      <sheetName val="[TIMEOATY.XLS]_MQADATA_TEST__42"/>
      <sheetName val="[TIMEOATY.XLS]_V_MQADATA_TES_42"/>
      <sheetName val="[TIMEOATY.XLS]_P_MQADATA_TES_42"/>
      <sheetName val="[TIMEOATY.XLS]_C_V_MQADATA_T_42"/>
      <sheetName val="[TIMEOATY.XLS]_C_P_MQADATA_T_42"/>
      <sheetName val="[TIMEOATY.XLS]_TEST_TIMEOATY_42"/>
      <sheetName val="[TIMEOATY.XLS]_D_V_MQADATA_T_33"/>
      <sheetName val="[TIMEOATY.XLS]_TIMEOATY_XLS_212"/>
      <sheetName val="[TIMEOATY.XLS]_TIMEOATY_XLS_213"/>
      <sheetName val="[TIMEOATY.XLS]_TIMEOATY_XLS_214"/>
      <sheetName val="[TIMEOATY.XLS]_TIMEOATY_XLS_215"/>
      <sheetName val="[TIMEOATY.XLS]_TIMEOATY_XLS_216"/>
      <sheetName val="[TIMEOATY.XLS]_TIMEOATY_XLS_217"/>
      <sheetName val="[TIMEOATY.XLS]_MQADATA_TEST__41"/>
      <sheetName val="[TIMEOATY.XLS]_V_MQADATA_TES_41"/>
      <sheetName val="[TIMEOATY.XLS]_TIMEOATY_XLS_218"/>
      <sheetName val="[TIMEOATY.XLS]_TIMEOATY_XLS_219"/>
      <sheetName val="[TIMEOATY.XLS]_P_MQADATA_TES_41"/>
      <sheetName val="[TIMEOATY.XLS]_C_V_MQADATA_T_41"/>
      <sheetName val="[TIMEOATY.XLS]_C_P_MQADATA_T_41"/>
      <sheetName val="[TIMEOATY.XLS]_TIMEOATY_XLS_220"/>
      <sheetName val="[TIMEOATY.XLS]_TEST_TIMEOATY_41"/>
      <sheetName val="[TIMEOATY.XLS]_TIMEOATY_XLS_224"/>
      <sheetName val="[TIMEOATY.XLS]_TIMEOATY_XLS_225"/>
      <sheetName val="[TIMEOATY.XLS]_TIMEOATY_XLS_226"/>
      <sheetName val="[TIMEOATY.XLS]_TIMEOATY_XLS_221"/>
      <sheetName val="[TIMEOATY.XLS]_TIMEOATY_XLS_222"/>
      <sheetName val="[TIMEOATY.XLS]_TIMEOATY_XLS_223"/>
      <sheetName val="[TIMEOATY.XLS]_TIMEOATY_XLS_239"/>
      <sheetName val="[TIMEOATY.XLS]_TIMEOATY_XLS_240"/>
      <sheetName val="[TIMEOATY.XLS]_TIMEOATY_XLS_241"/>
      <sheetName val="[TIMEOATY.XLS]_TIMEOATY_XLS_230"/>
      <sheetName val="[TIMEOATY.XLS]_TIMEOATY_XLS_231"/>
      <sheetName val="[TIMEOATY.XLS]_TIMEOATY_XLS_232"/>
      <sheetName val="[TIMEOATY.XLS]_TIMEOATY_XLS_233"/>
      <sheetName val="[TIMEOATY.XLS]_TIMEOATY_XLS_234"/>
      <sheetName val="[TIMEOATY.XLS]_TIMEOATY_XLS_235"/>
      <sheetName val="[TIMEOATY.XLS]__192_168_200__70"/>
      <sheetName val="[TIMEOATY.XLS]__192_168_200__71"/>
      <sheetName val="[TIMEOATY.XLS]__10_12_8_248__36"/>
      <sheetName val="[TIMEOATY.XLS]__172_17_31_25_36"/>
      <sheetName val="[TIMEOATY.XLS]_MQADATA_TEST__43"/>
      <sheetName val="[TIMEOATY.XLS]_V_MQADATA_TES_43"/>
      <sheetName val="[TIMEOATY.XLS]_TIMEOATY_XLS_236"/>
      <sheetName val="[TIMEOATY.XLS]_TIMEOATY_XLS_237"/>
      <sheetName val="[TIMEOATY.XLS]_P_MQADATA_TES_43"/>
      <sheetName val="[TIMEOATY.XLS]_C_V_MQADATA_T_43"/>
      <sheetName val="[TIMEOATY.XLS]_C_P_MQADATA_T_43"/>
      <sheetName val="[TIMEOATY.XLS]_TIMEOATY_XLS_238"/>
      <sheetName val="[TIMEOATY.XLS]_TEST_TIMEOATY_43"/>
      <sheetName val="[TIMEOATY.XLS]_D_V_MQADATA_T_34"/>
      <sheetName val="[TIMEOATY.XLS]__192_168_200__84"/>
      <sheetName val="[TIMEOATY.XLS]__192_168_200__85"/>
      <sheetName val="[TIMEOATY.XLS]__10_12_8_248__43"/>
      <sheetName val="[TIMEOATY.XLS]__172_17_31_25_43"/>
      <sheetName val="[TIMEOATY.XLS]_MQADATA_TEST__49"/>
      <sheetName val="[TIMEOATY.XLS]_V_MQADATA_TES_49"/>
      <sheetName val="[TIMEOATY.XLS]_TIMEOATY_XLS_329"/>
      <sheetName val="[TIMEOATY.XLS]_TIMEOATY_XLS_330"/>
      <sheetName val="[TIMEOATY.XLS]_P_MQADATA_TES_49"/>
      <sheetName val="[TIMEOATY.XLS]_C_V_MQADATA_T_49"/>
      <sheetName val="[TIMEOATY.XLS]_C_P_MQADATA_T_49"/>
      <sheetName val="[TIMEOATY.XLS]_TIMEOATY_XLS_331"/>
      <sheetName val="[TIMEOATY.XLS]_TEST_TIMEOATY_49"/>
      <sheetName val="[TIMEOATY.XLS]_TIMEOATY_XLS_260"/>
      <sheetName val="[TIMEOATY.XLS]_TIMEOATY_XLS_261"/>
      <sheetName val="[TIMEOATY.XLS]_TIMEOATY_XLS_262"/>
      <sheetName val="[TIMEOATY.XLS]_D_V_MQADATA_T_40"/>
      <sheetName val="[TIMEOATY.XLS]_TIMEOATY_XLS_245"/>
      <sheetName val="[TIMEOATY.XLS]_TIMEOATY_XLS_246"/>
      <sheetName val="[TIMEOATY.XLS]_TIMEOATY_XLS_247"/>
      <sheetName val="[TIMEOATY.XLS]__192_168_200__74"/>
      <sheetName val="[TIMEOATY.XLS]__192_168_200__75"/>
      <sheetName val="[TIMEOATY.XLS]__10_12_8_248__38"/>
      <sheetName val="[TIMEOATY.XLS]__172_17_31_25_38"/>
      <sheetName val="[TIMEOATY.XLS]__192_168_200__80"/>
      <sheetName val="[TIMEOATY.XLS]__192_168_200__81"/>
      <sheetName val="[TIMEOATY.XLS]__10_12_8_248__41"/>
      <sheetName val="[TIMEOATY.XLS]__172_17_31_25_41"/>
      <sheetName val="[TIMEOATY.XLS]_TIMEOATY_XLS_254"/>
      <sheetName val="[TIMEOATY.XLS]_TIMEOATY_XLS_255"/>
      <sheetName val="[TIMEOATY.XLS]_TIMEOATY_XLS_256"/>
      <sheetName val="[TIMEOATY.XLS]_MQADATA_TEST__47"/>
      <sheetName val="[TIMEOATY.XLS]_V_MQADATA_TES_47"/>
      <sheetName val="[TIMEOATY.XLS]_P_MQADATA_TES_47"/>
      <sheetName val="[TIMEOATY.XLS]_C_V_MQADATA_T_47"/>
      <sheetName val="[TIMEOATY.XLS]_C_P_MQADATA_T_47"/>
      <sheetName val="[TIMEOATY.XLS]_TEST_TIMEOATY_47"/>
      <sheetName val="[TIMEOATY.XLS]_D_V_MQADATA_T_38"/>
      <sheetName val="[TIMEOATY.XLS]__192_168_200__76"/>
      <sheetName val="[TIMEOATY.XLS]__192_168_200__77"/>
      <sheetName val="[TIMEOATY.XLS]__10_12_8_248__39"/>
      <sheetName val="[TIMEOATY.XLS]__172_17_31_25_39"/>
      <sheetName val="[TIMEOATY.XLS]_TIMEOATY_XLS_248"/>
      <sheetName val="[TIMEOATY.XLS]_TIMEOATY_XLS_249"/>
      <sheetName val="[TIMEOATY.XLS]_TIMEOATY_XLS_250"/>
      <sheetName val="[TIMEOATY.XLS]_MQADATA_TEST__45"/>
      <sheetName val="[TIMEOATY.XLS]_V_MQADATA_TES_45"/>
      <sheetName val="[TIMEOATY.XLS]_P_MQADATA_TES_45"/>
      <sheetName val="[TIMEOATY.XLS]_C_V_MQADATA_T_45"/>
      <sheetName val="[TIMEOATY.XLS]_C_P_MQADATA_T_45"/>
      <sheetName val="[TIMEOATY.XLS]_TEST_TIMEOATY_45"/>
      <sheetName val="[TIMEOATY.XLS]_D_V_MQADATA_T_36"/>
      <sheetName val="[TIMEOATY.XLS]__192_168_200__78"/>
      <sheetName val="[TIMEOATY.XLS]__192_168_200__79"/>
      <sheetName val="[TIMEOATY.XLS]__10_12_8_248__40"/>
      <sheetName val="[TIMEOATY.XLS]__172_17_31_25_40"/>
      <sheetName val="[TIMEOATY.XLS]_TIMEOATY_XLS_251"/>
      <sheetName val="[TIMEOATY.XLS]_TIMEOATY_XLS_252"/>
      <sheetName val="[TIMEOATY.XLS]_TIMEOATY_XLS_253"/>
      <sheetName val="[TIMEOATY.XLS]_MQADATA_TEST__46"/>
      <sheetName val="[TIMEOATY.XLS]_V_MQADATA_TES_46"/>
      <sheetName val="[TIMEOATY.XLS]_P_MQADATA_TES_46"/>
      <sheetName val="[TIMEOATY.XLS]_C_V_MQADATA_T_46"/>
      <sheetName val="[TIMEOATY.XLS]_C_P_MQADATA_T_46"/>
      <sheetName val="[TIMEOATY.XLS]_TEST_TIMEOATY_46"/>
      <sheetName val="[TIMEOATY.XLS]_D_V_MQADATA_T_37"/>
      <sheetName val="[TIMEOATY.XLS]__192_168_200__82"/>
      <sheetName val="[TIMEOATY.XLS]__192_168_200__83"/>
      <sheetName val="[TIMEOATY.XLS]__10_12_8_248__42"/>
      <sheetName val="[TIMEOATY.XLS]__172_17_31_25_42"/>
      <sheetName val="[TIMEOATY.XLS]_MQADATA_TEST__48"/>
      <sheetName val="[TIMEOATY.XLS]_V_MQADATA_TES_48"/>
      <sheetName val="[TIMEOATY.XLS]_P_MQADATA_TES_48"/>
      <sheetName val="[TIMEOATY.XLS]_C_V_MQADATA_T_48"/>
      <sheetName val="[TIMEOATY.XLS]_C_P_MQADATA_T_48"/>
      <sheetName val="[TIMEOATY.XLS]_TEST_TIMEOATY_48"/>
      <sheetName val="[TIMEOATY.XLS]_TIMEOATY_XLS_257"/>
      <sheetName val="[TIMEOATY.XLS]_TIMEOATY_XLS_258"/>
      <sheetName val="[TIMEOATY.XLS]_TIMEOATY_XLS_259"/>
      <sheetName val="[TIMEOATY.XLS]_D_V_MQADATA_T_39"/>
      <sheetName val="[TIMEOATY.XLS]__192_168_200_124"/>
      <sheetName val="[TIMEOATY.XLS]__192_168_200_125"/>
      <sheetName val="[TIMEOATY.XLS]__10_12_8_248__63"/>
      <sheetName val="[TIMEOATY.XLS]__172_17_31_25_63"/>
      <sheetName val="[TIMEOATY.XLS]_MQADATA_TEST__64"/>
      <sheetName val="[TIMEOATY.XLS]_V_MQADATA_TES_64"/>
      <sheetName val="[TIMEOATY.XLS]_P_MQADATA_TES_64"/>
      <sheetName val="[TIMEOATY.XLS]_C_V_MQADATA_T_64"/>
      <sheetName val="[TIMEOATY.XLS]_C_P_MQADATA_T_64"/>
      <sheetName val="[TIMEOATY.XLS]_TEST_TIMEOATY_64"/>
      <sheetName val="[TIMEOATY.XLS]_D_V_MQADATA_T_55"/>
      <sheetName val="[TIMEOATY.XLS]_TIMEOATY_XLS_266"/>
      <sheetName val="[TIMEOATY.XLS]_TIMEOATY_XLS_267"/>
      <sheetName val="[TIMEOATY.XLS]_TIMEOATY_XLS_268"/>
      <sheetName val="[TIMEOATY.XLS]__192_168_200__88"/>
      <sheetName val="[TIMEOATY.XLS]__192_168_200__89"/>
      <sheetName val="[TIMEOATY.XLS]__10_12_8_248__45"/>
      <sheetName val="[TIMEOATY.XLS]__172_17_31_25_45"/>
      <sheetName val="[TIMEOATY.XLS]_MQADATA_TEST__51"/>
      <sheetName val="[TIMEOATY.XLS]_V_MQADATA_TES_51"/>
      <sheetName val="[TIMEOATY.XLS]_TIMEOATY_XLS_269"/>
      <sheetName val="[TIMEOATY.XLS]_TIMEOATY_XLS_270"/>
      <sheetName val="[TIMEOATY.XLS]_P_MQADATA_TES_51"/>
      <sheetName val="[TIMEOATY.XLS]_C_V_MQADATA_T_51"/>
      <sheetName val="[TIMEOATY.XLS]_C_P_MQADATA_T_51"/>
      <sheetName val="[TIMEOATY.XLS]_TIMEOATY_XLS_271"/>
      <sheetName val="[TIMEOATY.XLS]_TEST_TIMEOATY_51"/>
      <sheetName val="[TIMEOATY.XLS]_D_V_MQADATA_T_42"/>
      <sheetName val="[TIMEOATY.XLS]_TIMEOATY_XLS_263"/>
      <sheetName val="[TIMEOATY.XLS]_TIMEOATY_XLS_264"/>
      <sheetName val="[TIMEOATY.XLS]_TIMEOATY_XLS_265"/>
      <sheetName val="[TIMEOATY.XLS]__192_168_200__86"/>
      <sheetName val="[TIMEOATY.XLS]__192_168_200__87"/>
      <sheetName val="[TIMEOATY.XLS]__10_12_8_248__44"/>
      <sheetName val="[TIMEOATY.XLS]__172_17_31_25_44"/>
      <sheetName val="[TIMEOATY.XLS]_MQADATA_TEST__50"/>
      <sheetName val="[TIMEOATY.XLS]_V_MQADATA_TES_50"/>
      <sheetName val="[TIMEOATY.XLS]_P_MQADATA_TES_50"/>
      <sheetName val="[TIMEOATY.XLS]_C_V_MQADATA_T_50"/>
      <sheetName val="[TIMEOATY.XLS]_C_P_MQADATA_T_50"/>
      <sheetName val="[TIMEOATY.XLS]_TEST_TIMEOATY_50"/>
      <sheetName val="[TIMEOATY.XLS]_D_V_MQADATA_T_41"/>
      <sheetName val="[TIMEOATY.XLS]_TIMEOATY_XLS_272"/>
      <sheetName val="[TIMEOATY.XLS]_TIMEOATY_XLS_273"/>
      <sheetName val="[TIMEOATY.XLS]_TIMEOATY_XLS_274"/>
      <sheetName val="[TIMEOATY.XLS]_TIMEOATY_XLS_275"/>
      <sheetName val="[TIMEOATY.XLS]_TIMEOATY_XLS_276"/>
      <sheetName val="[TIMEOATY.XLS]_TIMEOATY_XLS_277"/>
      <sheetName val="[TIMEOATY.XLS]__192_168_200__90"/>
      <sheetName val="[TIMEOATY.XLS]__192_168_200__91"/>
      <sheetName val="[TIMEOATY.XLS]__10_12_8_248__46"/>
      <sheetName val="[TIMEOATY.XLS]__172_17_31_25_46"/>
      <sheetName val="[TIMEOATY.XLS]__192_168_200__92"/>
      <sheetName val="[TIMEOATY.XLS]__192_168_200__93"/>
      <sheetName val="[TIMEOATY.XLS]__10_12_8_248__47"/>
      <sheetName val="[TIMEOATY.XLS]__172_17_31_25_47"/>
      <sheetName val="[TIMEOATY.XLS]_MQADATA_TEST__52"/>
      <sheetName val="[TIMEOATY.XLS]_V_MQADATA_TES_52"/>
      <sheetName val="[TIMEOATY.XLS]_P_MQADATA_TES_52"/>
      <sheetName val="[TIMEOATY.XLS]_C_V_MQADATA_T_52"/>
      <sheetName val="[TIMEOATY.XLS]_C_P_MQADATA_T_52"/>
      <sheetName val="[TIMEOATY.XLS]_TEST_TIMEOATY_52"/>
      <sheetName val="[TIMEOATY.XLS]_D_V_MQADATA_T_43"/>
      <sheetName val="[TIMEOATY.XLS]_TIMEOATY_XLS_290"/>
      <sheetName val="[TIMEOATY.XLS]_TIMEOATY_XLS_291"/>
      <sheetName val="[TIMEOATY.XLS]_TIMEOATY_XLS_292"/>
      <sheetName val="[TIMEOATY.XLS]__192_168_200__98"/>
      <sheetName val="[TIMEOATY.XLS]__192_168_200__99"/>
      <sheetName val="[TIMEOATY.XLS]__10_12_8_248__50"/>
      <sheetName val="[TIMEOATY.XLS]__172_17_31_25_50"/>
      <sheetName val="[TIMEOATY.XLS]_MQADATA_TEST__56"/>
      <sheetName val="[TIMEOATY.XLS]_V_MQADATA_TES_56"/>
      <sheetName val="[TIMEOATY.XLS]_P_MQADATA_TES_56"/>
      <sheetName val="[TIMEOATY.XLS]_C_V_MQADATA_T_56"/>
      <sheetName val="[TIMEOATY.XLS]_C_P_MQADATA_T_56"/>
      <sheetName val="[TIMEOATY.XLS]_TEST_TIMEOATY_56"/>
      <sheetName val="[TIMEOATY.XLS]_D_V_MQADATA_T_47"/>
      <sheetName val="[TIMEOATY.XLS]_TIMEOATY_XLS_278"/>
      <sheetName val="[TIMEOATY.XLS]_TIMEOATY_XLS_279"/>
      <sheetName val="[TIMEOATY.XLS]_TIMEOATY_XLS_280"/>
      <sheetName val="[TIMEOATY.XLS]_TIMEOATY_XLS_281"/>
      <sheetName val="[TIMEOATY.XLS]_TIMEOATY_XLS_282"/>
      <sheetName val="[TIMEOATY.XLS]_TIMEOATY_XLS_283"/>
      <sheetName val="[TIMEOATY.XLS]_MQADATA_TEST__53"/>
      <sheetName val="[TIMEOATY.XLS]_V_MQADATA_TES_53"/>
      <sheetName val="[TIMEOATY.XLS]_P_MQADATA_TES_53"/>
      <sheetName val="[TIMEOATY.XLS]_C_V_MQADATA_T_53"/>
      <sheetName val="[TIMEOATY.XLS]_C_P_MQADATA_T_53"/>
      <sheetName val="[TIMEOATY.XLS]_TEST_TIMEOATY_53"/>
      <sheetName val="[TIMEOATY.XLS]_D_V_MQADATA_T_44"/>
      <sheetName val="[TIMEOATY.XLS]_TIMEOATY_XLS_284"/>
      <sheetName val="[TIMEOATY.XLS]_TIMEOATY_XLS_285"/>
      <sheetName val="[TIMEOATY.XLS]_TIMEOATY_XLS_286"/>
      <sheetName val="[TIMEOATY.XLS]__192_168_200__94"/>
      <sheetName val="[TIMEOATY.XLS]__192_168_200__95"/>
      <sheetName val="[TIMEOATY.XLS]__10_12_8_248__48"/>
      <sheetName val="[TIMEOATY.XLS]__172_17_31_25_48"/>
      <sheetName val="[TIMEOATY.XLS]_MQADATA_TEST__54"/>
      <sheetName val="[TIMEOATY.XLS]_V_MQADATA_TES_54"/>
      <sheetName val="[TIMEOATY.XLS]_P_MQADATA_TES_54"/>
      <sheetName val="[TIMEOATY.XLS]_C_V_MQADATA_T_54"/>
      <sheetName val="[TIMEOATY.XLS]_C_P_MQADATA_T_54"/>
      <sheetName val="[TIMEOATY.XLS]_TEST_TIMEOATY_54"/>
      <sheetName val="[TIMEOATY.XLS]_D_V_MQADATA_T_45"/>
      <sheetName val="[TIMEOATY.XLS]_TIMEOATY_XLS_287"/>
      <sheetName val="[TIMEOATY.XLS]_TIMEOATY_XLS_288"/>
      <sheetName val="[TIMEOATY.XLS]_TIMEOATY_XLS_289"/>
      <sheetName val="[TIMEOATY.XLS]__192_168_200__96"/>
      <sheetName val="[TIMEOATY.XLS]__192_168_200__97"/>
      <sheetName val="[TIMEOATY.XLS]__10_12_8_248__49"/>
      <sheetName val="[TIMEOATY.XLS]__172_17_31_25_49"/>
      <sheetName val="[TIMEOATY.XLS]_MQADATA_TEST__55"/>
      <sheetName val="[TIMEOATY.XLS]_V_MQADATA_TES_55"/>
      <sheetName val="[TIMEOATY.XLS]_P_MQADATA_TES_55"/>
      <sheetName val="[TIMEOATY.XLS]_C_V_MQADATA_T_55"/>
      <sheetName val="[TIMEOATY.XLS]_C_P_MQADATA_T_55"/>
      <sheetName val="[TIMEOATY.XLS]_TEST_TIMEOATY_55"/>
      <sheetName val="[TIMEOATY.XLS]_D_V_MQADATA_T_46"/>
      <sheetName val="[TIMEOATY.XLS]_TIMEOATY_XLS_296"/>
      <sheetName val="[TIMEOATY.XLS]_TIMEOATY_XLS_297"/>
      <sheetName val="[TIMEOATY.XLS]_TIMEOATY_XLS_298"/>
      <sheetName val="[TIMEOATY.XLS]__192_168_200_100"/>
      <sheetName val="[TIMEOATY.XLS]__192_168_200_101"/>
      <sheetName val="[TIMEOATY.XLS]__10_12_8_248__51"/>
      <sheetName val="[TIMEOATY.XLS]__172_17_31_25_51"/>
      <sheetName val="[TIMEOATY.XLS]_MQADATA_TEST__57"/>
      <sheetName val="[TIMEOATY.XLS]_V_MQADATA_TES_57"/>
      <sheetName val="[TIMEOATY.XLS]_TIMEOATY_XLS_299"/>
      <sheetName val="[TIMEOATY.XLS]_TIMEOATY_XLS_300"/>
      <sheetName val="[TIMEOATY.XLS]_P_MQADATA_TES_57"/>
      <sheetName val="[TIMEOATY.XLS]_TIMEOATY_XLS_301"/>
      <sheetName val="[TIMEOATY.XLS]_C_V_MQADATA_T_57"/>
      <sheetName val="[TIMEOATY.XLS]_C_P_MQADATA_T_57"/>
      <sheetName val="[TIMEOATY.XLS]_TEST_TIMEOATY_57"/>
      <sheetName val="[TIMEOATY.XLS]_D_V_MQADATA_T_48"/>
      <sheetName val="[TIMEOATY.XLS]_TIMEOATY_XLS_293"/>
      <sheetName val="[TIMEOATY.XLS]_TIMEOATY_XLS_294"/>
      <sheetName val="[TIMEOATY.XLS]_TIMEOATY_XLS_295"/>
      <sheetName val="[TIMEOATY.XLS]_TIMEOATY_XLS_302"/>
      <sheetName val="[TIMEOATY.XLS]_TIMEOATY_XLS_303"/>
      <sheetName val="[TIMEOATY.XLS]_TIMEOATY_XLS_304"/>
      <sheetName val="[TIMEOATY.XLS]_TIMEOATY_XLS_323"/>
      <sheetName val="[TIMEOATY.XLS]_TIMEOATY_XLS_324"/>
      <sheetName val="[TIMEOATY.XLS]_TIMEOATY_XLS_325"/>
      <sheetName val="[TIMEOATY.XLS]_TIMEOATY_XLS_314"/>
      <sheetName val="[TIMEOATY.XLS]_TIMEOATY_XLS_315"/>
      <sheetName val="[TIMEOATY.XLS]_TIMEOATY_XLS_316"/>
      <sheetName val="[TIMEOATY.XLS]__192_168_200_116"/>
      <sheetName val="[TIMEOATY.XLS]__192_168_200_117"/>
      <sheetName val="[TIMEOATY.XLS]__10_12_8_248__59"/>
      <sheetName val="[TIMEOATY.XLS]__172_17_31_25_59"/>
      <sheetName val="[TIMEOATY.XLS]_MQADATA_TEST__61"/>
      <sheetName val="[TIMEOATY.XLS]_V_MQADATA_TES_61"/>
      <sheetName val="[TIMEOATY.XLS]_TIMEOATY_XLS_317"/>
      <sheetName val="[TIMEOATY.XLS]_TIMEOATY_XLS_318"/>
      <sheetName val="[TIMEOATY.XLS]_P_MQADATA_TES_61"/>
      <sheetName val="[TIMEOATY.XLS]_C_V_MQADATA_T_61"/>
      <sheetName val="[TIMEOATY.XLS]_C_P_MQADATA_T_61"/>
      <sheetName val="[TIMEOATY.XLS]_TIMEOATY_XLS_319"/>
      <sheetName val="[TIMEOATY.XLS]_TEST_TIMEOATY_61"/>
      <sheetName val="[TIMEOATY.XLS]_D_V_MQADATA_T_52"/>
      <sheetName val="[TIMEOATY.XLS]__192_168_200_102"/>
      <sheetName val="[TIMEOATY.XLS]__192_168_200_103"/>
      <sheetName val="[TIMEOATY.XLS]__10_12_8_248__52"/>
      <sheetName val="[TIMEOATY.XLS]__172_17_31_25_52"/>
      <sheetName val="[TIMEOATY.XLS]__192_168_200_108"/>
      <sheetName val="[TIMEOATY.XLS]__192_168_200_109"/>
      <sheetName val="[TIMEOATY.XLS]__10_12_8_248__55"/>
      <sheetName val="[TIMEOATY.XLS]__172_17_31_25_55"/>
      <sheetName val="[TIMEOATY.XLS]__192_168_200_104"/>
      <sheetName val="[TIMEOATY.XLS]__192_168_200_105"/>
      <sheetName val="[TIMEOATY.XLS]__10_12_8_248__53"/>
      <sheetName val="[TIMEOATY.XLS]__172_17_31_25_53"/>
      <sheetName val="[TIMEOATY.XLS]__192_168_200_106"/>
      <sheetName val="[TIMEOATY.XLS]__192_168_200_107"/>
      <sheetName val="[TIMEOATY.XLS]__10_12_8_248__54"/>
      <sheetName val="[TIMEOATY.XLS]__172_17_31_25_54"/>
      <sheetName val="[TIMEOATY.XLS]_TIMEOATY_XLS_305"/>
      <sheetName val="[TIMEOATY.XLS]_TIMEOATY_XLS_306"/>
      <sheetName val="[TIMEOATY.XLS]_TIMEOATY_XLS_307"/>
      <sheetName val="[TIMEOATY.XLS]__192_168_200_110"/>
      <sheetName val="[TIMEOATY.XLS]__192_168_200_111"/>
      <sheetName val="[TIMEOATY.XLS]__10_12_8_248__56"/>
      <sheetName val="[TIMEOATY.XLS]__172_17_31_25_56"/>
      <sheetName val="[TIMEOATY.XLS]_MQADATA_TEST__58"/>
      <sheetName val="[TIMEOATY.XLS]_V_MQADATA_TES_58"/>
      <sheetName val="[TIMEOATY.XLS]_P_MQADATA_TES_58"/>
      <sheetName val="[TIMEOATY.XLS]_C_V_MQADATA_T_58"/>
      <sheetName val="[TIMEOATY.XLS]_C_P_MQADATA_T_58"/>
      <sheetName val="[TIMEOATY.XLS]_TEST_TIMEOATY_58"/>
      <sheetName val="[TIMEOATY.XLS]_D_V_MQADATA_T_49"/>
      <sheetName val="[TIMEOATY.XLS]_TIMEOATY_XLS_308"/>
      <sheetName val="[TIMEOATY.XLS]_TIMEOATY_XLS_309"/>
      <sheetName val="[TIMEOATY.XLS]_TIMEOATY_XLS_310"/>
      <sheetName val="[TIMEOATY.XLS]__192_168_200_112"/>
      <sheetName val="[TIMEOATY.XLS]__192_168_200_113"/>
      <sheetName val="[TIMEOATY.XLS]__10_12_8_248__57"/>
      <sheetName val="[TIMEOATY.XLS]__172_17_31_25_57"/>
      <sheetName val="[TIMEOATY.XLS]_MQADATA_TEST__59"/>
      <sheetName val="[TIMEOATY.XLS]_V_MQADATA_TES_59"/>
      <sheetName val="[TIMEOATY.XLS]_P_MQADATA_TES_59"/>
      <sheetName val="[TIMEOATY.XLS]_C_V_MQADATA_T_59"/>
      <sheetName val="[TIMEOATY.XLS]_C_P_MQADATA_T_59"/>
      <sheetName val="[TIMEOATY.XLS]_TEST_TIMEOATY_59"/>
      <sheetName val="[TIMEOATY.XLS]_D_V_MQADATA_T_50"/>
      <sheetName val="[TIMEOATY.XLS]_TIMEOATY_XLS_311"/>
      <sheetName val="[TIMEOATY.XLS]_TIMEOATY_XLS_312"/>
      <sheetName val="[TIMEOATY.XLS]_TIMEOATY_XLS_313"/>
      <sheetName val="[TIMEOATY.XLS]__192_168_200_114"/>
      <sheetName val="[TIMEOATY.XLS]__192_168_200_115"/>
      <sheetName val="[TIMEOATY.XLS]__10_12_8_248__58"/>
      <sheetName val="[TIMEOATY.XLS]__172_17_31_25_58"/>
      <sheetName val="[TIMEOATY.XLS]_MQADATA_TEST__60"/>
      <sheetName val="[TIMEOATY.XLS]_V_MQADATA_TES_60"/>
      <sheetName val="[TIMEOATY.XLS]_P_MQADATA_TES_60"/>
      <sheetName val="[TIMEOATY.XLS]_C_V_MQADATA_T_60"/>
      <sheetName val="[TIMEOATY.XLS]_C_P_MQADATA_T_60"/>
      <sheetName val="[TIMEOATY.XLS]_TEST_TIMEOATY_60"/>
      <sheetName val="[TIMEOATY.XLS]_D_V_MQADATA_T_51"/>
      <sheetName val="[TIMEOATY.XLS]__192_168_200_120"/>
      <sheetName val="[TIMEOATY.XLS]__192_168_200_121"/>
      <sheetName val="[TIMEOATY.XLS]__10_12_8_248__61"/>
      <sheetName val="[TIMEOATY.XLS]__172_17_31_25_61"/>
      <sheetName val="[TIMEOATY.XLS]_MQADATA_TEST__62"/>
      <sheetName val="[TIMEOATY.XLS]_V_MQADATA_TES_62"/>
      <sheetName val="[TIMEOATY.XLS]_P_MQADATA_TES_62"/>
      <sheetName val="[TIMEOATY.XLS]_C_V_MQADATA_T_62"/>
      <sheetName val="[TIMEOATY.XLS]_C_P_MQADATA_T_62"/>
      <sheetName val="[TIMEOATY.XLS]_TEST_TIMEOATY_62"/>
      <sheetName val="[TIMEOATY.XLS]_D_V_MQADATA_T_53"/>
      <sheetName val="[TIMEOATY.XLS]_TIMEOATY_XLS_320"/>
      <sheetName val="[TIMEOATY.XLS]_TIMEOATY_XLS_321"/>
      <sheetName val="[TIMEOATY.XLS]_TIMEOATY_XLS_322"/>
      <sheetName val="[TIMEOATY.XLS]__192_168_200_118"/>
      <sheetName val="[TIMEOATY.XLS]__192_168_200_119"/>
      <sheetName val="[TIMEOATY.XLS]__10_12_8_248__60"/>
      <sheetName val="[TIMEOATY.XLS]__172_17_31_25_60"/>
      <sheetName val="[TIMEOATY.XLS]_TIMEOATY_XLS_326"/>
      <sheetName val="[TIMEOATY.XLS]_TIMEOATY_XLS_327"/>
      <sheetName val="[TIMEOATY.XLS]_TIMEOATY_XLS_328"/>
      <sheetName val="[TIMEOATY.XLS]__192_168_200_122"/>
      <sheetName val="[TIMEOATY.XLS]__192_168_200_123"/>
      <sheetName val="[TIMEOATY.XLS]__10_12_8_248__62"/>
      <sheetName val="[TIMEOATY.XLS]__172_17_31_25_62"/>
      <sheetName val="[TIMEOATY.XLS]_MQADATA_TEST__63"/>
      <sheetName val="[TIMEOATY.XLS]_V_MQADATA_TES_63"/>
      <sheetName val="[TIMEOATY.XLS]_P_MQADATA_TES_63"/>
      <sheetName val="[TIMEOATY.XLS]_C_V_MQADATA_T_63"/>
      <sheetName val="[TIMEOATY.XLS]_C_P_MQADATA_T_63"/>
      <sheetName val="[TIMEOATY.XLS]_TEST_TIMEOATY_63"/>
      <sheetName val="[TIMEOATY.XLS]_D_V_MQADATA_T_54"/>
      <sheetName val="[TIMEOATY.XLS]__192_168_200_126"/>
      <sheetName val="[TIMEOATY.XLS]__192_168_200_127"/>
      <sheetName val="[TIMEOATY.XLS]__10_12_8_248__64"/>
      <sheetName val="[TIMEOATY.XLS]__172_17_31_25_64"/>
      <sheetName val="[TIMEOATY.XLS]_TIMEOATY_XLS_332"/>
      <sheetName val="[TIMEOATY.XLS]_TIMEOATY_XLS_333"/>
      <sheetName val="[TIMEOATY.XLS]_TIMEOATY_XLS_334"/>
      <sheetName val="[TIMEOATY.XLS]_MQADATA_TEST__65"/>
      <sheetName val="[TIMEOATY.XLS]_V_MQADATA_TES_65"/>
      <sheetName val="[TIMEOATY.XLS]_TIMEOATY_XLS_335"/>
      <sheetName val="[TIMEOATY.XLS]_TIMEOATY_XLS_336"/>
      <sheetName val="[TIMEOATY.XLS]_P_MQADATA_TES_65"/>
      <sheetName val="[TIMEOATY.XLS]_TIMEOATY_XLS_337"/>
      <sheetName val="[TIMEOATY.XLS]_C_V_MQADATA_T_65"/>
      <sheetName val="[TIMEOATY.XLS]_C_P_MQADATA_T_65"/>
      <sheetName val="[TIMEOATY.XLS]_TEST_TIMEOATY_65"/>
      <sheetName val="[TIMEOATY.XLS]_D_V_MQADATA_T_56"/>
      <sheetName val="[TIMEOATY.XLS]_TIMEOATY_XLS_344"/>
      <sheetName val="[TIMEOATY.XLS]_TIMEOATY_XLS_345"/>
      <sheetName val="[TIMEOATY.XLS]_TIMEOATY_XLS_346"/>
      <sheetName val="[TIMEOATY.XLS]__192_168_200_128"/>
      <sheetName val="[TIMEOATY.XLS]__192_168_200_129"/>
      <sheetName val="[TIMEOATY.XLS]__10_12_8_248__65"/>
      <sheetName val="[TIMEOATY.XLS]__172_17_31_25_65"/>
      <sheetName val="[TIMEOATY.XLS]_MQADATA_TEST__66"/>
      <sheetName val="[TIMEOATY.XLS]_V_MQADATA_TES_66"/>
      <sheetName val="[TIMEOATY.XLS]_TIMEOATY_XLS_347"/>
      <sheetName val="[TIMEOATY.XLS]_TIMEOATY_XLS_348"/>
      <sheetName val="[TIMEOATY.XLS]_P_MQADATA_TES_66"/>
      <sheetName val="[TIMEOATY.XLS]_C_V_MQADATA_T_66"/>
      <sheetName val="[TIMEOATY.XLS]_C_P_MQADATA_T_66"/>
      <sheetName val="[TIMEOATY.XLS]_TIMEOATY_XLS_349"/>
      <sheetName val="[TIMEOATY.XLS]_TEST_TIMEOATY_66"/>
      <sheetName val="[TIMEOATY.XLS]_D_V_MQADATA_T_57"/>
      <sheetName val="[TIMEOATY.XLS]_TIMEOATY_XLS_341"/>
      <sheetName val="[TIMEOATY.XLS]_TIMEOATY_XLS_342"/>
      <sheetName val="[TIMEOATY.XLS]_TIMEOATY_XLS_343"/>
      <sheetName val="[TIMEOATY.XLS]_TIMEOATY_XLS_338"/>
      <sheetName val="[TIMEOATY.XLS]_TIMEOATY_XLS_339"/>
      <sheetName val="[TIMEOATY.XLS]_TIMEOATY_XLS_340"/>
      <sheetName val="[TIMEOATY.XLS]_TIMEOATY_XLS_359"/>
      <sheetName val="[TIMEOATY.XLS]_TIMEOATY_XLS_360"/>
      <sheetName val="[TIMEOATY.XLS]_TIMEOATY_XLS_361"/>
      <sheetName val="[TIMEOATY.XLS]_TIMEOATY_XLS_356"/>
      <sheetName val="[TIMEOATY.XLS]_TIMEOATY_XLS_357"/>
      <sheetName val="[TIMEOATY.XLS]_TIMEOATY_XLS_358"/>
      <sheetName val="[TIMEOATY.XLS]__192_168_200_130"/>
      <sheetName val="[TIMEOATY.XLS]__192_168_200_131"/>
      <sheetName val="[TIMEOATY.XLS]__10_12_8_248__66"/>
      <sheetName val="[TIMEOATY.XLS]__172_17_31_25_66"/>
      <sheetName val="[TIMEOATY.XLS]_TIMEOATY_XLS_350"/>
      <sheetName val="[TIMEOATY.XLS]_TIMEOATY_XLS_351"/>
      <sheetName val="[TIMEOATY.XLS]_TIMEOATY_XLS_352"/>
      <sheetName val="[TIMEOATY.XLS]_MQADATA_TEST__67"/>
      <sheetName val="[TIMEOATY.XLS]_V_MQADATA_TES_67"/>
      <sheetName val="[TIMEOATY.XLS]_TIMEOATY_XLS_353"/>
      <sheetName val="[TIMEOATY.XLS]_TIMEOATY_XLS_354"/>
      <sheetName val="[TIMEOATY.XLS]_P_MQADATA_TES_67"/>
      <sheetName val="[TIMEOATY.XLS]_TIMEOATY_XLS_355"/>
      <sheetName val="[TIMEOATY.XLS]_C_V_MQADATA_T_67"/>
      <sheetName val="[TIMEOATY.XLS]_C_P_MQADATA_T_67"/>
      <sheetName val="[TIMEOATY.XLS]_TEST_TIMEOATY_67"/>
      <sheetName val="[TIMEOATY.XLS]_D_V_MQADATA_T_58"/>
      <sheetName val="[TIMEOATY.XLS]_TIMEOATY_XLS_362"/>
      <sheetName val="[TIMEOATY.XLS]_TIMEOATY_XLS_363"/>
      <sheetName val="[TIMEOATY.XLS]_TIMEOATY_XLS_364"/>
      <sheetName val="[TIMEOATY.XLS]_TIMEOATY_XLS_374"/>
      <sheetName val="[TIMEOATY.XLS]_TIMEOATY_XLS_375"/>
      <sheetName val="[TIMEOATY.XLS]_TIMEOATY_XLS_376"/>
      <sheetName val="[TIMEOATY.XLS]__192_168_200_142"/>
      <sheetName val="[TIMEOATY.XLS]__192_168_200_143"/>
      <sheetName val="[TIMEOATY.XLS]__10_12_8_248__72"/>
      <sheetName val="[TIMEOATY.XLS]__172_17_31_25_72"/>
      <sheetName val="[TIMEOATY.XLS]_MQADATA_TEST__73"/>
      <sheetName val="[TIMEOATY.XLS]_V_MQADATA_TES_73"/>
      <sheetName val="[TIMEOATY.XLS]_P_MQADATA_TES_73"/>
      <sheetName val="[TIMEOATY.XLS]_C_V_MQADATA_T_73"/>
      <sheetName val="[TIMEOATY.XLS]_C_P_MQADATA_T_73"/>
      <sheetName val="[TIMEOATY.XLS]_TEST_TIMEOATY_73"/>
      <sheetName val="[TIMEOATY.XLS]_D_V_MQADATA_T_64"/>
      <sheetName val="[TIMEOATY.XLS]__192_168_200_132"/>
      <sheetName val="[TIMEOATY.XLS]__192_168_200_133"/>
      <sheetName val="[TIMEOATY.XLS]__10_12_8_248__67"/>
      <sheetName val="[TIMEOATY.XLS]__172_17_31_25_67"/>
      <sheetName val="[TIMEOATY.XLS]_MQADATA_TEST__68"/>
      <sheetName val="[TIMEOATY.XLS]_V_MQADATA_TES_68"/>
      <sheetName val="[TIMEOATY.XLS]_P_MQADATA_TES_68"/>
      <sheetName val="[TIMEOATY.XLS]_C_V_MQADATA_T_68"/>
      <sheetName val="[TIMEOATY.XLS]_C_P_MQADATA_T_68"/>
      <sheetName val="[TIMEOATY.XLS]_TEST_TIMEOATY_68"/>
      <sheetName val="[TIMEOATY.XLS]_D_V_MQADATA_T_59"/>
      <sheetName val="[TIMEOATY.XLS]__192_168_200_134"/>
      <sheetName val="[TIMEOATY.XLS]__192_168_200_135"/>
      <sheetName val="[TIMEOATY.XLS]__10_12_8_248__68"/>
      <sheetName val="[TIMEOATY.XLS]__172_17_31_25_68"/>
      <sheetName val="[TIMEOATY.XLS]_MQADATA_TEST__69"/>
      <sheetName val="[TIMEOATY.XLS]_V_MQADATA_TES_69"/>
      <sheetName val="[TIMEOATY.XLS]_P_MQADATA_TES_69"/>
      <sheetName val="[TIMEOATY.XLS]_C_V_MQADATA_T_69"/>
      <sheetName val="[TIMEOATY.XLS]_C_P_MQADATA_T_69"/>
      <sheetName val="[TIMEOATY.XLS]_TEST_TIMEOATY_69"/>
      <sheetName val="[TIMEOATY.XLS]_D_V_MQADATA_T_60"/>
      <sheetName val="[TIMEOATY.XLS]__192_168_200_136"/>
      <sheetName val="[TIMEOATY.XLS]__192_168_200_137"/>
      <sheetName val="[TIMEOATY.XLS]__10_12_8_248__69"/>
      <sheetName val="[TIMEOATY.XLS]__172_17_31_25_69"/>
      <sheetName val="[TIMEOATY.XLS]_MQADATA_TEST__70"/>
      <sheetName val="[TIMEOATY.XLS]_V_MQADATA_TES_70"/>
      <sheetName val="[TIMEOATY.XLS]_P_MQADATA_TES_70"/>
      <sheetName val="[TIMEOATY.XLS]_C_V_MQADATA_T_70"/>
      <sheetName val="[TIMEOATY.XLS]_C_P_MQADATA_T_70"/>
      <sheetName val="[TIMEOATY.XLS]_TEST_TIMEOATY_70"/>
      <sheetName val="[TIMEOATY.XLS]_D_V_MQADATA_T_61"/>
      <sheetName val="[TIMEOATY.XLS]__192_168_200_138"/>
      <sheetName val="[TIMEOATY.XLS]__192_168_200_139"/>
      <sheetName val="[TIMEOATY.XLS]__10_12_8_248__70"/>
      <sheetName val="[TIMEOATY.XLS]__172_17_31_25_70"/>
      <sheetName val="[TIMEOATY.XLS]_MQADATA_TEST__71"/>
      <sheetName val="[TIMEOATY.XLS]_V_MQADATA_TES_71"/>
      <sheetName val="[TIMEOATY.XLS]_P_MQADATA_TES_71"/>
      <sheetName val="[TIMEOATY.XLS]_C_V_MQADATA_T_71"/>
      <sheetName val="[TIMEOATY.XLS]_C_P_MQADATA_T_71"/>
      <sheetName val="[TIMEOATY.XLS]_TEST_TIMEOATY_71"/>
      <sheetName val="[TIMEOATY.XLS]_D_V_MQADATA_T_62"/>
      <sheetName val="[TIMEOATY.XLS]_TIMEOATY_XLS_365"/>
      <sheetName val="[TIMEOATY.XLS]_TIMEOATY_XLS_366"/>
      <sheetName val="[TIMEOATY.XLS]_TIMEOATY_XLS_367"/>
      <sheetName val="[TIMEOATY.XLS]_TIMEOATY_XLS_368"/>
      <sheetName val="[TIMEOATY.XLS]_TIMEOATY_XLS_369"/>
      <sheetName val="[TIMEOATY.XLS]_TIMEOATY_XLS_370"/>
      <sheetName val="[TIMEOATY.XLS]__192_168_200_140"/>
      <sheetName val="[TIMEOATY.XLS]__192_168_200_141"/>
      <sheetName val="[TIMEOATY.XLS]__10_12_8_248__71"/>
      <sheetName val="[TIMEOATY.XLS]__172_17_31_25_71"/>
      <sheetName val="[TIMEOATY.XLS]_MQADATA_TEST__72"/>
      <sheetName val="[TIMEOATY.XLS]_V_MQADATA_TES_72"/>
      <sheetName val="[TIMEOATY.XLS]_TIMEOATY_XLS_371"/>
      <sheetName val="[TIMEOATY.XLS]_TIMEOATY_XLS_372"/>
      <sheetName val="[TIMEOATY.XLS]_P_MQADATA_TES_72"/>
      <sheetName val="[TIMEOATY.XLS]_C_V_MQADATA_T_72"/>
      <sheetName val="[TIMEOATY.XLS]_C_P_MQADATA_T_72"/>
      <sheetName val="[TIMEOATY.XLS]_TIMEOATY_XLS_373"/>
      <sheetName val="[TIMEOATY.XLS]_TEST_TIMEOATY_72"/>
      <sheetName val="[TIMEOATY.XLS]_D_V_MQADATA_T_63"/>
      <sheetName val="[TIMEOATY.XLS]_TIMEOATY_XLS_380"/>
      <sheetName val="[TIMEOATY.XLS]_TIMEOATY_XLS_381"/>
      <sheetName val="[TIMEOATY.XLS]_TIMEOATY_XLS_382"/>
      <sheetName val="[TIMEOATY.XLS]_TIMEOATY_XLS_377"/>
      <sheetName val="[TIMEOATY.XLS]_TIMEOATY_XLS_378"/>
      <sheetName val="[TIMEOATY.XLS]_TIMEOATY_XLS_379"/>
      <sheetName val="[TIMEOATY.XLS]__192_168_200_144"/>
      <sheetName val="[TIMEOATY.XLS]__192_168_200_145"/>
      <sheetName val="[TIMEOATY.XLS]__10_12_8_248__73"/>
      <sheetName val="[TIMEOATY.XLS]__172_17_31_25_73"/>
      <sheetName val="[TIMEOATY.XLS]_MQADATA_TEST__74"/>
      <sheetName val="[TIMEOATY.XLS]_V_MQADATA_TES_74"/>
      <sheetName val="[TIMEOATY.XLS]_P_MQADATA_TES_74"/>
      <sheetName val="[TIMEOATY.XLS]_C_V_MQADATA_T_74"/>
      <sheetName val="[TIMEOATY.XLS]_C_P_MQADATA_T_74"/>
      <sheetName val="[TIMEOATY.XLS]_TEST_TIMEOATY_74"/>
      <sheetName val="[TIMEOATY.XLS]_D_V_MQADATA_T_65"/>
      <sheetName val="[TIMEOATY.XLS]_TIMEOATY_XLS_383"/>
      <sheetName val="[TIMEOATY.XLS]_TIMEOATY_XLS_384"/>
      <sheetName val="[TIMEOATY.XLS]_TIMEOATY_XLS_385"/>
      <sheetName val="[TIMEOATY.XLS]__192_168_200_146"/>
      <sheetName val="[TIMEOATY.XLS]__192_168_200_147"/>
      <sheetName val="[TIMEOATY.XLS]__10_12_8_248__74"/>
      <sheetName val="[TIMEOATY.XLS]__172_17_31_25_74"/>
      <sheetName val="[TIMEOATY.XLS]_MQADATA_TEST__75"/>
      <sheetName val="[TIMEOATY.XLS]_V_MQADATA_TES_75"/>
      <sheetName val="[TIMEOATY.XLS]_P_MQADATA_TES_75"/>
      <sheetName val="[TIMEOATY.XLS]_C_V_MQADATA_T_75"/>
      <sheetName val="[TIMEOATY.XLS]_C_P_MQADATA_T_75"/>
      <sheetName val="[TIMEOATY.XLS]_TEST_TIMEOATY_75"/>
      <sheetName val="[TIMEOATY.XLS]_D_V_MQADATA_T_66"/>
      <sheetName val="[TIMEOATY.XLS]_TIMEOATY_XLS_389"/>
      <sheetName val="[TIMEOATY.XLS]_TIMEOATY_XLS_390"/>
      <sheetName val="[TIMEOATY.XLS]_TIMEOATY_XLS_391"/>
      <sheetName val="[TIMEOATY.XLS]__192_168_200_148"/>
      <sheetName val="[TIMEOATY.XLS]__192_168_200_149"/>
      <sheetName val="[TIMEOATY.XLS]__10_12_8_248__75"/>
      <sheetName val="[TIMEOATY.XLS]__172_17_31_25_75"/>
      <sheetName val="[TIMEOATY.XLS]_MQADATA_TEST__76"/>
      <sheetName val="[TIMEOATY.XLS]_V_MQADATA_TES_76"/>
      <sheetName val="[TIMEOATY.XLS]_P_MQADATA_TES_76"/>
      <sheetName val="[TIMEOATY.XLS]_C_V_MQADATA_T_76"/>
      <sheetName val="[TIMEOATY.XLS]_C_P_MQADATA_T_76"/>
      <sheetName val="[TIMEOATY.XLS]_TEST_TIMEOATY_76"/>
      <sheetName val="[TIMEOATY.XLS]_D_V_MQADATA_T_67"/>
      <sheetName val="[TIMEOATY.XLS]_TIMEOATY_XLS_386"/>
      <sheetName val="[TIMEOATY.XLS]_TIMEOATY_XLS_387"/>
      <sheetName val="[TIMEOATY.XLS]_TIMEOATY_XLS_388"/>
      <sheetName val="[TIMEOATY.XLS]_TIMEOATY_XLS_395"/>
      <sheetName val="[TIMEOATY.XLS]_TIMEOATY_XLS_396"/>
      <sheetName val="[TIMEOATY.XLS]_TIMEOATY_XLS_397"/>
      <sheetName val="[TIMEOATY.XLS]_TIMEOATY_XLS_392"/>
      <sheetName val="[TIMEOATY.XLS]_TIMEOATY_XLS_393"/>
      <sheetName val="[TIMEOATY.XLS]_TIMEOATY_XLS_394"/>
      <sheetName val="[TIMEOATY.XLS]__192_168_200_150"/>
      <sheetName val="[TIMEOATY.XLS]__192_168_200_151"/>
      <sheetName val="[TIMEOATY.XLS]__10_12_8_248__76"/>
      <sheetName val="[TIMEOATY.XLS]__172_17_31_25_76"/>
      <sheetName val="[TIMEOATY.XLS]_MQADATA_TEST__77"/>
      <sheetName val="[TIMEOATY.XLS]_V_MQADATA_TES_77"/>
      <sheetName val="[TIMEOATY.XLS]_P_MQADATA_TES_77"/>
      <sheetName val="[TIMEOATY.XLS]_C_V_MQADATA_T_77"/>
      <sheetName val="[TIMEOATY.XLS]_C_P_MQADATA_T_77"/>
      <sheetName val="[TIMEOATY.XLS]_TEST_TIMEOATY_77"/>
      <sheetName val="[TIMEOATY.XLS]_D_V_MQADATA_T_68"/>
      <sheetName val="[TIMEOATY.XLS]_TIMEOATY_XLS_398"/>
      <sheetName val="[TIMEOATY.XLS]_TIMEOATY_XLS_399"/>
      <sheetName val="[TIMEOATY.XLS]_TIMEOATY_XLS_400"/>
      <sheetName val="[TIMEOATY.XLS]__192_168_200_152"/>
      <sheetName val="[TIMEOATY.XLS]__192_168_200_153"/>
      <sheetName val="[TIMEOATY.XLS]__10_12_8_248__77"/>
      <sheetName val="[TIMEOATY.XLS]__172_17_31_25_77"/>
      <sheetName val="[TIMEOATY.XLS]_MQADATA_TEST__78"/>
      <sheetName val="[TIMEOATY.XLS]_V_MQADATA_TES_78"/>
      <sheetName val="[TIMEOATY.XLS]_P_MQADATA_TES_78"/>
      <sheetName val="[TIMEOATY.XLS]_C_V_MQADATA_T_78"/>
      <sheetName val="[TIMEOATY.XLS]_C_P_MQADATA_T_78"/>
      <sheetName val="[TIMEOATY.XLS]_TEST_TIMEOATY_78"/>
      <sheetName val="[TIMEOATY.XLS]_D_V_MQADATA_T_69"/>
      <sheetName val="[TIMEOATY.XLS]__192_168_200_154"/>
      <sheetName val="[TIMEOATY.XLS]__192_168_200_155"/>
      <sheetName val="[TIMEOATY.XLS]__10_12_8_248__78"/>
      <sheetName val="[TIMEOATY.XLS]__172_17_31_25_78"/>
      <sheetName val="[TIMEOATY.XLS]_TIMEOATY_XLS_401"/>
      <sheetName val="[TIMEOATY.XLS]_TIMEOATY_XLS_402"/>
      <sheetName val="[TIMEOATY.XLS]_TIMEOATY_XLS_403"/>
      <sheetName val="[TIMEOATY.XLS]_MQADATA_TEST__79"/>
      <sheetName val="[TIMEOATY.XLS]_V_MQADATA_TES_79"/>
      <sheetName val="[TIMEOATY.XLS]_TIMEOATY_XLS_404"/>
      <sheetName val="[TIMEOATY.XLS]_TIMEOATY_XLS_405"/>
      <sheetName val="[TIMEOATY.XLS]_P_MQADATA_TES_79"/>
      <sheetName val="[TIMEOATY.XLS]_C_V_MQADATA_T_79"/>
      <sheetName val="[TIMEOATY.XLS]_C_P_MQADATA_T_79"/>
      <sheetName val="[TIMEOATY.XLS]_TIMEOATY_XLS_406"/>
      <sheetName val="[TIMEOATY.XLS]_TEST_TIMEOATY_79"/>
      <sheetName val="[TIMEOATY.XLS]_D_V_MQADATA_T_70"/>
      <sheetName val="[TIMEOATY.XLS]_TIMEOATY_XLS_407"/>
      <sheetName val="[TIMEOATY.XLS]_TIMEOATY_XLS_408"/>
      <sheetName val="[TIMEOATY.XLS]_TIMEOATY_XLS_409"/>
      <sheetName val="[TIMEOATY.XLS]__192_168_200_156"/>
      <sheetName val="[TIMEOATY.XLS]__192_168_200_157"/>
      <sheetName val="[TIMEOATY.XLS]__10_12_8_248__79"/>
      <sheetName val="[TIMEOATY.XLS]__172_17_31_25_79"/>
      <sheetName val="[TIMEOATY.XLS]_MQADATA_TEST__80"/>
      <sheetName val="[TIMEOATY.XLS]_V_MQADATA_TES_80"/>
      <sheetName val="[TIMEOATY.XLS]_TIMEOATY_XLS_410"/>
      <sheetName val="[TIMEOATY.XLS]_TIMEOATY_XLS_411"/>
      <sheetName val="[TIMEOATY.XLS]_P_MQADATA_TES_80"/>
      <sheetName val="[TIMEOATY.XLS]_C_V_MQADATA_T_80"/>
      <sheetName val="[TIMEOATY.XLS]_C_P_MQADATA_T_80"/>
      <sheetName val="[TIMEOATY.XLS]_TIMEOATY_XLS_412"/>
      <sheetName val="[TIMEOATY.XLS]_TEST_TIMEOATY_80"/>
      <sheetName val="[TIMEOATY.XLS]_D_V_MQADATA_T_71"/>
      <sheetName val="[TIMEOATY.XLS]__192_168_200_158"/>
      <sheetName val="[TIMEOATY.XLS]__192_168_200_159"/>
      <sheetName val="[TIMEOATY.XLS]__10_12_8_248__80"/>
      <sheetName val="[TIMEOATY.XLS]__172_17_31_25_80"/>
      <sheetName val="[TIMEOATY.XLS]__192_168_200_160"/>
      <sheetName val="[TIMEOATY.XLS]__192_168_200_161"/>
      <sheetName val="[TIMEOATY.XLS]__10_12_8_248__81"/>
      <sheetName val="[TIMEOATY.XLS]__172_17_31_25_81"/>
      <sheetName val="[TIMEOATY.XLS]_TIMEOATY_XLS_425"/>
      <sheetName val="[TIMEOATY.XLS]_TIMEOATY_XLS_426"/>
      <sheetName val="[TIMEOATY.XLS]_TIMEOATY_XLS_427"/>
      <sheetName val="[TIMEOATY.XLS]__192_168_200_166"/>
      <sheetName val="[TIMEOATY.XLS]__192_168_200_167"/>
      <sheetName val="[TIMEOATY.XLS]__10_12_8_248__84"/>
      <sheetName val="[TIMEOATY.XLS]__172_17_31_25_84"/>
      <sheetName val="[TIMEOATY.XLS]_MQADATA_TEST__85"/>
      <sheetName val="[TIMEOATY.XLS]_V_MQADATA_TES_85"/>
      <sheetName val="[TIMEOATY.XLS]_TIMEOATY_XLS_428"/>
      <sheetName val="[TIMEOATY.XLS]_TIMEOATY_XLS_429"/>
      <sheetName val="[TIMEOATY.XLS]_P_MQADATA_TES_85"/>
      <sheetName val="[TIMEOATY.XLS]_C_V_MQADATA_T_85"/>
      <sheetName val="[TIMEOATY.XLS]_C_P_MQADATA_T_85"/>
      <sheetName val="[TIMEOATY.XLS]_TIMEOATY_XLS_430"/>
      <sheetName val="[TIMEOATY.XLS]_TEST_TIMEOATY_85"/>
      <sheetName val="[TIMEOATY.XLS]_D_V_MQADATA_T_76"/>
      <sheetName val="[TIMEOATY.XLS]_TIMEOATY_XLS_413"/>
      <sheetName val="[TIMEOATY.XLS]_TIMEOATY_XLS_414"/>
      <sheetName val="[TIMEOATY.XLS]_TIMEOATY_XLS_415"/>
      <sheetName val="[TIMEOATY.XLS]__192_168_200_162"/>
      <sheetName val="[TIMEOATY.XLS]__192_168_200_163"/>
      <sheetName val="[TIMEOATY.XLS]__10_12_8_248__82"/>
      <sheetName val="[TIMEOATY.XLS]__172_17_31_25_82"/>
      <sheetName val="[TIMEOATY.XLS]_MQADATA_TEST__83"/>
      <sheetName val="[TIMEOATY.XLS]_V_MQADATA_TES_83"/>
      <sheetName val="[TIMEOATY.XLS]_P_MQADATA_TES_83"/>
      <sheetName val="[TIMEOATY.XLS]_C_V_MQADATA_T_83"/>
      <sheetName val="[TIMEOATY.XLS]_C_P_MQADATA_T_83"/>
      <sheetName val="[TIMEOATY.XLS]_TEST_TIMEOATY_83"/>
      <sheetName val="[TIMEOATY.XLS]_D_V_MQADATA_T_74"/>
      <sheetName val="[TIMEOATY.XLS]_MQADATA_TEST__81"/>
      <sheetName val="[TIMEOATY.XLS]_V_MQADATA_TES_81"/>
      <sheetName val="[TIMEOATY.XLS]_P_MQADATA_TES_81"/>
      <sheetName val="[TIMEOATY.XLS]_C_V_MQADATA_T_81"/>
      <sheetName val="[TIMEOATY.XLS]_C_P_MQADATA_T_81"/>
      <sheetName val="[TIMEOATY.XLS]_TEST_TIMEOATY_81"/>
      <sheetName val="[TIMEOATY.XLS]_D_V_MQADATA_T_72"/>
      <sheetName val="[TIMEOATY.XLS]_MQADATA_TEST__82"/>
      <sheetName val="[TIMEOATY.XLS]_V_MQADATA_TES_82"/>
      <sheetName val="[TIMEOATY.XLS]_P_MQADATA_TES_82"/>
      <sheetName val="[TIMEOATY.XLS]_C_V_MQADATA_T_82"/>
      <sheetName val="[TIMEOATY.XLS]_C_P_MQADATA_T_82"/>
      <sheetName val="[TIMEOATY.XLS]_TEST_TIMEOATY_82"/>
      <sheetName val="[TIMEOATY.XLS]_D_V_MQADATA_T_73"/>
      <sheetName val="[TIMEOATY.XLS]_TIMEOATY_XLS_416"/>
      <sheetName val="[TIMEOATY.XLS]_TIMEOATY_XLS_417"/>
      <sheetName val="[TIMEOATY.XLS]_TIMEOATY_XLS_418"/>
      <sheetName val="[TIMEOATY.XLS]_TIMEOATY_XLS_419"/>
      <sheetName val="[TIMEOATY.XLS]_TIMEOATY_XLS_420"/>
      <sheetName val="[TIMEOATY.XLS]_TIMEOATY_XLS_421"/>
      <sheetName val="[TIMEOATY.XLS]_TIMEOATY_XLS_422"/>
      <sheetName val="[TIMEOATY.XLS]_TIMEOATY_XLS_423"/>
      <sheetName val="[TIMEOATY.XLS]_TIMEOATY_XLS_424"/>
      <sheetName val="[TIMEOATY.XLS]__192_168_200_164"/>
      <sheetName val="[TIMEOATY.XLS]__192_168_200_165"/>
      <sheetName val="[TIMEOATY.XLS]__10_12_8_248__83"/>
      <sheetName val="[TIMEOATY.XLS]__172_17_31_25_83"/>
      <sheetName val="[TIMEOATY.XLS]_MQADATA_TEST__84"/>
      <sheetName val="[TIMEOATY.XLS]_V_MQADATA_TES_84"/>
      <sheetName val="[TIMEOATY.XLS]_P_MQADATA_TES_84"/>
      <sheetName val="[TIMEOATY.XLS]_C_V_MQADATA_T_84"/>
      <sheetName val="[TIMEOATY.XLS]_C_P_MQADATA_T_84"/>
      <sheetName val="[TIMEOATY.XLS]_TEST_TIMEOATY_84"/>
      <sheetName val="[TIMEOATY.XLS]_D_V_MQADATA_T_75"/>
      <sheetName val="[TIMEOATY.XLS]_TIMEOATY_XLS_434"/>
      <sheetName val="[TIMEOATY.XLS]_TIMEOATY_XLS_435"/>
      <sheetName val="[TIMEOATY.XLS]_TIMEOATY_XLS_436"/>
      <sheetName val="[TIMEOATY.XLS]_TIMEOATY_XLS_431"/>
      <sheetName val="[TIMEOATY.XLS]_TIMEOATY_XLS_432"/>
      <sheetName val="[TIMEOATY.XLS]_TIMEOATY_XLS_433"/>
      <sheetName val="[TIMEOATY.XLS]_TIMEOATY_XLS_437"/>
      <sheetName val="[TIMEOATY.XLS]_TIMEOATY_XLS_438"/>
      <sheetName val="[TIMEOATY.XLS]_TIMEOATY_XLS_439"/>
      <sheetName val="[TIMEOATY.XLS]__192_168_200_168"/>
      <sheetName val="[TIMEOATY.XLS]__192_168_200_169"/>
      <sheetName val="[TIMEOATY.XLS]__10_12_8_248__85"/>
      <sheetName val="[TIMEOATY.XLS]__172_17_31_25_85"/>
      <sheetName val="[TIMEOATY.XLS]_MQADATA_TEST__86"/>
      <sheetName val="[TIMEOATY.XLS]_V_MQADATA_TES_86"/>
      <sheetName val="[TIMEOATY.XLS]_P_MQADATA_TES_86"/>
      <sheetName val="[TIMEOATY.XLS]_C_V_MQADATA_T_86"/>
      <sheetName val="[TIMEOATY.XLS]_C_P_MQADATA_T_86"/>
      <sheetName val="[TIMEOATY.XLS]_TEST_TIMEOATY_86"/>
      <sheetName val="[TIMEOATY.XLS]_D_V_MQADATA_T_77"/>
      <sheetName val="[TIMEOATY.XLS]__192_168_200_170"/>
      <sheetName val="[TIMEOATY.XLS]__192_168_200_171"/>
      <sheetName val="[TIMEOATY.XLS]__10_12_8_248__86"/>
      <sheetName val="[TIMEOATY.XLS]__172_17_31_25_86"/>
      <sheetName val="[TIMEOATY.XLS]_MQADATA_TEST__87"/>
      <sheetName val="[TIMEOATY.XLS]_V_MQADATA_TES_87"/>
      <sheetName val="[TIMEOATY.XLS]_TIMEOATY_XLS_443"/>
      <sheetName val="[TIMEOATY.XLS]_TIMEOATY_XLS_444"/>
      <sheetName val="[TIMEOATY.XLS]_P_MQADATA_TES_87"/>
      <sheetName val="[TIMEOATY.XLS]_C_V_MQADATA_T_87"/>
      <sheetName val="[TIMEOATY.XLS]_C_P_MQADATA_T_87"/>
      <sheetName val="[TIMEOATY.XLS]_TIMEOATY_XLS_445"/>
      <sheetName val="[TIMEOATY.XLS]_TEST_TIMEOATY_87"/>
      <sheetName val="[TIMEOATY.XLS]_TIMEOATY_XLS_440"/>
      <sheetName val="[TIMEOATY.XLS]_TIMEOATY_XLS_441"/>
      <sheetName val="[TIMEOATY.XLS]_TIMEOATY_XLS_442"/>
      <sheetName val="[TIMEOATY.XLS]_D_V_MQADATA_T_78"/>
      <sheetName val="[TIMEOATY.XLS]_TIMEOATY_XLS_446"/>
      <sheetName val="[TIMEOATY.XLS]_TIMEOATY_XLS_447"/>
      <sheetName val="[TIMEOATY.XLS]_TIMEOATY_XLS_448"/>
      <sheetName val="[TIMEOATY.XLS]_TIMEOATY_XLS_449"/>
      <sheetName val="[TIMEOATY.XLS]_TIMEOATY_XLS_450"/>
      <sheetName val="[TIMEOATY.XLS]_TIMEOATY_XLS_451"/>
      <sheetName val="[TIMEOATY.XLS]_TIMEOATY_XLS_452"/>
      <sheetName val="[TIMEOATY.XLS]_TIMEOATY_XLS_453"/>
      <sheetName val="[TIMEOATY.XLS]_TIMEOATY_XLS_454"/>
      <sheetName val="[TIMEOATY.XLS]__192_168_200_172"/>
      <sheetName val="[TIMEOATY.XLS]__192_168_200_173"/>
      <sheetName val="[TIMEOATY.XLS]__10_12_8_248__87"/>
      <sheetName val="[TIMEOATY.XLS]__172_17_31_25_87"/>
      <sheetName val="[TIMEOATY.XLS]_MQADATA_TEST__88"/>
      <sheetName val="[TIMEOATY.XLS]_V_MQADATA_TES_88"/>
      <sheetName val="[TIMEOATY.XLS]_TIMEOATY_XLS_455"/>
      <sheetName val="[TIMEOATY.XLS]_TIMEOATY_XLS_456"/>
      <sheetName val="[TIMEOATY.XLS]_P_MQADATA_TES_88"/>
      <sheetName val="[TIMEOATY.XLS]_C_V_MQADATA_T_88"/>
      <sheetName val="[TIMEOATY.XLS]_C_P_MQADATA_T_88"/>
      <sheetName val="[TIMEOATY.XLS]_TIMEOATY_XLS_457"/>
      <sheetName val="[TIMEOATY.XLS]_TEST_TIMEOATY_88"/>
      <sheetName val="[TIMEOATY.XLS]_D_V_MQADATA_T_79"/>
      <sheetName val="[TIMEOATY.XLS]_TIMEOATY_XLS_461"/>
      <sheetName val="[TIMEOATY.XLS]_TIMEOATY_XLS_462"/>
      <sheetName val="[TIMEOATY.XLS]_TIMEOATY_XLS_463"/>
      <sheetName val="[TIMEOATY.XLS]_TIMEOATY_XLS_458"/>
      <sheetName val="[TIMEOATY.XLS]_TIMEOATY_XLS_459"/>
      <sheetName val="[TIMEOATY.XLS]_TIMEOATY_XLS_460"/>
      <sheetName val="[TIMEOATY.XLS]__192_168_200_174"/>
      <sheetName val="[TIMEOATY.XLS]__192_168_200_175"/>
      <sheetName val="[TIMEOATY.XLS]__10_12_8_248__88"/>
      <sheetName val="[TIMEOATY.XLS]__172_17_31_25_88"/>
      <sheetName val="[TIMEOATY.XLS]_MQADATA_TEST__89"/>
      <sheetName val="[TIMEOATY.XLS]_V_MQADATA_TES_89"/>
      <sheetName val="[TIMEOATY.XLS]_TIMEOATY_XLS_464"/>
      <sheetName val="[TIMEOATY.XLS]_TIMEOATY_XLS_465"/>
      <sheetName val="[TIMEOATY.XLS]_P_MQADATA_TES_89"/>
      <sheetName val="[TIMEOATY.XLS]_C_V_MQADATA_T_89"/>
      <sheetName val="[TIMEOATY.XLS]_C_P_MQADATA_T_89"/>
      <sheetName val="[TIMEOATY.XLS]_TIMEOATY_XLS_466"/>
      <sheetName val="[TIMEOATY.XLS]_TEST_TIMEOATY_89"/>
      <sheetName val="[TIMEOATY.XLS]_D_V_MQADATA_T_80"/>
      <sheetName val="[TIMEOATY.XLS]__192_168_200_186"/>
      <sheetName val="[TIMEOATY.XLS]__192_168_200_187"/>
      <sheetName val="[TIMEOATY.XLS]__10_12_8_248__94"/>
      <sheetName val="[TIMEOATY.XLS]__172_17_31_25_94"/>
      <sheetName val="[TIMEOATY.XLS]_MQADATA_TEST__91"/>
      <sheetName val="[TIMEOATY.XLS]_V_MQADATA_TES_91"/>
      <sheetName val="[TIMEOATY.XLS]_TIMEOATY_XLS_476"/>
      <sheetName val="[TIMEOATY.XLS]_TIMEOATY_XLS_477"/>
      <sheetName val="[TIMEOATY.XLS]_P_MQADATA_TES_91"/>
      <sheetName val="[TIMEOATY.XLS]_C_V_MQADATA_T_91"/>
      <sheetName val="[TIMEOATY.XLS]_C_P_MQADATA_T_91"/>
      <sheetName val="[TIMEOATY.XLS]_TIMEOATY_XLS_478"/>
      <sheetName val="[TIMEOATY.XLS]_TEST_TIMEOATY_91"/>
      <sheetName val="[TIMEOATY.XLS]_TIMEOATY_XLS_473"/>
      <sheetName val="[TIMEOATY.XLS]_TIMEOATY_XLS_474"/>
      <sheetName val="[TIMEOATY.XLS]_TIMEOATY_XLS_475"/>
      <sheetName val="[TIMEOATY.XLS]_D_V_MQADATA_T_82"/>
      <sheetName val="[TIMEOATY.XLS]__192_168_200_182"/>
      <sheetName val="[TIMEOATY.XLS]__192_168_200_183"/>
      <sheetName val="[TIMEOATY.XLS]__10_12_8_248__92"/>
      <sheetName val="[TIMEOATY.XLS]__172_17_31_25_92"/>
      <sheetName val="[TIMEOATY.XLS]_TIMEOATY_XLS_467"/>
      <sheetName val="[TIMEOATY.XLS]_TIMEOATY_XLS_468"/>
      <sheetName val="[TIMEOATY.XLS]_TIMEOATY_XLS_469"/>
      <sheetName val="[TIMEOATY.XLS]__192_168_200_176"/>
      <sheetName val="[TIMEOATY.XLS]__192_168_200_177"/>
      <sheetName val="[TIMEOATY.XLS]__10_12_8_248__89"/>
      <sheetName val="[TIMEOATY.XLS]__172_17_31_25_89"/>
      <sheetName val="[TIMEOATY.XLS]__192_168_200_178"/>
      <sheetName val="[TIMEOATY.XLS]__192_168_200_179"/>
      <sheetName val="[TIMEOATY.XLS]__10_12_8_248__90"/>
      <sheetName val="[TIMEOATY.XLS]__172_17_31_25_90"/>
      <sheetName val="[TIMEOATY.XLS]__192_168_200_180"/>
      <sheetName val="[TIMEOATY.XLS]__192_168_200_181"/>
      <sheetName val="[TIMEOATY.XLS]__10_12_8_248__91"/>
      <sheetName val="[TIMEOATY.XLS]__172_17_31_25_91"/>
      <sheetName val="[TIMEOATY.XLS]__192_168_200_184"/>
      <sheetName val="[TIMEOATY.XLS]__192_168_200_185"/>
      <sheetName val="[TIMEOATY.XLS]__10_12_8_248__93"/>
      <sheetName val="[TIMEOATY.XLS]__172_17_31_25_93"/>
      <sheetName val="[TIMEOATY.XLS]_MQADATA_TEST__90"/>
      <sheetName val="[TIMEOATY.XLS]_V_MQADATA_TES_90"/>
      <sheetName val="[TIMEOATY.XLS]_P_MQADATA_TES_90"/>
      <sheetName val="[TIMEOATY.XLS]_C_V_MQADATA_T_90"/>
      <sheetName val="[TIMEOATY.XLS]_C_P_MQADATA_T_90"/>
      <sheetName val="[TIMEOATY.XLS]_TEST_TIMEOATY_90"/>
      <sheetName val="[TIMEOATY.XLS]_TIMEOATY_XLS_470"/>
      <sheetName val="[TIMEOATY.XLS]_TIMEOATY_XLS_471"/>
      <sheetName val="[TIMEOATY.XLS]_TIMEOATY_XLS_472"/>
      <sheetName val="[TIMEOATY.XLS]_D_V_MQADATA_T_81"/>
      <sheetName val="[TIMEOATY.XLS]_TIMEOATY_XLS_479"/>
      <sheetName val="[TIMEOATY.XLS]_TIMEOATY_XLS_480"/>
      <sheetName val="[TIMEOATY.XLS]_TIMEOATY_XLS_481"/>
      <sheetName val="[TIMEOATY.XLS]__192_168_200_188"/>
      <sheetName val="[TIMEOATY.XLS]__192_168_200_189"/>
      <sheetName val="[TIMEOATY.XLS]__10_12_8_248__95"/>
      <sheetName val="[TIMEOATY.XLS]__172_17_31_25_95"/>
      <sheetName val="[TIMEOATY.XLS]_MQADATA_TEST__92"/>
      <sheetName val="[TIMEOATY.XLS]_V_MQADATA_TES_92"/>
      <sheetName val="[TIMEOATY.XLS]_TIMEOATY_XLS_485"/>
      <sheetName val="[TIMEOATY.XLS]_TIMEOATY_XLS_486"/>
      <sheetName val="[TIMEOATY.XLS]_P_MQADATA_TES_92"/>
      <sheetName val="[TIMEOATY.XLS]_C_V_MQADATA_T_92"/>
      <sheetName val="[TIMEOATY.XLS]_C_P_MQADATA_T_92"/>
      <sheetName val="[TIMEOATY.XLS]_TIMEOATY_XLS_487"/>
      <sheetName val="[TIMEOATY.XLS]_TEST_TIMEOATY_92"/>
      <sheetName val="[TIMEOATY.XLS]_TIMEOATY_XLS_482"/>
      <sheetName val="[TIMEOATY.XLS]_TIMEOATY_XLS_483"/>
      <sheetName val="[TIMEOATY.XLS]_TIMEOATY_XLS_484"/>
      <sheetName val="[TIMEOATY.XLS]_D_V_MQADATA_T_83"/>
      <sheetName val="[TIMEOATY.XLS]__192_168_200_190"/>
      <sheetName val="[TIMEOATY.XLS]__192_168_200_191"/>
      <sheetName val="[TIMEOATY.XLS]__10_12_8_248__96"/>
      <sheetName val="[TIMEOATY.XLS]__172_17_31_25_96"/>
      <sheetName val="[TIMEOATY.XLS]_MQADATA_TEST__93"/>
      <sheetName val="[TIMEOATY.XLS]_V_MQADATA_TES_93"/>
      <sheetName val="[TIMEOATY.XLS]_TIMEOATY_XLS_488"/>
      <sheetName val="[TIMEOATY.XLS]_TIMEOATY_XLS_489"/>
      <sheetName val="[TIMEOATY.XLS]_P_MQADATA_TES_93"/>
      <sheetName val="[TIMEOATY.XLS]_C_V_MQADATA_T_93"/>
      <sheetName val="[TIMEOATY.XLS]_C_P_MQADATA_T_93"/>
      <sheetName val="[TIMEOATY.XLS]_TIMEOATY_XLS_490"/>
      <sheetName val="[TIMEOATY.XLS]_TEST_TIMEOATY_93"/>
      <sheetName val="[TIMEOATY.XLS]_D_V_MQADATA_T_84"/>
      <sheetName val="[TIMEOATY.XLS]__192_168_200_192"/>
      <sheetName val="[TIMEOATY.XLS]__192_168_200_193"/>
      <sheetName val="[TIMEOATY.XLS]__10_12_8_248__97"/>
      <sheetName val="[TIMEOATY.XLS]__172_17_31_25_97"/>
      <sheetName val="[TIMEOATY.XLS]_TIMEOATY_XLS_491"/>
      <sheetName val="[TIMEOATY.XLS]_TIMEOATY_XLS_492"/>
      <sheetName val="[TIMEOATY.XLS]_TIMEOATY_XLS_493"/>
      <sheetName val="[TIMEOATY.XLS]_MQADATA_TEST__94"/>
      <sheetName val="[TIMEOATY.XLS]_V_MQADATA_TES_94"/>
      <sheetName val="[TIMEOATY.XLS]_TIMEOATY_XLS_494"/>
      <sheetName val="[TIMEOATY.XLS]_TIMEOATY_XLS_495"/>
      <sheetName val="[TIMEOATY.XLS]_P_MQADATA_TES_94"/>
      <sheetName val="[TIMEOATY.XLS]_C_V_MQADATA_T_94"/>
      <sheetName val="[TIMEOATY.XLS]_C_P_MQADATA_T_94"/>
      <sheetName val="[TIMEOATY.XLS]_TIMEOATY_XLS_496"/>
      <sheetName val="[TIMEOATY.XLS]_TEST_TIMEOATY_94"/>
      <sheetName val="[TIMEOATY.XLS]_D_V_MQADATA_T_85"/>
      <sheetName val="[TIMEOATY.XLS]__192_168_200_194"/>
      <sheetName val="[TIMEOATY.XLS]__192_168_200_195"/>
      <sheetName val="[TIMEOATY.XLS]__10_12_8_248__98"/>
      <sheetName val="[TIMEOATY.XLS]__172_17_31_25_98"/>
      <sheetName val="[TIMEOATY.XLS]_MQADATA_TEST__95"/>
      <sheetName val="[TIMEOATY.XLS]_V_MQADATA_TES_95"/>
      <sheetName val="[TIMEOATY.XLS]_P_MQADATA_TES_95"/>
      <sheetName val="[TIMEOATY.XLS]_C_V_MQADATA_T_95"/>
      <sheetName val="[TIMEOATY.XLS]_C_P_MQADATA_T_95"/>
      <sheetName val="[TIMEOATY.XLS]_TEST_TIMEOATY_95"/>
      <sheetName val="[TIMEOATY.XLS]_D_V_MQADATA_T_86"/>
      <sheetName val="[TIMEOATY.XLS]_MQADATA_TEST_120"/>
      <sheetName val="[TIMEOATY.XLS]_MQADATA_TEST_117"/>
      <sheetName val="[TIMEOATY.XLS]_V_MQADATA_TE_117"/>
      <sheetName val="[TIMEOATY.XLS]_TIMEOATY_XLS_632"/>
      <sheetName val="[TIMEOATY.XLS]_TIMEOATY_XLS_633"/>
      <sheetName val="[TIMEOATY.XLS]_P_MQADATA_TE_117"/>
      <sheetName val="[TIMEOATY.XLS]_TIMEOATY_XLS_634"/>
      <sheetName val="[TIMEOATY.XLS]_C_V_MQADATA__117"/>
      <sheetName val="[TIMEOATY.XLS]_C_P_MQADATA__117"/>
      <sheetName val="[TIMEOATY.XLS]_TEST_TIMEOAT_117"/>
      <sheetName val="[TIMEOATY.XLS]_D_V_MQADATA__105"/>
      <sheetName val="[TIMEOATY.XLS]_TIMEOATY_XLS_629"/>
      <sheetName val="[TIMEOATY.XLS]_TIMEOATY_XLS_630"/>
      <sheetName val="[TIMEOATY.XLS]_TIMEOATY_XLS_631"/>
      <sheetName val="Paramètres"/>
      <sheetName val="Cntmrs-Recruit"/>
      <sheetName val="Parameters"/>
      <sheetName val="Process Capability"/>
      <sheetName val="NEW_THK"/>
      <sheetName val="工艺文件"/>
      <sheetName val="CFLOW"/>
      <sheetName val="[TIMEOATY.XLS]\TI"/>
      <sheetName val="[TIMEOATY.XLS]\D\"/>
      <sheetName val="\MQADATA\TEST\TIM"/>
      <sheetName val="\V\MQADATA\TEST\T"/>
      <sheetName val="\P\MQADATA\TEST\T"/>
      <sheetName val="\C\V\MQADATA\TEST"/>
      <sheetName val="\C\P\MQADATA\TEST"/>
      <sheetName val="[TIMEOATY.XLS]\TE"/>
      <sheetName val="_MQADATA_TEST_T_2"/>
      <sheetName val="_V_MQADATA_TEST_2"/>
      <sheetName val="_P_MQADATA_TEST_2"/>
      <sheetName val="[TIMEOATY.XLS]__5"/>
      <sheetName val="[TIMEOATY.XLS]__6"/>
      <sheetName val="_C_V_MQADATA_TE_2"/>
      <sheetName val="_C_P_MQADATA_TE_2"/>
      <sheetName val="[TIMEOATY.XLS]__7"/>
      <sheetName val="_TEST_TIMEOATY__2"/>
      <sheetName val="_D_V_MQADATA_TE_2"/>
      <sheetName val="[TIMEOATY.XLS]__2"/>
      <sheetName val="[TIMEOATY.XLS]__3"/>
      <sheetName val="[TIMEOATY.XLS]__4"/>
      <sheetName val="\D\V\MQADATA\TEST"/>
      <sheetName val="[TIMEOATY.XLS]_17"/>
      <sheetName val="[TIMEOATY.XLS]_18"/>
      <sheetName val="[TIMEOATY.XLS]_19"/>
      <sheetName val="_MQADATA_TEST_T_7"/>
      <sheetName val="[TIMEOATY.XLS]_23"/>
      <sheetName val="[TIMEOATY.XLS]_24"/>
      <sheetName val="_V_MQADATA_TEST_7"/>
      <sheetName val="_P_MQADATA_TEST_7"/>
      <sheetName val="_C_V_MQADATA_TE_7"/>
      <sheetName val="_C_P_MQADATA_TE_7"/>
      <sheetName val="[TIMEOATY.XLS]_25"/>
      <sheetName val="_TEST_TIMEOATY__7"/>
      <sheetName val="_D_V_MQADATA_TE_7"/>
      <sheetName val="_MQADATA_TEST_T_3"/>
      <sheetName val="_V_MQADATA_TEST_3"/>
      <sheetName val="_P_MQADATA_TEST_3"/>
      <sheetName val="_C_V_MQADATA_TE_3"/>
      <sheetName val="_C_P_MQADATA_TE_3"/>
      <sheetName val="_TEST_TIMEOATY__3"/>
      <sheetName val="_D_V_MQADATA_TE_3"/>
      <sheetName val="[TIMEOATY.XLS]__8"/>
      <sheetName val="[TIMEOATY.XLS]__9"/>
      <sheetName val="[TIMEOATY.XLS]_10"/>
      <sheetName val="_MQADATA_TEST_T_4"/>
      <sheetName val="_V_MQADATA_TEST_4"/>
      <sheetName val="_P_MQADATA_TEST_4"/>
      <sheetName val="_C_V_MQADATA_TE_4"/>
      <sheetName val="_C_P_MQADATA_TE_4"/>
      <sheetName val="_TEST_TIMEOATY__4"/>
      <sheetName val="_D_V_MQADATA_TE_4"/>
      <sheetName val="[TIMEOATY.XLS]_11"/>
      <sheetName val="[TIMEOATY.XLS]_12"/>
      <sheetName val="[TIMEOATY.XLS]_13"/>
      <sheetName val="_MQADATA_TEST_T_5"/>
      <sheetName val="_V_MQADATA_TEST_5"/>
      <sheetName val="_P_MQADATA_TEST_5"/>
      <sheetName val="_C_V_MQADATA_TE_5"/>
      <sheetName val="_C_P_MQADATA_TE_5"/>
      <sheetName val="_TEST_TIMEOATY__5"/>
      <sheetName val="_D_V_MQADATA_TE_5"/>
      <sheetName val="[TIMEOATY.XLS]_14"/>
      <sheetName val="[TIMEOATY.XLS]_15"/>
      <sheetName val="[TIMEOATY.XLS]_16"/>
      <sheetName val="_MQADATA_TEST_T_6"/>
      <sheetName val="_V_MQADATA_TEST_6"/>
      <sheetName val="_P_MQADATA_TEST_6"/>
      <sheetName val="_C_V_MQADATA_TE_6"/>
      <sheetName val="_C_P_MQADATA_TE_6"/>
      <sheetName val="_TEST_TIMEOATY__6"/>
      <sheetName val="_D_V_MQADATA_TE_6"/>
      <sheetName val="_MQADATA_TEST_T_9"/>
      <sheetName val="_V_MQADATA_TEST_9"/>
      <sheetName val="_P_MQADATA_TEST_9"/>
      <sheetName val="_C_V_MQADATA_TE_9"/>
      <sheetName val="_C_P_MQADATA_TE_9"/>
      <sheetName val="_TEST_TIMEOATY__9"/>
      <sheetName val="_D_V_MQADATA_TE_9"/>
      <sheetName val="[TIMEOATY.XLS]_20"/>
      <sheetName val="[TIMEOATY.XLS]_21"/>
      <sheetName val="[TIMEOATY.XLS]_22"/>
      <sheetName val="_MQADATA_TEST_T_8"/>
      <sheetName val="_V_MQADATA_TEST_8"/>
      <sheetName val="_P_MQADATA_TEST_8"/>
      <sheetName val="_C_V_MQADATA_TE_8"/>
      <sheetName val="_C_P_MQADATA_TE_8"/>
      <sheetName val="_TEST_TIMEOATY__8"/>
      <sheetName val="_D_V_MQADATA_TE_8"/>
      <sheetName val="[TIMEOATY.XLS]_TIMEOATY_XLS_605"/>
      <sheetName val="[TIMEOATY.XLS]_TIMEOATY_XLS_606"/>
      <sheetName val="[TIMEOATY.XLS]_TIMEOATY_XLS_607"/>
      <sheetName val="[TIMEOATY.XLS]_MQADATA_TEST_111"/>
      <sheetName val="[TIMEOATY.XLS]_V_MQADATA_TE_111"/>
      <sheetName val="[TIMEOATY.XLS]_P_MQADATA_TE_111"/>
      <sheetName val="[TIMEOATY.XLS]_C_V_MQADATA__111"/>
      <sheetName val="[TIMEOATY.XLS]_C_P_MQADATA__111"/>
      <sheetName val="[TIMEOATY.XLS]_TEST_TIMEOAT_111"/>
      <sheetName val="[TIMEOATY.XLS]_TIMEOATY_XLS_503"/>
      <sheetName val="[TIMEOATY.XLS]_TIMEOATY_XLS_504"/>
      <sheetName val="[TIMEOATY.XLS]_TIMEOATY_XLS_505"/>
      <sheetName val="[TIMEOATY.XLS]_MQADATA_TEST__97"/>
      <sheetName val="[TIMEOATY.XLS]_V_MQADATA_TES_97"/>
      <sheetName val="[TIMEOATY.XLS]_TIMEOATY_XLS_506"/>
      <sheetName val="[TIMEOATY.XLS]_TIMEOATY_XLS_507"/>
      <sheetName val="[TIMEOATY.XLS]_P_MQADATA_TES_97"/>
      <sheetName val="[TIMEOATY.XLS]_TIMEOATY_XLS_508"/>
      <sheetName val="[TIMEOATY.XLS]_C_V_MQADATA_T_97"/>
      <sheetName val="[TIMEOATY.XLS]_C_P_MQADATA_T_97"/>
      <sheetName val="[TIMEOATY.XLS]_TEST_TIMEOATY_97"/>
      <sheetName val="[TIMEOATY.XLS]_TIMEOATY_XLS_497"/>
      <sheetName val="[TIMEOATY.XLS]_TIMEOATY_XLS_498"/>
      <sheetName val="[TIMEOATY.XLS]_TIMEOATY_XLS_499"/>
      <sheetName val="[TIMEOATY.XLS]_TIMEOATY_XLS_500"/>
      <sheetName val="[TIMEOATY.XLS]_TIMEOATY_XLS_501"/>
      <sheetName val="[TIMEOATY.XLS]_TIMEOATY_XLS_502"/>
      <sheetName val="[TIMEOATY.XLS]_MQADATA_TEST__96"/>
      <sheetName val="[TIMEOATY.XLS]_V_MQADATA_TES_96"/>
      <sheetName val="[TIMEOATY.XLS]_P_MQADATA_TES_96"/>
      <sheetName val="[TIMEOATY.XLS]_C_V_MQADATA_T_96"/>
      <sheetName val="[TIMEOATY.XLS]_C_P_MQADATA_T_96"/>
      <sheetName val="[TIMEOATY.XLS]_TEST_TIMEOATY_96"/>
      <sheetName val="[TIMEOATY.XLS]_TIMEOATY_XLS_509"/>
      <sheetName val="[TIMEOATY.XLS]_TIMEOATY_XLS_510"/>
      <sheetName val="[TIMEOATY.XLS]_TIMEOATY_XLS_511"/>
      <sheetName val="[TIMEOATY.XLS]_TIMEOATY_XLS_515"/>
      <sheetName val="[TIMEOATY.XLS]_TIMEOATY_XLS_516"/>
      <sheetName val="[TIMEOATY.XLS]_TIMEOATY_XLS_517"/>
      <sheetName val="[TIMEOATY.XLS]_TIMEOATY_XLS_512"/>
      <sheetName val="[TIMEOATY.XLS]_TIMEOATY_XLS_513"/>
      <sheetName val="[TIMEOATY.XLS]_TIMEOATY_XLS_514"/>
      <sheetName val="[TIMEOATY.XLS]_MQADATA_TEST__98"/>
      <sheetName val="[TIMEOATY.XLS]_V_MQADATA_TES_98"/>
      <sheetName val="[TIMEOATY.XLS]_TIMEOATY_XLS_521"/>
      <sheetName val="[TIMEOATY.XLS]_TIMEOATY_XLS_522"/>
      <sheetName val="[TIMEOATY.XLS]_P_MQADATA_TES_98"/>
      <sheetName val="[TIMEOATY.XLS]_TIMEOATY_XLS_523"/>
      <sheetName val="[TIMEOATY.XLS]_C_V_MQADATA_T_98"/>
      <sheetName val="[TIMEOATY.XLS]_C_P_MQADATA_T_98"/>
      <sheetName val="[TIMEOATY.XLS]_TEST_TIMEOATY_98"/>
      <sheetName val="[TIMEOATY.XLS]_TIMEOATY_XLS_518"/>
      <sheetName val="[TIMEOATY.XLS]_TIMEOATY_XLS_519"/>
      <sheetName val="[TIMEOATY.XLS]_TIMEOATY_XLS_520"/>
      <sheetName val="[TIMEOATY.XLS]_TIMEOATY_XLS_524"/>
      <sheetName val="[TIMEOATY.XLS]_TIMEOATY_XLS_525"/>
      <sheetName val="[TIMEOATY.XLS]_TIMEOATY_XLS_526"/>
      <sheetName val="[TIMEOATY.XLS]_TIMEOATY_XLS_536"/>
      <sheetName val="[TIMEOATY.XLS]_TIMEOATY_XLS_537"/>
      <sheetName val="[TIMEOATY.XLS]_TIMEOATY_XLS_538"/>
      <sheetName val="[TIMEOATY.XLS]_TIMEOATY_XLS_527"/>
      <sheetName val="[TIMEOATY.XLS]_TIMEOATY_XLS_528"/>
      <sheetName val="[TIMEOATY.XLS]_TIMEOATY_XLS_529"/>
      <sheetName val="[TIMEOATY.XLS]_MQADATA_TEST_101"/>
      <sheetName val="[TIMEOATY.XLS]_V_MQADATA_TE_101"/>
      <sheetName val="[TIMEOATY.XLS]_TIMEOATY_XLS_551"/>
      <sheetName val="[TIMEOATY.XLS]_TIMEOATY_XLS_552"/>
      <sheetName val="[TIMEOATY.XLS]_P_MQADATA_TE_101"/>
      <sheetName val="[TIMEOATY.XLS]_TIMEOATY_XLS_553"/>
      <sheetName val="[TIMEOATY.XLS]_C_V_MQADATA__101"/>
      <sheetName val="[TIMEOATY.XLS]_C_P_MQADATA__101"/>
      <sheetName val="[TIMEOATY.XLS]_TEST_TIMEOAT_101"/>
      <sheetName val="[TIMEOATY.XLS]_TIMEOATY_XLS_530"/>
      <sheetName val="[TIMEOATY.XLS]_TIMEOATY_XLS_531"/>
      <sheetName val="[TIMEOATY.XLS]_TIMEOATY_XLS_532"/>
      <sheetName val="[TIMEOATY.XLS]_MQADATA_TEST__99"/>
      <sheetName val="[TIMEOATY.XLS]_V_MQADATA_TES_99"/>
      <sheetName val="[TIMEOATY.XLS]_P_MQADATA_TES_99"/>
      <sheetName val="[TIMEOATY.XLS]_C_V_MQADATA_T_99"/>
      <sheetName val="[TIMEOATY.XLS]_C_P_MQADATA_T_99"/>
      <sheetName val="[TIMEOATY.XLS]_TEST_TIMEOATY_99"/>
      <sheetName val="[TIMEOATY.XLS]_TIMEOATY_XLS_533"/>
      <sheetName val="[TIMEOATY.XLS]_TIMEOATY_XLS_534"/>
      <sheetName val="[TIMEOATY.XLS]_TIMEOATY_XLS_535"/>
      <sheetName val="[TIMEOATY.XLS]_MQADATA_TEST_100"/>
      <sheetName val="[TIMEOATY.XLS]_V_MQADATA_TE_100"/>
      <sheetName val="[TIMEOATY.XLS]_P_MQADATA_TE_100"/>
      <sheetName val="[TIMEOATY.XLS]_C_V_MQADATA__100"/>
      <sheetName val="[TIMEOATY.XLS]_C_P_MQADATA__100"/>
      <sheetName val="[TIMEOATY.XLS]_TEST_TIMEOAT_100"/>
      <sheetName val="[TIMEOATY.XLS]_TIMEOATY_XLS_539"/>
      <sheetName val="[TIMEOATY.XLS]_TIMEOATY_XLS_540"/>
      <sheetName val="[TIMEOATY.XLS]_TIMEOATY_XLS_541"/>
      <sheetName val="[TIMEOATY.XLS]_MQADATA_TEST_102"/>
      <sheetName val="[TIMEOATY.XLS]_V_MQADATA_TE_102"/>
      <sheetName val="[TIMEOATY.XLS]_P_MQADATA_TE_102"/>
      <sheetName val="[TIMEOATY.XLS]_C_V_MQADATA__102"/>
      <sheetName val="[TIMEOATY.XLS]_C_P_MQADATA__102"/>
      <sheetName val="[TIMEOATY.XLS]_TEST_TIMEOAT_102"/>
      <sheetName val="[TIMEOATY.XLS]_TIMEOATY_XLS_542"/>
      <sheetName val="[TIMEOATY.XLS]_TIMEOATY_XLS_543"/>
      <sheetName val="[TIMEOATY.XLS]_TIMEOATY_XLS_544"/>
      <sheetName val="[TIMEOATY.XLS]_TIMEOATY_XLS_545"/>
      <sheetName val="[TIMEOATY.XLS]_TIMEOATY_XLS_546"/>
      <sheetName val="[TIMEOATY.XLS]_TIMEOATY_XLS_547"/>
      <sheetName val="[TIMEOATY.XLS]_TIMEOATY_XLS_548"/>
      <sheetName val="[TIMEOATY.XLS]_TIMEOATY_XLS_549"/>
      <sheetName val="[TIMEOATY.XLS]_TIMEOATY_XLS_550"/>
      <sheetName val="[TIMEOATY.XLS]_TIMEOATY_XLS_554"/>
      <sheetName val="[TIMEOATY.XLS]_TIMEOATY_XLS_555"/>
      <sheetName val="[TIMEOATY.XLS]_TIMEOATY_XLS_556"/>
      <sheetName val="[TIMEOATY.XLS]_TIMEOATY_XLS_560"/>
      <sheetName val="[TIMEOATY.XLS]_TIMEOATY_XLS_561"/>
      <sheetName val="[TIMEOATY.XLS]_TIMEOATY_XLS_562"/>
      <sheetName val="[TIMEOATY.XLS]_TIMEOATY_XLS_557"/>
      <sheetName val="[TIMEOATY.XLS]_TIMEOATY_XLS_558"/>
      <sheetName val="[TIMEOATY.XLS]_TIMEOATY_XLS_559"/>
      <sheetName val="[TIMEOATY.XLS]_TIMEOATY_XLS_563"/>
      <sheetName val="[TIMEOATY.XLS]_TIMEOATY_XLS_564"/>
      <sheetName val="[TIMEOATY.XLS]_TIMEOATY_XLS_565"/>
      <sheetName val="[TIMEOATY.XLS]_TIMEOATY_XLS_566"/>
      <sheetName val="[TIMEOATY.XLS]_TIMEOATY_XLS_567"/>
      <sheetName val="[TIMEOATY.XLS]_TIMEOATY_XLS_568"/>
      <sheetName val="[TIMEOATY.XLS]_MQADATA_TEST_103"/>
      <sheetName val="[TIMEOATY.XLS]_V_MQADATA_TE_103"/>
      <sheetName val="[TIMEOATY.XLS]_TIMEOATY_XLS_569"/>
      <sheetName val="[TIMEOATY.XLS]_TIMEOATY_XLS_570"/>
      <sheetName val="[TIMEOATY.XLS]_P_MQADATA_TE_103"/>
      <sheetName val="[TIMEOATY.XLS]_TIMEOATY_XLS_571"/>
      <sheetName val="[TIMEOATY.XLS]_C_V_MQADATA__103"/>
      <sheetName val="[TIMEOATY.XLS]_C_P_MQADATA__103"/>
      <sheetName val="[TIMEOATY.XLS]_TEST_TIMEOAT_103"/>
      <sheetName val="[TIMEOATY.XLS]_TIMEOATY_XLS_578"/>
      <sheetName val="[TIMEOATY.XLS]_TIMEOATY_XLS_579"/>
      <sheetName val="[TIMEOATY.XLS]_TIMEOATY_XLS_580"/>
      <sheetName val="[TIMEOATY.XLS]_MQADATA_TEST_106"/>
      <sheetName val="[TIMEOATY.XLS]_V_MQADATA_TE_106"/>
      <sheetName val="[TIMEOATY.XLS]_TIMEOATY_XLS_593"/>
      <sheetName val="[TIMEOATY.XLS]_TIMEOATY_XLS_594"/>
      <sheetName val="[TIMEOATY.XLS]_P_MQADATA_TE_106"/>
      <sheetName val="[TIMEOATY.XLS]_TIMEOATY_XLS_595"/>
      <sheetName val="[TIMEOATY.XLS]_C_V_MQADATA__106"/>
      <sheetName val="[TIMEOATY.XLS]_C_P_MQADATA__106"/>
      <sheetName val="[TIMEOATY.XLS]_TEST_TIMEOAT_106"/>
      <sheetName val="[TIMEOATY.XLS]_TIMEOATY_XLS_572"/>
      <sheetName val="[TIMEOATY.XLS]_TIMEOATY_XLS_573"/>
      <sheetName val="[TIMEOATY.XLS]_TIMEOATY_XLS_574"/>
      <sheetName val="[TIMEOATY.XLS]_MQADATA_TEST_104"/>
      <sheetName val="[TIMEOATY.XLS]_V_MQADATA_TE_104"/>
      <sheetName val="[TIMEOATY.XLS]_P_MQADATA_TE_104"/>
      <sheetName val="[TIMEOATY.XLS]_C_V_MQADATA__104"/>
      <sheetName val="[TIMEOATY.XLS]_C_P_MQADATA__104"/>
      <sheetName val="[TIMEOATY.XLS]_TEST_TIMEOAT_104"/>
      <sheetName val="[TIMEOATY.XLS]_TIMEOATY_XLS_575"/>
      <sheetName val="[TIMEOATY.XLS]_TIMEOATY_XLS_576"/>
      <sheetName val="[TIMEOATY.XLS]_TIMEOATY_XLS_577"/>
      <sheetName val="[TIMEOATY.XLS]_MQADATA_TEST_105"/>
      <sheetName val="[TIMEOATY.XLS]_V_MQADATA_TE_105"/>
      <sheetName val="[TIMEOATY.XLS]_P_MQADATA_TE_105"/>
      <sheetName val="[TIMEOATY.XLS]_C_V_MQADATA__105"/>
      <sheetName val="[TIMEOATY.XLS]_C_P_MQADATA__105"/>
      <sheetName val="[TIMEOATY.XLS]_TEST_TIMEOAT_105"/>
      <sheetName val="[TIMEOATY.XLS]_TIMEOATY_XLS_581"/>
      <sheetName val="[TIMEOATY.XLS]_TIMEOATY_XLS_582"/>
      <sheetName val="[TIMEOATY.XLS]_TIMEOATY_XLS_583"/>
      <sheetName val="[TIMEOATY.XLS]_MQADATA_TEST_107"/>
      <sheetName val="[TIMEOATY.XLS]_V_MQADATA_TE_107"/>
      <sheetName val="[TIMEOATY.XLS]_TIMEOATY_XLS_584"/>
      <sheetName val="[TIMEOATY.XLS]_TIMEOATY_XLS_585"/>
      <sheetName val="[TIMEOATY.XLS]_P_MQADATA_TE_107"/>
      <sheetName val="[TIMEOATY.XLS]_TIMEOATY_XLS_586"/>
      <sheetName val="[TIMEOATY.XLS]_C_V_MQADATA__107"/>
      <sheetName val="[TIMEOATY.XLS]_C_P_MQADATA__107"/>
      <sheetName val="[TIMEOATY.XLS]_TEST_TIMEOAT_107"/>
      <sheetName val="[TIMEOATY.XLS]_TIMEOATY_XLS_587"/>
      <sheetName val="[TIMEOATY.XLS]_TIMEOATY_XLS_588"/>
      <sheetName val="[TIMEOATY.XLS]_TIMEOATY_XLS_589"/>
      <sheetName val="[TIMEOATY.XLS]_TIMEOATY_XLS_590"/>
      <sheetName val="[TIMEOATY.XLS]_TIMEOATY_XLS_591"/>
      <sheetName val="[TIMEOATY.XLS]_TIMEOATY_XLS_592"/>
      <sheetName val="[TIMEOATY.XLS]_TIMEOATY_XLS_596"/>
      <sheetName val="[TIMEOATY.XLS]_TIMEOATY_XLS_597"/>
      <sheetName val="[TIMEOATY.XLS]_TIMEOATY_XLS_598"/>
      <sheetName val="[TIMEOATY.XLS]_MQADATA_TEST_108"/>
      <sheetName val="[TIMEOATY.XLS]_V_MQADATA_TE_108"/>
      <sheetName val="[TIMEOATY.XLS]_P_MQADATA_TE_108"/>
      <sheetName val="[TIMEOATY.XLS]_C_V_MQADATA__108"/>
      <sheetName val="[TIMEOATY.XLS]_C_P_MQADATA__108"/>
      <sheetName val="[TIMEOATY.XLS]_TEST_TIMEOAT_108"/>
      <sheetName val="[TIMEOATY.XLS]_TIMEOATY_XLS_599"/>
      <sheetName val="[TIMEOATY.XLS]_TIMEOATY_XLS_600"/>
      <sheetName val="[TIMEOATY.XLS]_TIMEOATY_XLS_601"/>
      <sheetName val="[TIMEOATY.XLS]_MQADATA_TEST_109"/>
      <sheetName val="[TIMEOATY.XLS]_V_MQADATA_TE_109"/>
      <sheetName val="[TIMEOATY.XLS]_P_MQADATA_TE_109"/>
      <sheetName val="[TIMEOATY.XLS]_C_V_MQADATA__109"/>
      <sheetName val="[TIMEOATY.XLS]_C_P_MQADATA__109"/>
      <sheetName val="[TIMEOATY.XLS]_TEST_TIMEOAT_109"/>
      <sheetName val="[TIMEOATY.XLS]_TIMEOATY_XLS_602"/>
      <sheetName val="[TIMEOATY.XLS]_TIMEOATY_XLS_603"/>
      <sheetName val="[TIMEOATY.XLS]_TIMEOATY_XLS_604"/>
      <sheetName val="[TIMEOATY.XLS]_MQADATA_TEST_110"/>
      <sheetName val="[TIMEOATY.XLS]_V_MQADATA_TE_110"/>
      <sheetName val="[TIMEOATY.XLS]_P_MQADATA_TE_110"/>
      <sheetName val="[TIMEOATY.XLS]_C_V_MQADATA__110"/>
      <sheetName val="[TIMEOATY.XLS]_C_P_MQADATA__110"/>
      <sheetName val="[TIMEOATY.XLS]_TEST_TIMEOAT_110"/>
      <sheetName val="[TIMEOATY.XLS]_TIMEOATY_XLS_608"/>
      <sheetName val="[TIMEOATY.XLS]_TIMEOATY_XLS_609"/>
      <sheetName val="[TIMEOATY.XLS]_TIMEOATY_XLS_610"/>
      <sheetName val="[TIMEOATY.XLS]_MQADATA_TEST_112"/>
      <sheetName val="[TIMEOATY.XLS]_V_MQADATA_TE_112"/>
      <sheetName val="[TIMEOATY.XLS]_TIMEOATY_XLS_611"/>
      <sheetName val="[TIMEOATY.XLS]_TIMEOATY_XLS_612"/>
      <sheetName val="[TIMEOATY.XLS]_P_MQADATA_TE_112"/>
      <sheetName val="[TIMEOATY.XLS]_TIMEOATY_XLS_613"/>
      <sheetName val="[TIMEOATY.XLS]_C_V_MQADATA__112"/>
      <sheetName val="[TIMEOATY.XLS]_C_P_MQADATA__112"/>
      <sheetName val="[TIMEOATY.XLS]_TEST_TIMEOAT_112"/>
      <sheetName val="HL-Summary"/>
      <sheetName val="[TIMEOATY.XLS]_TIMEOATY_XLS_614"/>
      <sheetName val="[TIMEOATY.XLS]_TIMEOATY_XLS_615"/>
      <sheetName val="[TIMEOATY.XLS]_TIMEOATY_XLS_616"/>
      <sheetName val="[TIMEOATY.XLS]_MQADATA_TEST_113"/>
      <sheetName val="[TIMEOATY.XLS]_V_MQADATA_TE_113"/>
      <sheetName val="[TIMEOATY.XLS]_P_MQADATA_TE_113"/>
      <sheetName val="[TIMEOATY.XLS]_C_V_MQADATA__113"/>
      <sheetName val="[TIMEOATY.XLS]_C_P_MQADATA__113"/>
      <sheetName val="[TIMEOATY.XLS]_TEST_TIMEOAT_113"/>
      <sheetName val="[TIMEOATY.XLS]_D_V_MQADATA__102"/>
      <sheetName val="[TIMEOATY.XLS]_D_V_MQADATA__101"/>
      <sheetName val="[TIMEOATY.XLS]_D_V_MQADATA_T_99"/>
      <sheetName val="[TIMEOATY.XLS]_D_V_MQADATA_T_89"/>
      <sheetName val="[TIMEOATY.XLS]_D_V_MQADATA_T_87"/>
      <sheetName val="[TIMEOATY.XLS]_D_V_MQADATA_T_88"/>
      <sheetName val="[TIMEOATY.XLS]_D_V_MQADATA_T_90"/>
      <sheetName val="[TIMEOATY.XLS]_D_V_MQADATA_T_91"/>
      <sheetName val="[TIMEOATY.XLS]_D_V_MQADATA_T_92"/>
      <sheetName val="[TIMEOATY.XLS]_D_V_MQADATA_T_97"/>
      <sheetName val="[TIMEOATY.XLS]_D_V_MQADATA_T_93"/>
      <sheetName val="[TIMEOATY.XLS]_D_V_MQADATA_T_94"/>
      <sheetName val="[TIMEOATY.XLS]_D_V_MQADATA_T_95"/>
      <sheetName val="[TIMEOATY.XLS]_D_V_MQADATA_T_96"/>
      <sheetName val="[TIMEOATY.XLS]_D_V_MQADATA_T_98"/>
      <sheetName val="[TIMEOATY.XLS]_D_V_MQADATA__100"/>
      <sheetName val="[TIMEOATY.XLS]_29"/>
      <sheetName val="[TIMEOATY.XLS]_30"/>
      <sheetName val="[TIMEOATY.XLS]_31"/>
      <sheetName val="[TIMEOATY.XLS]_26"/>
      <sheetName val="[TIMEOATY.XLS]_27"/>
      <sheetName val="[TIMEOATY.XLS]_28"/>
      <sheetName val="__192_168_200_1_2"/>
      <sheetName val="__192_168_200_1_3"/>
      <sheetName val="__10_12_8_248_C_2"/>
      <sheetName val="__172_17_31_252_2"/>
      <sheetName val="[TIMEOATY.XLS]_35"/>
      <sheetName val="[TIMEOATY.XLS]_36"/>
      <sheetName val="[TIMEOATY.XLS]_37"/>
      <sheetName val="[TIMEOATY.XLS]_32"/>
      <sheetName val="[TIMEOATY.XLS]_33"/>
      <sheetName val="[TIMEOATY.XLS]_34"/>
      <sheetName val="__192_168_200_1_4"/>
      <sheetName val="__192_168_200_1_5"/>
      <sheetName val="__10_12_8_248_C_3"/>
      <sheetName val="__172_17_31_252_3"/>
      <sheetName val="__192_168_200_1_6"/>
      <sheetName val="__192_168_200_1_7"/>
      <sheetName val="__10_12_8_248_C_4"/>
      <sheetName val="__172_17_31_252_4"/>
      <sheetName val="[TIMEOATY.XLS]_38"/>
      <sheetName val="[TIMEOATY.XLS]_39"/>
      <sheetName val="[TIMEOATY.XLS]_40"/>
      <sheetName val="_TIMEOATY_XLS_113"/>
      <sheetName val="_TIMEOATY_XLS_114"/>
      <sheetName val="_TIMEOATY_XLS_115"/>
      <sheetName val="_MQADATA_TEST__26"/>
      <sheetName val="_TIMEOATY_XLS_140"/>
      <sheetName val="_TIMEOATY_XLS_141"/>
      <sheetName val="_V_MQADATA_TES_26"/>
      <sheetName val="_P_MQADATA_TES_26"/>
      <sheetName val="_TIMEOATY_XLS_142"/>
      <sheetName val="_C_V_MQADATA_T_26"/>
      <sheetName val="_C_P_MQADATA_T_26"/>
      <sheetName val="_TEST_TIMEOATY_25"/>
      <sheetName val="_D_V_MQADATA_T_20"/>
      <sheetName val="[TIMEOATY.XLS]_44"/>
      <sheetName val="[TIMEOATY.XLS]_45"/>
      <sheetName val="[TIMEOATY.XLS]_46"/>
      <sheetName val="_MQADATA_TEST__10"/>
      <sheetName val="_V_MQADATA_TES_10"/>
      <sheetName val="_P_MQADATA_TES_10"/>
      <sheetName val="_C_V_MQADATA_T_10"/>
      <sheetName val="_C_P_MQADATA_T_10"/>
      <sheetName val="_MQADATA_TEST__12"/>
      <sheetName val="[TIMEOATY.XLS]_80"/>
      <sheetName val="[TIMEOATY.XLS]_81"/>
      <sheetName val="_V_MQADATA_TES_12"/>
      <sheetName val="_P_MQADATA_TES_12"/>
      <sheetName val="[TIMEOATY.XLS]_82"/>
      <sheetName val="_C_V_MQADATA_T_12"/>
      <sheetName val="_C_P_MQADATA_T_12"/>
      <sheetName val="_TEST_TIMEOATY_11"/>
      <sheetName val="[TIMEOATY.XLS]_41"/>
      <sheetName val="[TIMEOATY.XLS]_42"/>
      <sheetName val="[TIMEOATY.XLS]_43"/>
      <sheetName val="_MQADATA_TEST__11"/>
      <sheetName val="_V_MQADATA_TES_11"/>
      <sheetName val="_P_MQADATA_TES_11"/>
      <sheetName val="_C_V_MQADATA_T_11"/>
      <sheetName val="_C_P_MQADATA_T_11"/>
      <sheetName val="_TEST_TIMEOATY_10"/>
      <sheetName val="[TIMEOATY.XLS]_56"/>
      <sheetName val="[TIMEOATY.XLS]_57"/>
      <sheetName val="[TIMEOATY.XLS]_58"/>
      <sheetName val="_MQADATA_TEST__15"/>
      <sheetName val="[TIMEOATY.XLS]_65"/>
      <sheetName val="[TIMEOATY.XLS]_66"/>
      <sheetName val="_V_MQADATA_TES_15"/>
      <sheetName val="_P_MQADATA_TES_15"/>
      <sheetName val="[TIMEOATY.XLS]_67"/>
      <sheetName val="_C_V_MQADATA_T_15"/>
      <sheetName val="_C_P_MQADATA_T_15"/>
      <sheetName val="_TEST_TIMEOATY_14"/>
      <sheetName val="_D_V_MQADATA_T_10"/>
      <sheetName val="[TIMEOATY.XLS]_47"/>
      <sheetName val="[TIMEOATY.XLS]_48"/>
      <sheetName val="[TIMEOATY.XLS]_49"/>
      <sheetName val="_MQADATA_TEST__13"/>
      <sheetName val="_V_MQADATA_TES_13"/>
      <sheetName val="_P_MQADATA_TES_13"/>
      <sheetName val="_C_V_MQADATA_T_13"/>
      <sheetName val="_C_P_MQADATA_T_13"/>
      <sheetName val="_TEST_TIMEOATY_12"/>
      <sheetName val="[TIMEOATY.XLS]_50"/>
      <sheetName val="[TIMEOATY.XLS]_51"/>
      <sheetName val="[TIMEOATY.XLS]_52"/>
      <sheetName val="[TIMEOATY.XLS]_53"/>
      <sheetName val="[TIMEOATY.XLS]_54"/>
      <sheetName val="[TIMEOATY.XLS]_55"/>
      <sheetName val="_MQADATA_TEST__14"/>
      <sheetName val="_V_MQADATA_TES_14"/>
      <sheetName val="_P_MQADATA_TES_14"/>
      <sheetName val="_C_V_MQADATA_T_14"/>
      <sheetName val="_C_P_MQADATA_T_14"/>
      <sheetName val="_TEST_TIMEOATY_13"/>
      <sheetName val="[TIMEOATY.XLS]_59"/>
      <sheetName val="[TIMEOATY.XLS]_60"/>
      <sheetName val="[TIMEOATY.XLS]_61"/>
      <sheetName val="_MQADATA_TEST__17"/>
      <sheetName val="[TIMEOATY.XLS]_77"/>
      <sheetName val="[TIMEOATY.XLS]_78"/>
      <sheetName val="_V_MQADATA_TES_17"/>
      <sheetName val="_P_MQADATA_TES_17"/>
      <sheetName val="[TIMEOATY.XLS]_79"/>
      <sheetName val="_C_V_MQADATA_T_17"/>
      <sheetName val="_C_P_MQADATA_T_17"/>
      <sheetName val="_TEST_TIMEOATY_16"/>
      <sheetName val="_D_V_MQADATA_T_11"/>
      <sheetName val="[TIMEOATY.XLS]_62"/>
      <sheetName val="[TIMEOATY.XLS]_63"/>
      <sheetName val="[TIMEOATY.XLS]_64"/>
      <sheetName val="_MQADATA_TEST__16"/>
      <sheetName val="_V_MQADATA_TES_16"/>
      <sheetName val="_P_MQADATA_TES_16"/>
      <sheetName val="_C_V_MQADATA_T_16"/>
      <sheetName val="_C_P_MQADATA_T_16"/>
      <sheetName val="_TEST_TIMEOATY_15"/>
      <sheetName val="[TIMEOATY.XLS]_68"/>
      <sheetName val="[TIMEOATY.XLS]_69"/>
      <sheetName val="[TIMEOATY.XLS]_70"/>
      <sheetName val="[TIMEOATY.XLS]_71"/>
      <sheetName val="[TIMEOATY.XLS]_72"/>
      <sheetName val="[TIMEOATY.XLS]_73"/>
      <sheetName val="[TIMEOATY.XLS]_74"/>
      <sheetName val="[TIMEOATY.XLS]_75"/>
      <sheetName val="[TIMEOATY.XLS]_76"/>
      <sheetName val="_MQADATA_TEST__23"/>
      <sheetName val="_TIMEOATY_XLS_104"/>
      <sheetName val="_TIMEOATY_XLS_105"/>
      <sheetName val="_V_MQADATA_TES_23"/>
      <sheetName val="_P_MQADATA_TES_23"/>
      <sheetName val="_TIMEOATY_XLS_106"/>
      <sheetName val="_C_V_MQADATA_T_23"/>
      <sheetName val="_C_P_MQADATA_T_23"/>
      <sheetName val="_TEST_TIMEOATY_22"/>
      <sheetName val="_D_V_MQADATA_T_17"/>
      <sheetName val="_TIMEOATY_XLS_101"/>
      <sheetName val="_TIMEOATY_XLS_102"/>
      <sheetName val="_TIMEOATY_XLS_103"/>
      <sheetName val="_MQADATA_TEST__18"/>
      <sheetName val="_V_MQADATA_TES_18"/>
      <sheetName val="_P_MQADATA_TES_18"/>
      <sheetName val="_C_V_MQADATA_T_18"/>
      <sheetName val="_C_P_MQADATA_T_18"/>
      <sheetName val="_TEST_TIMEOATY_17"/>
      <sheetName val="_D_V_MQADATA_T_12"/>
      <sheetName val="[TIMEOATY.XLS]_83"/>
      <sheetName val="[TIMEOATY.XLS]_84"/>
      <sheetName val="[TIMEOATY.XLS]_85"/>
      <sheetName val="_MQADATA_TEST__19"/>
      <sheetName val="_V_MQADATA_TES_19"/>
      <sheetName val="_P_MQADATA_TES_19"/>
      <sheetName val="_C_V_MQADATA_T_19"/>
      <sheetName val="_C_P_MQADATA_T_19"/>
      <sheetName val="_TEST_TIMEOATY_18"/>
      <sheetName val="_D_V_MQADATA_T_13"/>
      <sheetName val="[TIMEOATY.XLS]_86"/>
      <sheetName val="[TIMEOATY.XLS]_87"/>
      <sheetName val="[TIMEOATY.XLS]_88"/>
      <sheetName val="_MQADATA_TEST__20"/>
      <sheetName val="_V_MQADATA_TES_20"/>
      <sheetName val="_P_MQADATA_TES_20"/>
      <sheetName val="_C_V_MQADATA_T_20"/>
      <sheetName val="_C_P_MQADATA_T_20"/>
      <sheetName val="_TEST_TIMEOATY_19"/>
      <sheetName val="_D_V_MQADATA_T_14"/>
      <sheetName val="[TIMEOATY.XLS]_89"/>
      <sheetName val="[TIMEOATY.XLS]_90"/>
      <sheetName val="[TIMEOATY.XLS]_91"/>
      <sheetName val="_MQADATA_TEST__21"/>
      <sheetName val="_V_MQADATA_TES_21"/>
      <sheetName val="_P_MQADATA_TES_21"/>
      <sheetName val="_C_V_MQADATA_T_21"/>
      <sheetName val="_C_P_MQADATA_T_21"/>
      <sheetName val="_TEST_TIMEOATY_20"/>
      <sheetName val="_D_V_MQADATA_T_15"/>
      <sheetName val="[TIMEOATY.XLS]_92"/>
      <sheetName val="[TIMEOATY.XLS]_93"/>
      <sheetName val="[TIMEOATY.XLS]_94"/>
      <sheetName val="[TIMEOATY.XLS]_95"/>
      <sheetName val="[TIMEOATY.XLS]_96"/>
      <sheetName val="[TIMEOATY.XLS]_97"/>
      <sheetName val="_MQADATA_TEST__22"/>
      <sheetName val="_V_MQADATA_TES_22"/>
      <sheetName val="_P_MQADATA_TES_22"/>
      <sheetName val="_C_V_MQADATA_T_22"/>
      <sheetName val="_C_P_MQADATA_T_22"/>
      <sheetName val="_TEST_TIMEOATY_21"/>
      <sheetName val="_D_V_MQADATA_T_16"/>
      <sheetName val="[TIMEOATY.XLS]_98"/>
      <sheetName val="[TIMEOATY.XLS]_99"/>
      <sheetName val="_TIMEOATY_XLS_100"/>
      <sheetName val="_TIMEOATY_XLS_107"/>
      <sheetName val="_TIMEOATY_XLS_108"/>
      <sheetName val="_TIMEOATY_XLS_109"/>
      <sheetName val="_MQADATA_TEST__24"/>
      <sheetName val="_V_MQADATA_TES_24"/>
      <sheetName val="_P_MQADATA_TES_24"/>
      <sheetName val="_C_V_MQADATA_T_24"/>
      <sheetName val="_C_P_MQADATA_T_24"/>
      <sheetName val="_TEST_TIMEOATY_23"/>
      <sheetName val="_D_V_MQADATA_T_18"/>
      <sheetName val="_TIMEOATY_XLS_110"/>
      <sheetName val="_TIMEOATY_XLS_111"/>
      <sheetName val="_TIMEOATY_XLS_112"/>
      <sheetName val="_MQADATA_TEST__25"/>
      <sheetName val="_V_MQADATA_TES_25"/>
      <sheetName val="_P_MQADATA_TES_25"/>
      <sheetName val="_C_V_MQADATA_T_25"/>
      <sheetName val="_C_P_MQADATA_T_25"/>
      <sheetName val="_TEST_TIMEOATY_24"/>
      <sheetName val="_D_V_MQADATA_T_19"/>
      <sheetName val="_MQADATA_TEST__34"/>
      <sheetName val="_TIMEOATY_XLS_149"/>
      <sheetName val="_TIMEOATY_XLS_150"/>
      <sheetName val="_V_MQADATA_TES_34"/>
      <sheetName val="_P_MQADATA_TES_34"/>
      <sheetName val="_TIMEOATY_XLS_151"/>
      <sheetName val="_C_V_MQADATA_T_34"/>
      <sheetName val="_C_P_MQADATA_T_34"/>
      <sheetName val="_TEST_TIMEOATY_33"/>
      <sheetName val="_D_V_MQADATA_T_27"/>
      <sheetName val="_TIMEOATY_XLS_122"/>
      <sheetName val="_TIMEOATY_XLS_123"/>
      <sheetName val="_TIMEOATY_XLS_124"/>
      <sheetName val="_MQADATA_TEST__29"/>
      <sheetName val="_TIMEOATY_XLS_128"/>
      <sheetName val="_TIMEOATY_XLS_129"/>
      <sheetName val="_V_MQADATA_TES_29"/>
      <sheetName val="_P_MQADATA_TES_29"/>
      <sheetName val="_TIMEOATY_XLS_130"/>
      <sheetName val="_C_V_MQADATA_T_29"/>
      <sheetName val="_C_P_MQADATA_T_29"/>
      <sheetName val="_TEST_TIMEOATY_28"/>
      <sheetName val="_D_V_MQADATA_T_23"/>
      <sheetName val="_TIMEOATY_XLS_116"/>
      <sheetName val="_TIMEOATY_XLS_117"/>
      <sheetName val="_TIMEOATY_XLS_118"/>
      <sheetName val="_MQADATA_TEST__27"/>
      <sheetName val="_V_MQADATA_TES_27"/>
      <sheetName val="_P_MQADATA_TES_27"/>
      <sheetName val="_C_V_MQADATA_T_27"/>
      <sheetName val="_C_P_MQADATA_T_27"/>
      <sheetName val="_TEST_TIMEOATY_26"/>
      <sheetName val="_D_V_MQADATA_T_21"/>
      <sheetName val="_TIMEOATY_XLS_119"/>
      <sheetName val="_TIMEOATY_XLS_120"/>
      <sheetName val="_TIMEOATY_XLS_121"/>
      <sheetName val="_MQADATA_TEST__28"/>
      <sheetName val="_V_MQADATA_TES_28"/>
      <sheetName val="_P_MQADATA_TES_28"/>
      <sheetName val="_C_V_MQADATA_T_28"/>
      <sheetName val="_C_P_MQADATA_T_28"/>
      <sheetName val="_TEST_TIMEOATY_27"/>
      <sheetName val="_D_V_MQADATA_T_22"/>
      <sheetName val="_TIMEOATY_XLS_125"/>
      <sheetName val="_TIMEOATY_XLS_126"/>
      <sheetName val="_TIMEOATY_XLS_127"/>
      <sheetName val="_MQADATA_TEST__30"/>
      <sheetName val="_V_MQADATA_TES_30"/>
      <sheetName val="_P_MQADATA_TES_30"/>
      <sheetName val="_C_V_MQADATA_T_30"/>
      <sheetName val="_C_P_MQADATA_T_30"/>
      <sheetName val="_TEST_TIMEOATY_29"/>
      <sheetName val="_TIMEOATY_XLS_131"/>
      <sheetName val="_TIMEOATY_XLS_132"/>
      <sheetName val="_TIMEOATY_XLS_133"/>
      <sheetName val="_MQADATA_TEST__31"/>
      <sheetName val="_V_MQADATA_TES_31"/>
      <sheetName val="_P_MQADATA_TES_31"/>
      <sheetName val="_C_V_MQADATA_T_31"/>
      <sheetName val="_C_P_MQADATA_T_31"/>
      <sheetName val="_TEST_TIMEOATY_30"/>
      <sheetName val="_D_V_MQADATA_T_24"/>
      <sheetName val="_TIMEOATY_XLS_134"/>
      <sheetName val="_TIMEOATY_XLS_135"/>
      <sheetName val="_TIMEOATY_XLS_136"/>
      <sheetName val="_MQADATA_TEST__32"/>
      <sheetName val="_V_MQADATA_TES_32"/>
      <sheetName val="_P_MQADATA_TES_32"/>
      <sheetName val="_C_V_MQADATA_T_32"/>
      <sheetName val="_C_P_MQADATA_T_32"/>
      <sheetName val="_TEST_TIMEOATY_31"/>
      <sheetName val="_D_V_MQADATA_T_25"/>
      <sheetName val="_TIMEOATY_XLS_137"/>
      <sheetName val="_TIMEOATY_XLS_138"/>
      <sheetName val="_TIMEOATY_XLS_139"/>
      <sheetName val="_MQADATA_TEST__33"/>
      <sheetName val="_V_MQADATA_TES_33"/>
      <sheetName val="_P_MQADATA_TES_33"/>
      <sheetName val="_C_V_MQADATA_T_33"/>
      <sheetName val="_C_P_MQADATA_T_33"/>
      <sheetName val="_TEST_TIMEOATY_32"/>
      <sheetName val="_D_V_MQADATA_T_26"/>
      <sheetName val="_TIMEOATY_XLS_143"/>
      <sheetName val="_TIMEOATY_XLS_144"/>
      <sheetName val="_TIMEOATY_XLS_145"/>
      <sheetName val="_TIMEOATY_XLS_146"/>
      <sheetName val="_TIMEOATY_XLS_147"/>
      <sheetName val="_TIMEOATY_XLS_148"/>
      <sheetName val="_TIMEOATY_XLS_167"/>
      <sheetName val="_TIMEOATY_XLS_168"/>
      <sheetName val="_TIMEOATY_XLS_169"/>
      <sheetName val="_TIMEOATY_XLS_152"/>
      <sheetName val="_TIMEOATY_XLS_153"/>
      <sheetName val="_TIMEOATY_XLS_154"/>
      <sheetName val="_TIMEOATY_XLS_155"/>
      <sheetName val="_TIMEOATY_XLS_156"/>
      <sheetName val="_TIMEOATY_XLS_157"/>
      <sheetName val="_TIMEOATY_XLS_158"/>
      <sheetName val="_TIMEOATY_XLS_159"/>
      <sheetName val="_TIMEOATY_XLS_160"/>
      <sheetName val="_TIMEOATY_XLS_161"/>
      <sheetName val="_TIMEOATY_XLS_162"/>
      <sheetName val="_TIMEOATY_XLS_163"/>
      <sheetName val="_TIMEOATY_XLS_164"/>
      <sheetName val="_TIMEOATY_XLS_165"/>
      <sheetName val="_TIMEOATY_XLS_166"/>
      <sheetName val="_TIMEOATY_XLS_170"/>
      <sheetName val="_TIMEOATY_XLS_171"/>
      <sheetName val="_TIMEOATY_XLS_172"/>
      <sheetName val="_MQADATA_TEST__35"/>
      <sheetName val="_TIMEOATY_XLS_179"/>
      <sheetName val="_TIMEOATY_XLS_180"/>
      <sheetName val="_V_MQADATA_TES_35"/>
      <sheetName val="_P_MQADATA_TES_35"/>
      <sheetName val="_TIMEOATY_XLS_181"/>
      <sheetName val="_C_V_MQADATA_T_35"/>
      <sheetName val="_C_P_MQADATA_T_35"/>
      <sheetName val="_TEST_TIMEOATY_34"/>
      <sheetName val="_D_V_MQADATA_T_28"/>
      <sheetName val="_TIMEOATY_XLS_173"/>
      <sheetName val="_TIMEOATY_XLS_174"/>
      <sheetName val="_TIMEOATY_XLS_175"/>
      <sheetName val="_TIMEOATY_XLS_176"/>
      <sheetName val="_TIMEOATY_XLS_177"/>
      <sheetName val="_TIMEOATY_XLS_178"/>
      <sheetName val="_TIMEOATY_XLS_185"/>
      <sheetName val="_TIMEOATY_XLS_186"/>
      <sheetName val="_TIMEOATY_XLS_187"/>
      <sheetName val="_TIMEOATY_XLS_182"/>
      <sheetName val="_TIMEOATY_XLS_183"/>
      <sheetName val="_TIMEOATY_XLS_184"/>
      <sheetName val="_TIMEOATY_XLS_188"/>
      <sheetName val="_TIMEOATY_XLS_189"/>
      <sheetName val="_TIMEOATY_XLS_190"/>
      <sheetName val="_TIMEOATY_XLS_200"/>
      <sheetName val="_TIMEOATY_XLS_201"/>
      <sheetName val="_TIMEOATY_XLS_202"/>
      <sheetName val="_MQADATA_TEST__39"/>
      <sheetName val="_V_MQADATA_TES_39"/>
      <sheetName val="_P_MQADATA_TES_39"/>
      <sheetName val="_C_V_MQADATA_T_39"/>
      <sheetName val="_C_P_MQADATA_T_39"/>
      <sheetName val="_TEST_TIMEOATY_38"/>
      <sheetName val="_TIMEOATY_XLS_191"/>
      <sheetName val="_TIMEOATY_XLS_192"/>
      <sheetName val="_TIMEOATY_XLS_193"/>
      <sheetName val="_MQADATA_TEST__36"/>
      <sheetName val="_V_MQADATA_TES_36"/>
      <sheetName val="_P_MQADATA_TES_36"/>
      <sheetName val="_C_V_MQADATA_T_36"/>
      <sheetName val="_C_P_MQADATA_T_36"/>
      <sheetName val="_TEST_TIMEOATY_35"/>
      <sheetName val="_TIMEOATY_XLS_194"/>
      <sheetName val="_TIMEOATY_XLS_195"/>
      <sheetName val="_TIMEOATY_XLS_196"/>
      <sheetName val="_MQADATA_TEST__37"/>
      <sheetName val="_V_MQADATA_TES_37"/>
      <sheetName val="_P_MQADATA_TES_37"/>
      <sheetName val="_C_V_MQADATA_T_37"/>
      <sheetName val="_C_P_MQADATA_T_37"/>
      <sheetName val="_TEST_TIMEOATY_36"/>
      <sheetName val="_TIMEOATY_XLS_197"/>
      <sheetName val="_TIMEOATY_XLS_198"/>
      <sheetName val="_TIMEOATY_XLS_199"/>
      <sheetName val="_MQADATA_TEST__38"/>
      <sheetName val="_V_MQADATA_TES_38"/>
      <sheetName val="_P_MQADATA_TES_38"/>
      <sheetName val="_C_V_MQADATA_T_38"/>
      <sheetName val="_C_P_MQADATA_T_38"/>
      <sheetName val="_TEST_TIMEOATY_37"/>
      <sheetName val="_TIMEOATY_XLS_203"/>
      <sheetName val="_TIMEOATY_XLS_204"/>
      <sheetName val="_TIMEOATY_XLS_205"/>
      <sheetName val="_TIMEOATY_XLS_206"/>
      <sheetName val="_TIMEOATY_XLS_207"/>
      <sheetName val="_TIMEOATY_XLS_208"/>
      <sheetName val="_TIMEOATY_XLS_209"/>
      <sheetName val="_TIMEOATY_XLS_210"/>
      <sheetName val="_TIMEOATY_XLS_211"/>
      <sheetName val="_MQADATA_TEST__40"/>
      <sheetName val="_V_MQADATA_TES_40"/>
      <sheetName val="_P_MQADATA_TES_40"/>
      <sheetName val="_C_V_MQADATA_T_40"/>
      <sheetName val="_C_P_MQADATA_T_40"/>
      <sheetName val="_TEST_TIMEOATY_39"/>
      <sheetName val="_D_V_MQADATA_T_29"/>
      <sheetName val="\TI"/>
      <sheetName val="\D\"/>
      <sheetName val="\TE"/>
      <sheetName val="_17"/>
      <sheetName val="_18"/>
      <sheetName val="_19"/>
      <sheetName val="_23"/>
      <sheetName val="_24"/>
      <sheetName val="_25"/>
      <sheetName val="__2"/>
      <sheetName val="__3"/>
      <sheetName val="__4"/>
      <sheetName val="__5"/>
      <sheetName val="__6"/>
      <sheetName val="__7"/>
      <sheetName val="__8"/>
      <sheetName val="__9"/>
      <sheetName val="_10"/>
      <sheetName val="_11"/>
      <sheetName val="_12"/>
      <sheetName val="_13"/>
      <sheetName val="_14"/>
      <sheetName val="_15"/>
      <sheetName val="_16"/>
      <sheetName val="_20"/>
      <sheetName val="_21"/>
      <sheetName val="_22"/>
      <sheetName val="[TIMEOATY.XLS]_TIMEOATY_XLS_617"/>
      <sheetName val="[TIMEOATY.XLS]_TIMEOATY_XLS_618"/>
      <sheetName val="[TIMEOATY.XLS]_TIMEOATY_XLS_619"/>
      <sheetName val="[TIMEOATY.XLS]_MQADATA_TEST_114"/>
      <sheetName val="[TIMEOATY.XLS]_V_MQADATA_TE_114"/>
      <sheetName val="[TIMEOATY.XLS]_P_MQADATA_TE_114"/>
      <sheetName val="[TIMEOATY.XLS]_C_V_MQADATA__114"/>
      <sheetName val="[TIMEOATY.XLS]_C_P_MQADATA__114"/>
      <sheetName val="[TIMEOATY.XLS]_TEST_TIMEOAT_114"/>
      <sheetName val="[TIMEOATY.XLS]_TIMEOATY_XLS_620"/>
      <sheetName val="[TIMEOATY.XLS]_TIMEOATY_XLS_621"/>
      <sheetName val="[TIMEOATY.XLS]_TIMEOATY_XLS_622"/>
      <sheetName val="[TIMEOATY.XLS]_MQADATA_TEST_116"/>
      <sheetName val="[TIMEOATY.XLS]_V_MQADATA_TE_116"/>
      <sheetName val="[TIMEOATY.XLS]_P_MQADATA_TE_116"/>
      <sheetName val="[TIMEOATY.XLS]_C_V_MQADATA__116"/>
      <sheetName val="[TIMEOATY.XLS]_C_P_MQADATA__116"/>
      <sheetName val="[TIMEOATY.XLS]_TEST_TIMEOAT_116"/>
      <sheetName val="[TIMEOATY.XLS]_D_V_MQADATA__104"/>
      <sheetName val="[TIMEOATY.XLS]_TIMEOATY_XLS_626"/>
      <sheetName val="[TIMEOATY.XLS]_TIMEOATY_XLS_627"/>
      <sheetName val="[TIMEOATY.XLS]_TIMEOATY_XLS_628"/>
      <sheetName val="[TIMEOATY.XLS]_MQADATA_TEST_115"/>
      <sheetName val="[TIMEOATY.XLS]_V_MQADATA_TE_115"/>
      <sheetName val="[TIMEOATY.XLS]_P_MQADATA_TE_115"/>
      <sheetName val="[TIMEOATY.XLS]_C_V_MQADATA__115"/>
      <sheetName val="[TIMEOATY.XLS]_C_P_MQADATA__115"/>
      <sheetName val="[TIMEOATY.XLS]_TEST_TIMEOAT_115"/>
      <sheetName val="[TIMEOATY.XLS]_D_V_MQADATA__103"/>
      <sheetName val="[TIMEOATY.XLS]_TIMEOATY_XLS_623"/>
      <sheetName val="[TIMEOATY.XLS]_TIMEOATY_XLS_624"/>
      <sheetName val="[TIMEOATY.XLS]_TIMEOATY_XLS_625"/>
      <sheetName val="[TIMEOATY.XLS]_TIMEOATY_XLS_635"/>
      <sheetName val="[TIMEOATY.XLS]_TIMEOATY_XLS_636"/>
      <sheetName val="[TIMEOATY.XLS]_TIMEOATY_XLS_637"/>
      <sheetName val="[TIMEOATY.XLS]_V_MQADATA_TE_120"/>
      <sheetName val="[TIMEOATY.XLS]_P_MQADATA_TE_120"/>
      <sheetName val="[TIMEOATY.XLS]_C_V_MQADATA__120"/>
      <sheetName val="[TIMEOATY.XLS]_C_P_MQADATA__120"/>
      <sheetName val="[TIMEOATY.XLS]_TEST_TIMEOAT_120"/>
      <sheetName val="[TIMEOATY.XLS]_D_V_MQADATA__108"/>
      <sheetName val="[TIMEOATY.XLS]_TIMEOATY_XLS_647"/>
      <sheetName val="[TIMEOATY.XLS]_TIMEOATY_XLS_648"/>
      <sheetName val="[TIMEOATY.XLS]_TIMEOATY_XLS_649"/>
      <sheetName val="[TIMEOATY.XLS]_MQADATA_TEST_118"/>
      <sheetName val="[TIMEOATY.XLS]_V_MQADATA_TE_118"/>
      <sheetName val="[TIMEOATY.XLS]_TIMEOATY_XLS_641"/>
      <sheetName val="[TIMEOATY.XLS]_TIMEOATY_XLS_642"/>
      <sheetName val="[TIMEOATY.XLS]_P_MQADATA_TE_118"/>
      <sheetName val="[TIMEOATY.XLS]_C_V_MQADATA__118"/>
      <sheetName val="[TIMEOATY.XLS]_C_P_MQADATA__118"/>
      <sheetName val="[TIMEOATY.XLS]_TIMEOATY_XLS_643"/>
      <sheetName val="[TIMEOATY.XLS]_TEST_TIMEOAT_118"/>
      <sheetName val="[TIMEOATY.XLS]_D_V_MQADATA__106"/>
      <sheetName val="[TIMEOATY.XLS]_TIMEOATY_XLS_638"/>
      <sheetName val="[TIMEOATY.XLS]_TIMEOATY_XLS_639"/>
      <sheetName val="[TIMEOATY.XLS]_TIMEOATY_XLS_640"/>
      <sheetName val="[TIMEOATY.XLS]_MQADATA_TEST_119"/>
      <sheetName val="[TIMEOATY.XLS]_V_MQADATA_TE_119"/>
      <sheetName val="[TIMEOATY.XLS]_P_MQADATA_TE_119"/>
      <sheetName val="[TIMEOATY.XLS]_C_V_MQADATA__119"/>
      <sheetName val="[TIMEOATY.XLS]_C_P_MQADATA__119"/>
      <sheetName val="[TIMEOATY.XLS]_TEST_TIMEOAT_119"/>
      <sheetName val="[TIMEOATY.XLS]_D_V_MQADATA__107"/>
      <sheetName val="[TIMEOATY.XLS]_TIMEOATY_XLS_644"/>
      <sheetName val="[TIMEOATY.XLS]_TIMEOATY_XLS_645"/>
      <sheetName val="[TIMEOATY.XLS]_TIMEOATY_XLS_646"/>
      <sheetName val="_TIMEOATY.XLS__TIMEOATY.XLS__V_"/>
      <sheetName val="_TIMEOATY.XLS__TIMEOATY.XLS___1"/>
      <sheetName val="_TIMEOATY.XLS__TIMEOATY.XLS___s"/>
      <sheetName val="_TIMEOATY.XLS__TIMEOATY.XLS__P_"/>
      <sheetName val="_TIMEOATY.XLS___17.91.99.189_V_"/>
      <sheetName val="_TIMEOATY.XLS___17.91.99.189_P_"/>
      <sheetName val="_TIMEOATY.XLS___sslrd-ser-rfile"/>
      <sheetName val="_TIMEOATY.XLS__MQADATA_TEST__30"/>
      <sheetName val="_TIMEOATY.XLS__V_MQADATA_TES_30"/>
      <sheetName val="[TIMEOATY.XLS][TIMEOATY.XLS]\V\"/>
      <sheetName val="[TIMEOATY.XLS][TIMEOATY.XLS]\\1"/>
      <sheetName val="[TIMEOATY.XLS][TIMEOATY.XLS]\\s"/>
      <sheetName val="[TIMEOATY.XLS][TIMEOATY.XLS]\P\"/>
      <sheetName val="[TIMEOATY.XLS]\\17.91.99.189\V\"/>
      <sheetName val="[TIMEOATY.XLS]\\17.91.99.189\P\"/>
      <sheetName val="[TIMEOATY.XLS]\\sslrd-ser-rfile"/>
      <sheetName val="資料庫"/>
      <sheetName val="Macro1"/>
      <sheetName val="VIBEP-TA"/>
      <sheetName val="BANFF"/>
      <sheetName val="nxn"/>
      <sheetName val="115V-60Hz"/>
      <sheetName val="230V-50Hz"/>
      <sheetName val="Testing Coverage "/>
      <sheetName val="和２"/>
      <sheetName val="Check List"/>
      <sheetName val="FG"/>
      <sheetName val="CODE"/>
      <sheetName val="TORNADO"/>
      <sheetName val="MPS"/>
      <sheetName val="Menu Items"/>
      <sheetName val="IDX"/>
      <sheetName val="Lookup Tables"/>
      <sheetName val="\\cnszxdt026\V\MQADATA\TEST\TIM"/>
      <sheetName val="__cnszxdt026_V_MQADATA_TEST_TIM"/>
      <sheetName val="傳閱"/>
      <sheetName val="工時基本表格"/>
      <sheetName val="單體下階線材"/>
      <sheetName val="基準值"/>
      <sheetName val="Control Sheet"/>
      <sheetName val="800M(Boxbuild)"/>
      <sheetName val="_TIMEOATY.XLS___10_12_8_248_C_2"/>
      <sheetName val="[TIMEOATY.XLS]_MQADATA_TEST_150"/>
      <sheetName val="[TIMEOATY.XLS]_V_MQADATA_TE_150"/>
      <sheetName val="_TIMEOATY.XLS__MQADATA_TEST__27"/>
      <sheetName val="_TIMEOATY.XLS__V_MQADATA_TES_27"/>
      <sheetName val="_TIMEOATY.XLS__MQADATA_TEST__28"/>
      <sheetName val="_TIMEOATY.XLS__V_MQADATA_TES_28"/>
      <sheetName val="_TIMEOATY.XLS__MQADATA_TEST__34"/>
      <sheetName val="_TIMEOATY.XLS__V_MQADATA_TES_34"/>
      <sheetName val="_TIMEOATY.XLS__MQADATA_TEST__31"/>
      <sheetName val="_TIMEOATY.XLS__V_MQADATA_TES_31"/>
      <sheetName val="_TIMEOATY.XLS__MQADATA_TEST__29"/>
      <sheetName val="_TIMEOATY.XLS__V_MQADATA_TES_29"/>
      <sheetName val="_TIMEOATY.XLS__MQADATA_TEST__33"/>
      <sheetName val="_TIMEOATY.XLS__V_MQADATA_TES_33"/>
      <sheetName val="_TIMEOATY.XLS__MQADATA_TEST__32"/>
      <sheetName val="_TIMEOATY.XLS__V_MQADATA_TES_32"/>
      <sheetName val="_TIMEOATY.XLS__MQADATA_TEST__40"/>
      <sheetName val="_TIMEOATY.XLS__V_MQADATA_TES_40"/>
      <sheetName val="_TIMEOATY.XLS__MQADATA_TEST__35"/>
      <sheetName val="_TIMEOATY.XLS__V_MQADATA_TES_35"/>
      <sheetName val="_TIMEOATY.XLS__MQADATA_TEST__36"/>
      <sheetName val="_TIMEOATY.XLS__V_MQADATA_TES_36"/>
      <sheetName val="_TIMEOATY.XLS__MQADATA_TEST__37"/>
      <sheetName val="_TIMEOATY.XLS__V_MQADATA_TES_37"/>
      <sheetName val="_TIMEOATY.XLS__MQADATA_TEST__38"/>
      <sheetName val="_TIMEOATY.XLS__V_MQADATA_TES_38"/>
      <sheetName val="_TIMEOATY.XLS__MQADATA_TEST__39"/>
      <sheetName val="_TIMEOATY.XLS__V_MQADATA_TES_39"/>
      <sheetName val="[TIMEOATY.XLS]_MQADATA_TEST_149"/>
      <sheetName val="[TIMEOATY.XLS]_V_MQADATA_TE_149"/>
      <sheetName val="[TIMEOATY.XLS]_MQADATA_TEST_147"/>
      <sheetName val="[TIMEOATY.XLS]_V_MQADATA_TE_147"/>
      <sheetName val="Pkt. Proz."/>
      <sheetName val="[TIMEOATY.XLS]_MQADATA_TEST_121"/>
      <sheetName val="[TIMEOATY.XLS]_V_MQADATA_TE_121"/>
      <sheetName val="[TIMEOATY.XLS]_MQADATA_TEST_127"/>
      <sheetName val="[TIMEOATY.XLS]_V_MQADATA_TE_127"/>
      <sheetName val="[TIMEOATY.XLS]_MQADATA_TEST_122"/>
      <sheetName val="[TIMEOATY.XLS]_V_MQADATA_TE_122"/>
      <sheetName val="[TIMEOATY.XLS]_MQADATA_TEST_123"/>
      <sheetName val="[TIMEOATY.XLS]_V_MQADATA_TE_123"/>
      <sheetName val="[TIMEOATY.XLS]_MQADATA_TEST_124"/>
      <sheetName val="[TIMEOATY.XLS]_V_MQADATA_TE_124"/>
      <sheetName val="[TIMEOATY.XLS]_MQADATA_TEST_125"/>
      <sheetName val="[TIMEOATY.XLS]_V_MQADATA_TE_125"/>
      <sheetName val="[TIMEOATY.XLS]_MQADATA_TEST_126"/>
      <sheetName val="[TIMEOATY.XLS]_V_MQADATA_TE_126"/>
      <sheetName val="[TIMEOATY.XLS]_MQADATA_TEST_128"/>
      <sheetName val="[TIMEOATY.XLS]_V_MQADATA_TE_128"/>
      <sheetName val="[TIMEOATY.XLS]_MQADATA_TEST_129"/>
      <sheetName val="[TIMEOATY.XLS]_V_MQADATA_TE_129"/>
      <sheetName val="[TIMEOATY.XLS]_MQADATA_TEST_138"/>
      <sheetName val="[TIMEOATY.XLS]_V_MQADATA_TE_138"/>
      <sheetName val="[TIMEOATY.XLS]_MQADATA_TEST_130"/>
      <sheetName val="[TIMEOATY.XLS]_V_MQADATA_TE_130"/>
      <sheetName val="[TIMEOATY.XLS]_MQADATA_TEST_131"/>
      <sheetName val="[TIMEOATY.XLS]_V_MQADATA_TE_131"/>
      <sheetName val="[TIMEOATY.XLS]_MQADATA_TEST_133"/>
      <sheetName val="[TIMEOATY.XLS]_V_MQADATA_TE_133"/>
      <sheetName val="[TIMEOATY.XLS]_MQADATA_TEST_132"/>
      <sheetName val="[TIMEOATY.XLS]_V_MQADATA_TE_132"/>
      <sheetName val="[TIMEOATY.XLS]_MQADATA_TEST_134"/>
      <sheetName val="[TIMEOATY.XLS]_V_MQADATA_TE_134"/>
      <sheetName val="[TIMEOATY.XLS]_MQADATA_TEST_135"/>
      <sheetName val="[TIMEOATY.XLS]_V_MQADATA_TE_135"/>
      <sheetName val="[TIMEOATY.XLS]_MQADATA_TEST_136"/>
      <sheetName val="[TIMEOATY.XLS]_V_MQADATA_TE_136"/>
      <sheetName val="[TIMEOATY.XLS]_MQADATA_TEST_137"/>
      <sheetName val="[TIMEOATY.XLS]_V_MQADATA_TE_137"/>
      <sheetName val="[TIMEOATY.XLS]_MQADATA_TEST_139"/>
      <sheetName val="[TIMEOATY.XLS]_V_MQADATA_TE_139"/>
      <sheetName val="18650常规设计表"/>
      <sheetName val="[TIMEOATY.XLS]_MQADATA_TEST_141"/>
      <sheetName val="[TIMEOATY.XLS]_V_MQADATA_TE_141"/>
      <sheetName val="[TIMEOATY.XLS]_MQADATA_TEST_140"/>
      <sheetName val="[TIMEOATY.XLS]_V_MQADATA_TE_140"/>
      <sheetName val="[TIMEOATY.XLS]_MQADATA_TEST_146"/>
      <sheetName val="[TIMEOATY.XLS]_V_MQADATA_TE_146"/>
      <sheetName val="[TIMEOATY.XLS]_MQADATA_TEST_143"/>
      <sheetName val="[TIMEOATY.XLS]_V_MQADATA_TE_143"/>
      <sheetName val="[TIMEOATY.XLS]_MQADATA_TEST_142"/>
      <sheetName val="[TIMEOATY.XLS]_V_MQADATA_TE_142"/>
      <sheetName val="[TIMEOATY.XLS]_MQADATA_TEST_144"/>
      <sheetName val="[TIMEOATY.XLS]_V_MQADATA_TE_144"/>
      <sheetName val="[TIMEOATY.XLS]_MQADATA_TEST_145"/>
      <sheetName val="[TIMEOATY.XLS]_V_MQADATA_TE_145"/>
      <sheetName val="[TIMEOATY.XLS]_MQADATA_TEST_148"/>
      <sheetName val="[TIMEOATY.XLS]_V_MQADATA_TE_148"/>
      <sheetName val="[TIMEOATY.XLS]_MQADATA_TEST_151"/>
      <sheetName val="[TIMEOATY.XLS]_V_MQADATA_TE_151"/>
      <sheetName val="[TIMEOATY.XLS]_MQADATA_TEST_152"/>
      <sheetName val="[TIMEOATY.XLS]_V_MQADATA_TE_152"/>
      <sheetName val="[TIMEOATY.XLS]_MQADATA_TEST_153"/>
      <sheetName val="[TIMEOATY.XLS]_V_MQADATA_TE_153"/>
      <sheetName val="[TIMEOATY.XLS]_MQADATA_TEST_154"/>
      <sheetName val="[TIMEOATY.XLS]_V_MQADATA_TE_154"/>
      <sheetName val="[TIMEOATY.XLS]__192_168_200_196"/>
      <sheetName val="[TIMEOATY.XLS]__192_168_200_197"/>
      <sheetName val="[TIMEOATY.XLS]__10_12_8_248__99"/>
      <sheetName val="[TIMEOATY.XLS]__172_17_31_25_99"/>
      <sheetName val="[TIMEOATY.XLS]__192_168_200_198"/>
      <sheetName val="[TIMEOATY.XLS]__192_168_200_199"/>
      <sheetName val="[TIMEOATY.XLS]__10_12_8_248_100"/>
      <sheetName val="[TIMEOATY.XLS]__172_17_31_2_100"/>
      <sheetName val="[TIMEOATY.XLS]__192_168_200_200"/>
      <sheetName val="[TIMEOATY.XLS]__192_168_200_201"/>
      <sheetName val="[TIMEOATY.XLS]__10_12_8_248_101"/>
      <sheetName val="[TIMEOATY.XLS]__172_17_31_2_101"/>
      <sheetName val="[TIMEOATY.XLS]__192_168_200_202"/>
      <sheetName val="[TIMEOATY.XLS]__192_168_200_203"/>
      <sheetName val="[TIMEOATY.XLS]__10_12_8_248_102"/>
      <sheetName val="[TIMEOATY.XLS]__172_17_31_2_102"/>
      <sheetName val="[TIMEOATY.XLS]__192_168_200_204"/>
      <sheetName val="[TIMEOATY.XLS]__192_168_200_205"/>
      <sheetName val="[TIMEOATY.XLS]__10_12_8_248_103"/>
      <sheetName val="[TIMEOATY.XLS]__172_17_31_2_103"/>
      <sheetName val="8-1过程能力分析D50"/>
      <sheetName val="[TIMEOATY.XLS]__192_168_200_206"/>
      <sheetName val="[TIMEOATY.XLS]__192_168_200_207"/>
      <sheetName val="[TIMEOATY.XLS]__192_168_200_210"/>
      <sheetName val="[TIMEOATY.XLS]__192_168_200_211"/>
      <sheetName val="[TIMEOATY.XLS]__10_12_8_248_105"/>
      <sheetName val="[TIMEOATY.XLS]__172_17_31_2_105"/>
      <sheetName val="[TIMEOATY.XLS]__192_168_200_208"/>
      <sheetName val="[TIMEOATY.XLS]__192_168_200_209"/>
      <sheetName val="[TIMEOATY.XLS]__10_12_8_248_104"/>
      <sheetName val="[TIMEOATY.XLS]__172_17_31_2_104"/>
      <sheetName val="[TIMEOATY.XLS]_TIMEOATY_XLS_683"/>
      <sheetName val="[TIMEOATY.XLS]_TIMEOATY_XLS_684"/>
      <sheetName val="[TIMEOATY.XLS]_TIMEOATY_XLS_685"/>
      <sheetName val="[TIMEOATY.XLS]_TIMEOATY_XLS_704"/>
      <sheetName val="[TIMEOATY.XLS]_TIMEOATY_XLS_705"/>
      <sheetName val="[TIMEOATY.XLS]_TIMEOATY_XLS_706"/>
      <sheetName val="[TIMEOATY.XLS]__192_168_200_278"/>
      <sheetName val="[TIMEOATY.XLS]__192_168_200_279"/>
      <sheetName val="[TIMEOATY.XLS]__10_12_8_248_140"/>
      <sheetName val="[TIMEOATY.XLS]__172_17_31_2_140"/>
      <sheetName val="measurement series"/>
      <sheetName val="Chi²-Test_1"/>
      <sheetName val="热冲击"/>
      <sheetName val="Electrolyte"/>
      <sheetName val="Design_M6S"/>
      <sheetName val="[TIMEOATY.XLS]__192_168_200_214"/>
      <sheetName val="[TIMEOATY.XLS]__192_168_200_215"/>
      <sheetName val="[TIMEOATY.XLS]__10_12_8_248_108"/>
      <sheetName val="[TIMEOATY.XLS]__172_17_31_2_108"/>
      <sheetName val="[TIMEOATY.XLS]__10_12_8_248_106"/>
      <sheetName val="[TIMEOATY.XLS]__172_17_31_2_106"/>
      <sheetName val="[TIMEOATY.XLS]__192_168_200_212"/>
      <sheetName val="[TIMEOATY.XLS]__192_168_200_213"/>
      <sheetName val="[TIMEOATY.XLS]__10_12_8_248_107"/>
      <sheetName val="[TIMEOATY.XLS]__172_17_31_2_107"/>
      <sheetName val="[TIMEOATY.XLS]__192_168_200_216"/>
      <sheetName val="[TIMEOATY.XLS]__192_168_200_217"/>
      <sheetName val="[TIMEOATY.XLS]__10_12_8_248_109"/>
      <sheetName val="[TIMEOATY.XLS]__172_17_31_2_109"/>
      <sheetName val="[TIMEOATY.XLS]__192_168_200_218"/>
      <sheetName val="[TIMEOATY.XLS]__192_168_200_219"/>
      <sheetName val="[TIMEOATY.XLS]__10_12_8_248_110"/>
      <sheetName val="[TIMEOATY.XLS]__172_17_31_2_110"/>
      <sheetName val="[TIMEOATY.XLS]__192_168_200_220"/>
      <sheetName val="[TIMEOATY.XLS]__192_168_200_221"/>
      <sheetName val="[TIMEOATY.XLS]__10_12_8_248_111"/>
      <sheetName val="[TIMEOATY.XLS]__172_17_31_2_111"/>
      <sheetName val="[TIMEOATY.XLS]__192_168_200_222"/>
      <sheetName val="[TIMEOATY.XLS]__192_168_200_223"/>
      <sheetName val="[TIMEOATY.XLS]__10_12_8_248_112"/>
      <sheetName val="[TIMEOATY.XLS]__172_17_31_2_112"/>
      <sheetName val="[TIMEOATY.XLS]__192_168_200_224"/>
      <sheetName val="[TIMEOATY.XLS]__192_168_200_225"/>
      <sheetName val="[TIMEOATY.XLS]__10_12_8_248_113"/>
      <sheetName val="[TIMEOATY.XLS]__172_17_31_2_113"/>
      <sheetName val="[TIMEOATY.XLS]__192_168_200_226"/>
      <sheetName val="[TIMEOATY.XLS]__192_168_200_227"/>
      <sheetName val="[TIMEOATY.XLS]__10_12_8_248_114"/>
      <sheetName val="[TIMEOATY.XLS]__172_17_31_2_114"/>
      <sheetName val="[TIMEOATY.XLS]__192_168_200_228"/>
      <sheetName val="[TIMEOATY.XLS]__192_168_200_229"/>
      <sheetName val="[TIMEOATY.XLS]__10_12_8_248_115"/>
      <sheetName val="[TIMEOATY.XLS]__172_17_31_2_115"/>
      <sheetName val="[TIMEOATY.XLS]__192_168_200_246"/>
      <sheetName val="[TIMEOATY.XLS]__192_168_200_247"/>
      <sheetName val="[TIMEOATY.XLS]__10_12_8_248_124"/>
      <sheetName val="[TIMEOATY.XLS]__172_17_31_2_124"/>
      <sheetName val="[TIMEOATY.XLS]__192_168_200_232"/>
      <sheetName val="[TIMEOATY.XLS]__192_168_200_233"/>
      <sheetName val="[TIMEOATY.XLS]__10_12_8_248_117"/>
      <sheetName val="[TIMEOATY.XLS]__172_17_31_2_117"/>
      <sheetName val="[TIMEOATY.XLS]__192_168_200_230"/>
      <sheetName val="[TIMEOATY.XLS]__192_168_200_231"/>
      <sheetName val="[TIMEOATY.XLS]__10_12_8_248_116"/>
      <sheetName val="[TIMEOATY.XLS]__172_17_31_2_116"/>
      <sheetName val="[TIMEOATY.XLS]__192_168_200_234"/>
      <sheetName val="[TIMEOATY.XLS]__192_168_200_235"/>
      <sheetName val="[TIMEOATY.XLS]__10_12_8_248_118"/>
      <sheetName val="[TIMEOATY.XLS]__172_17_31_2_118"/>
      <sheetName val="[TIMEOATY.XLS]__192_168_200_236"/>
      <sheetName val="[TIMEOATY.XLS]__192_168_200_237"/>
      <sheetName val="[TIMEOATY.XLS]__10_12_8_248_119"/>
      <sheetName val="[TIMEOATY.XLS]__172_17_31_2_119"/>
      <sheetName val="[TIMEOATY.XLS]__192_168_200_238"/>
      <sheetName val="[TIMEOATY.XLS]__192_168_200_239"/>
      <sheetName val="[TIMEOATY.XLS]__10_12_8_248_120"/>
      <sheetName val="[TIMEOATY.XLS]__172_17_31_2_120"/>
      <sheetName val="[TIMEOATY.XLS]__192_168_200_240"/>
      <sheetName val="[TIMEOATY.XLS]__192_168_200_241"/>
      <sheetName val="[TIMEOATY.XLS]__10_12_8_248_121"/>
      <sheetName val="[TIMEOATY.XLS]__172_17_31_2_121"/>
      <sheetName val="[TIMEOATY.XLS]__192_168_200_242"/>
      <sheetName val="[TIMEOATY.XLS]__192_168_200_243"/>
      <sheetName val="[TIMEOATY.XLS]__10_12_8_248_122"/>
      <sheetName val="[TIMEOATY.XLS]__172_17_31_2_122"/>
      <sheetName val="[TIMEOATY.XLS]__192_168_200_244"/>
      <sheetName val="[TIMEOATY.XLS]__192_168_200_245"/>
      <sheetName val="[TIMEOATY.XLS]__10_12_8_248_123"/>
      <sheetName val="[TIMEOATY.XLS]__172_17_31_2_123"/>
      <sheetName val="[TIMEOATY.XLS]__192_168_200_248"/>
      <sheetName val="[TIMEOATY.XLS]__192_168_200_249"/>
      <sheetName val="[TIMEOATY.XLS]__10_12_8_248_125"/>
      <sheetName val="[TIMEOATY.XLS]__172_17_31_2_125"/>
      <sheetName val="[TIMEOATY.XLS]__192_168_200_250"/>
      <sheetName val="[TIMEOATY.XLS]__192_168_200_251"/>
      <sheetName val="[TIMEOATY.XLS]__10_12_8_248_126"/>
      <sheetName val="[TIMEOATY.XLS]__172_17_31_2_126"/>
      <sheetName val="[TIMEOATY.XLS]__192_168_200_254"/>
      <sheetName val="[TIMEOATY.XLS]__192_168_200_255"/>
      <sheetName val="[TIMEOATY.XLS]__10_12_8_248_128"/>
      <sheetName val="[TIMEOATY.XLS]__172_17_31_2_128"/>
      <sheetName val="[TIMEOATY.XLS]__192_168_200_252"/>
      <sheetName val="[TIMEOATY.XLS]__192_168_200_253"/>
      <sheetName val="[TIMEOATY.XLS]__10_12_8_248_127"/>
      <sheetName val="[TIMEOATY.XLS]__172_17_31_2_127"/>
      <sheetName val="[TIMEOATY.XLS]__192_168_200_256"/>
      <sheetName val="[TIMEOATY.XLS]__192_168_200_257"/>
      <sheetName val="[TIMEOATY.XLS]__10_12_8_248_129"/>
      <sheetName val="[TIMEOATY.XLS]__172_17_31_2_129"/>
      <sheetName val="[TIMEOATY.XLS]_TIMEOATY_XLS_650"/>
      <sheetName val="[TIMEOATY.XLS]_TIMEOATY_XLS_651"/>
      <sheetName val="[TIMEOATY.XLS]_TIMEOATY_XLS_652"/>
      <sheetName val="[TIMEOATY.XLS]__192_168_200_260"/>
      <sheetName val="[TIMEOATY.XLS]__192_168_200_261"/>
      <sheetName val="[TIMEOATY.XLS]__10_12_8_248_131"/>
      <sheetName val="[TIMEOATY.XLS]__172_17_31_2_131"/>
      <sheetName val="[TIMEOATY.XLS]_TIMEOATY_XLS_656"/>
      <sheetName val="[TIMEOATY.XLS]_TIMEOATY_XLS_657"/>
      <sheetName val="[TIMEOATY.XLS]_TIMEOATY_XLS_658"/>
      <sheetName val="[TIMEOATY.XLS]__192_168_200_258"/>
      <sheetName val="[TIMEOATY.XLS]__192_168_200_259"/>
      <sheetName val="[TIMEOATY.XLS]__10_12_8_248_130"/>
      <sheetName val="[TIMEOATY.XLS]__172_17_31_2_130"/>
      <sheetName val="[TIMEOATY.XLS]_TIMEOATY_XLS_653"/>
      <sheetName val="[TIMEOATY.XLS]_TIMEOATY_XLS_654"/>
      <sheetName val="[TIMEOATY.XLS]_TIMEOATY_XLS_655"/>
      <sheetName val="[TIMEOATY.XLS]__192_168_200_262"/>
      <sheetName val="[TIMEOATY.XLS]__192_168_200_263"/>
      <sheetName val="[TIMEOATY.XLS]__10_12_8_248_132"/>
      <sheetName val="[TIMEOATY.XLS]__172_17_31_2_132"/>
      <sheetName val="[TIMEOATY.XLS]_TIMEOATY_XLS_659"/>
      <sheetName val="[TIMEOATY.XLS]_TIMEOATY_XLS_660"/>
      <sheetName val="[TIMEOATY.XLS]_TIMEOATY_XLS_661"/>
      <sheetName val="[TIMEOATY.XLS]__192_168_200_264"/>
      <sheetName val="[TIMEOATY.XLS]__192_168_200_265"/>
      <sheetName val="[TIMEOATY.XLS]__10_12_8_248_133"/>
      <sheetName val="[TIMEOATY.XLS]__172_17_31_2_133"/>
      <sheetName val="[TIMEOATY.XLS]_TIMEOATY_XLS_662"/>
      <sheetName val="[TIMEOATY.XLS]_TIMEOATY_XLS_663"/>
      <sheetName val="[TIMEOATY.XLS]_TIMEOATY_XLS_664"/>
      <sheetName val="[TIMEOATY.XLS]__192_168_200_266"/>
      <sheetName val="[TIMEOATY.XLS]__192_168_200_267"/>
      <sheetName val="[TIMEOATY.XLS]__10_12_8_248_134"/>
      <sheetName val="[TIMEOATY.XLS]__172_17_31_2_134"/>
      <sheetName val="[TIMEOATY.XLS]_TIMEOATY_XLS_665"/>
      <sheetName val="[TIMEOATY.XLS]_TIMEOATY_XLS_666"/>
      <sheetName val="[TIMEOATY.XLS]_TIMEOATY_XLS_667"/>
      <sheetName val="[TIMEOATY.XLS]__192_168_200_268"/>
      <sheetName val="[TIMEOATY.XLS]__192_168_200_269"/>
      <sheetName val="[TIMEOATY.XLS]__10_12_8_248_135"/>
      <sheetName val="[TIMEOATY.XLS]__172_17_31_2_135"/>
      <sheetName val="[TIMEOATY.XLS]_TIMEOATY_XLS_668"/>
      <sheetName val="[TIMEOATY.XLS]_TIMEOATY_XLS_669"/>
      <sheetName val="[TIMEOATY.XLS]_TIMEOATY_XLS_670"/>
      <sheetName val="[TIMEOATY.XLS]_TIMEOATY_XLS_671"/>
      <sheetName val="[TIMEOATY.XLS]_TIMEOATY_XLS_672"/>
      <sheetName val="[TIMEOATY.XLS]_TIMEOATY_XLS_673"/>
      <sheetName val="[TIMEOATY.XLS]__192_168_200_270"/>
      <sheetName val="[TIMEOATY.XLS]__192_168_200_271"/>
      <sheetName val="[TIMEOATY.XLS]__10_12_8_248_136"/>
      <sheetName val="[TIMEOATY.XLS]__172_17_31_2_136"/>
      <sheetName val="[TIMEOATY.XLS]__192_168_200_272"/>
      <sheetName val="[TIMEOATY.XLS]__192_168_200_273"/>
      <sheetName val="[TIMEOATY.XLS]__10_12_8_248_137"/>
      <sheetName val="[TIMEOATY.XLS]__172_17_31_2_137"/>
      <sheetName val="[TIMEOATY.XLS]_TIMEOATY_XLS_674"/>
      <sheetName val="[TIMEOATY.XLS]_TIMEOATY_XLS_675"/>
      <sheetName val="[TIMEOATY.XLS]_TIMEOATY_XLS_676"/>
      <sheetName val="[TIMEOATY.XLS]__192_168_200_274"/>
      <sheetName val="[TIMEOATY.XLS]__192_168_200_275"/>
      <sheetName val="[TIMEOATY.XLS]__10_12_8_248_138"/>
      <sheetName val="[TIMEOATY.XLS]__172_17_31_2_138"/>
      <sheetName val="[TIMEOATY.XLS]_TIMEOATY_XLS_677"/>
      <sheetName val="[TIMEOATY.XLS]_TIMEOATY_XLS_678"/>
      <sheetName val="[TIMEOATY.XLS]_TIMEOATY_XLS_679"/>
      <sheetName val="[TIMEOATY.XLS]_TIMEOATY_XLS_680"/>
      <sheetName val="[TIMEOATY.XLS]_TIMEOATY_XLS_681"/>
      <sheetName val="[TIMEOATY.XLS]_TIMEOATY_XLS_682"/>
      <sheetName val="[TIMEOATY.XLS]__192_168_200_276"/>
      <sheetName val="[TIMEOATY.XLS]__192_168_200_277"/>
      <sheetName val="[TIMEOATY.XLS]__10_12_8_248_139"/>
      <sheetName val="[TIMEOATY.XLS]__172_17_31_2_139"/>
      <sheetName val="[TIMEOATY.XLS]__192_168_200_284"/>
      <sheetName val="[TIMEOATY.XLS]__192_168_200_285"/>
      <sheetName val="[TIMEOATY.XLS]__10_12_8_248_143"/>
      <sheetName val="[TIMEOATY.XLS]__172_17_31_2_143"/>
      <sheetName val="[TIMEOATY.XLS]_TIMEOATY_XLS_707"/>
      <sheetName val="[TIMEOATY.XLS]_TIMEOATY_XLS_708"/>
      <sheetName val="[TIMEOATY.XLS]_TIMEOATY_XLS_709"/>
      <sheetName val="[TIMEOATY.XLS]_D_V_MQADATA__110"/>
      <sheetName val="[TIMEOATY.XLS]_TIMEOATY_XLS_686"/>
      <sheetName val="[TIMEOATY.XLS]_TIMEOATY_XLS_687"/>
      <sheetName val="[TIMEOATY.XLS]_TIMEOATY_XLS_688"/>
      <sheetName val="[TIMEOATY.XLS]__192_168_200_280"/>
      <sheetName val="[TIMEOATY.XLS]__192_168_200_281"/>
      <sheetName val="[TIMEOATY.XLS]__10_12_8_248_141"/>
      <sheetName val="[TIMEOATY.XLS]__172_17_31_2_141"/>
      <sheetName val="[TIMEOATY.XLS]_TIMEOATY_XLS_692"/>
      <sheetName val="[TIMEOATY.XLS]_TIMEOATY_XLS_693"/>
      <sheetName val="[TIMEOATY.XLS]_TIMEOATY_XLS_694"/>
      <sheetName val="[TIMEOATY.XLS]_TIMEOATY_XLS_689"/>
      <sheetName val="[TIMEOATY.XLS]_TIMEOATY_XLS_690"/>
      <sheetName val="[TIMEOATY.XLS]_TIMEOATY_XLS_691"/>
      <sheetName val="[TIMEOATY.XLS]_TIMEOATY_XLS_698"/>
      <sheetName val="[TIMEOATY.XLS]_TIMEOATY_XLS_699"/>
      <sheetName val="[TIMEOATY.XLS]_TIMEOATY_XLS_700"/>
      <sheetName val="[TIMEOATY.XLS]_TIMEOATY_XLS_695"/>
      <sheetName val="[TIMEOATY.XLS]_TIMEOATY_XLS_696"/>
      <sheetName val="[TIMEOATY.XLS]_TIMEOATY_XLS_697"/>
      <sheetName val="[TIMEOATY.XLS]_TIMEOATY_XLS_701"/>
      <sheetName val="[TIMEOATY.XLS]_TIMEOATY_XLS_702"/>
      <sheetName val="[TIMEOATY.XLS]_TIMEOATY_XLS_703"/>
      <sheetName val="[TIMEOATY.XLS]__192_168_200_282"/>
      <sheetName val="[TIMEOATY.XLS]__192_168_200_283"/>
      <sheetName val="[TIMEOATY.XLS]__10_12_8_248_142"/>
      <sheetName val="[TIMEOATY.XLS]__172_17_31_2_142"/>
      <sheetName val="[TIMEOATY.XLS]_D_V_MQADATA__109"/>
      <sheetName val="[TIMEOATY.XLS]_TIMEOATY_XLS_710"/>
      <sheetName val="[TIMEOATY.XLS]_TIMEOATY_XLS_711"/>
      <sheetName val="[TIMEOATY.XLS]_TIMEOATY_XLS_712"/>
      <sheetName val="[TIMEOATY.XLS]__192_168_200_286"/>
      <sheetName val="[TIMEOATY.XLS]__192_168_200_287"/>
      <sheetName val="[TIMEOATY.XLS]__10_12_8_248_144"/>
      <sheetName val="[TIMEOATY.XLS]__172_17_31_2_144"/>
      <sheetName val="[TIMEOATY.XLS]_TIMEOATY_XLS_719"/>
      <sheetName val="[TIMEOATY.XLS]_TIMEOATY_XLS_720"/>
      <sheetName val="[TIMEOATY.XLS]_TIMEOATY_XLS_721"/>
      <sheetName val="[TIMEOATY.XLS]_D_V_MQADATA__111"/>
      <sheetName val="[TIMEOATY.XLS]_TIMEOATY_XLS_713"/>
      <sheetName val="[TIMEOATY.XLS]_TIMEOATY_XLS_714"/>
      <sheetName val="[TIMEOATY.XLS]_TIMEOATY_XLS_715"/>
      <sheetName val="[TIMEOATY.XLS]_TIMEOATY_XLS_716"/>
      <sheetName val="[TIMEOATY.XLS]_TIMEOATY_XLS_717"/>
      <sheetName val="[TIMEOATY.XLS]_TIMEOATY_XLS_718"/>
      <sheetName val="[TIMEOATY.XLS]_MQADATA_TEST_220"/>
      <sheetName val="EV Project Schedule Rev.01"/>
      <sheetName val="物料清单"/>
      <sheetName val="供应商清单"/>
      <sheetName val="Equipment Req Plan"/>
      <sheetName val="[TIMEOATY.XLS]_MQADATA_TEST_199"/>
      <sheetName val="[TIMEOATY.XLS]_MQADATA_TEST_198"/>
      <sheetName val="[TIMEOATY.XLS]_MQADATA_TEST_176"/>
      <sheetName val="[TIMEOATY.XLS]_V_MQADATA_TE_176"/>
      <sheetName val="[TIMEOATY.XLS]_TIMEOATY_XLS_752"/>
      <sheetName val="[TIMEOATY.XLS]_TIMEOATY_XLS_753"/>
      <sheetName val="[TIMEOATY.XLS]_P_MQADATA_TE_176"/>
      <sheetName val="[TIMEOATY.XLS]_TIMEOATY_XLS_754"/>
      <sheetName val="[TIMEOATY.XLS]_C_V_MQADATA__176"/>
      <sheetName val="[TIMEOATY.XLS]_C_P_MQADATA__176"/>
      <sheetName val="[TIMEOATY.XLS]_TEST_TIMEOAT_176"/>
      <sheetName val="[TIMEOATY.XLS]_D_V_MQADATA__170"/>
      <sheetName val="[TIMEOATY.XLS]_TIMEOATY_XLS_749"/>
      <sheetName val="[TIMEOATY.XLS]_TIMEOATY_XLS_750"/>
      <sheetName val="[TIMEOATY.XLS]_TIMEOATY_XLS_751"/>
      <sheetName val="[TIMEOATY.XLS]_TIMEOATY_XLS_743"/>
      <sheetName val="[TIMEOATY.XLS]_TIMEOATY_XLS_744"/>
      <sheetName val="[TIMEOATY.XLS]_TIMEOATY_XLS_745"/>
      <sheetName val="[TIMEOATY.XLS]_MQADATA_TEST_170"/>
      <sheetName val="[TIMEOATY.XLS]_V_MQADATA_TE_170"/>
      <sheetName val="[TIMEOATY.XLS]_P_MQADATA_TE_170"/>
      <sheetName val="[TIMEOATY.XLS]_C_V_MQADATA__170"/>
      <sheetName val="[TIMEOATY.XLS]_C_P_MQADATA__170"/>
      <sheetName val="[TIMEOATY.XLS]_TEST_TIMEOAT_170"/>
      <sheetName val="[TIMEOATY.XLS]_D_V_MQADATA__164"/>
      <sheetName val="[TIMEOATY.XLS]_MQADATA_TEST_169"/>
      <sheetName val="[TIMEOATY.XLS]_V_MQADATA_TE_169"/>
      <sheetName val="[TIMEOATY.XLS]_P_MQADATA_TE_169"/>
      <sheetName val="[TIMEOATY.XLS]_C_V_MQADATA__169"/>
      <sheetName val="[TIMEOATY.XLS]_C_P_MQADATA__169"/>
      <sheetName val="[TIMEOATY.XLS]_TEST_TIMEOAT_169"/>
      <sheetName val="[TIMEOATY.XLS]_D_V_MQADATA__163"/>
      <sheetName val="[TIMEOATY.XLS]_MQADATA_TEST_158"/>
      <sheetName val="[TIMEOATY.XLS]_V_MQADATA_TE_158"/>
      <sheetName val="[TIMEOATY.XLS]_P_MQADATA_TE_158"/>
      <sheetName val="[TIMEOATY.XLS]_C_V_MQADATA__158"/>
      <sheetName val="[TIMEOATY.XLS]_C_P_MQADATA__158"/>
      <sheetName val="[TIMEOATY.XLS]_TEST_TIMEOAT_158"/>
      <sheetName val="[TIMEOATY.XLS]_D_V_MQADATA__152"/>
      <sheetName val="[TIMEOATY.XLS]_MQADATA_TEST_157"/>
      <sheetName val="[TIMEOATY.XLS]_V_MQADATA_TE_157"/>
      <sheetName val="[TIMEOATY.XLS]_P_MQADATA_TE_157"/>
      <sheetName val="[TIMEOATY.XLS]_C_V_MQADATA__157"/>
      <sheetName val="[TIMEOATY.XLS]_C_P_MQADATA__157"/>
      <sheetName val="[TIMEOATY.XLS]_TEST_TIMEOAT_157"/>
      <sheetName val="[TIMEOATY.XLS]_D_V_MQADATA__151"/>
      <sheetName val="[TIMEOATY.XLS]_MQADATA_TEST_156"/>
      <sheetName val="[TIMEOATY.XLS]_V_MQADATA_TE_156"/>
      <sheetName val="[TIMEOATY.XLS]_P_MQADATA_TE_156"/>
      <sheetName val="[TIMEOATY.XLS]_C_V_MQADATA__156"/>
      <sheetName val="[TIMEOATY.XLS]_C_P_MQADATA__156"/>
      <sheetName val="[TIMEOATY.XLS]_TEST_TIMEOAT_156"/>
      <sheetName val="[TIMEOATY.XLS]_D_V_MQADATA__150"/>
      <sheetName val="[TIMEOATY.XLS]_P_MQADATA_TE_144"/>
      <sheetName val="[TIMEOATY.XLS]_C_V_MQADATA__144"/>
      <sheetName val="[TIMEOATY.XLS]_C_P_MQADATA__144"/>
      <sheetName val="[TIMEOATY.XLS]_TEST_TIMEOAT_144"/>
      <sheetName val="[TIMEOATY.XLS]_D_V_MQADATA__138"/>
      <sheetName val="[TIMEOATY.XLS]_P_MQADATA_TE_131"/>
      <sheetName val="[TIMEOATY.XLS]_C_V_MQADATA__131"/>
      <sheetName val="[TIMEOATY.XLS]_C_P_MQADATA__131"/>
      <sheetName val="[TIMEOATY.XLS]_TEST_TIMEOAT_131"/>
      <sheetName val="[TIMEOATY.XLS]_D_V_MQADATA__125"/>
      <sheetName val="[TIMEOATY.XLS]_D_V_MQADATA__113"/>
      <sheetName val="[TIMEOATY.XLS]_D_V_MQADATA__112"/>
      <sheetName val="[TIMEOATY.XLS]_P_MQADATA_TE_123"/>
      <sheetName val="[TIMEOATY.XLS]_C_V_MQADATA__123"/>
      <sheetName val="[TIMEOATY.XLS]_C_P_MQADATA__123"/>
      <sheetName val="[TIMEOATY.XLS]_TEST_TIMEOAT_123"/>
      <sheetName val="[TIMEOATY.XLS]_D_V_MQADATA__117"/>
      <sheetName val="[TIMEOATY.XLS]_D_V_MQADATA__114"/>
      <sheetName val="[TIMEOATY.XLS]_P_MQADATA_TE_121"/>
      <sheetName val="[TIMEOATY.XLS]_C_V_MQADATA__121"/>
      <sheetName val="[TIMEOATY.XLS]_C_P_MQADATA__121"/>
      <sheetName val="[TIMEOATY.XLS]_TEST_TIMEOAT_121"/>
      <sheetName val="[TIMEOATY.XLS]_D_V_MQADATA__115"/>
      <sheetName val="[TIMEOATY.XLS]_P_MQADATA_TE_122"/>
      <sheetName val="[TIMEOATY.XLS]_C_V_MQADATA__122"/>
      <sheetName val="[TIMEOATY.XLS]_C_P_MQADATA__122"/>
      <sheetName val="[TIMEOATY.XLS]_TEST_TIMEOAT_122"/>
      <sheetName val="[TIMEOATY.XLS]_D_V_MQADATA__116"/>
      <sheetName val="[TIMEOATY.XLS]_P_MQADATA_TE_128"/>
      <sheetName val="[TIMEOATY.XLS]_C_V_MQADATA__128"/>
      <sheetName val="[TIMEOATY.XLS]_C_P_MQADATA__128"/>
      <sheetName val="[TIMEOATY.XLS]_TEST_TIMEOAT_128"/>
      <sheetName val="[TIMEOATY.XLS]_D_V_MQADATA__122"/>
      <sheetName val="[TIMEOATY.XLS]_P_MQADATA_TE_124"/>
      <sheetName val="[TIMEOATY.XLS]_C_V_MQADATA__124"/>
      <sheetName val="[TIMEOATY.XLS]_C_P_MQADATA__124"/>
      <sheetName val="[TIMEOATY.XLS]_TEST_TIMEOAT_124"/>
      <sheetName val="[TIMEOATY.XLS]_D_V_MQADATA__118"/>
      <sheetName val="[TIMEOATY.XLS]_P_MQADATA_TE_125"/>
      <sheetName val="[TIMEOATY.XLS]_C_V_MQADATA__125"/>
      <sheetName val="[TIMEOATY.XLS]_C_P_MQADATA__125"/>
      <sheetName val="[TIMEOATY.XLS]_TEST_TIMEOAT_125"/>
      <sheetName val="[TIMEOATY.XLS]_D_V_MQADATA__119"/>
      <sheetName val="[TIMEOATY.XLS]_P_MQADATA_TE_126"/>
      <sheetName val="[TIMEOATY.XLS]_C_V_MQADATA__126"/>
      <sheetName val="[TIMEOATY.XLS]_C_P_MQADATA__126"/>
      <sheetName val="[TIMEOATY.XLS]_TEST_TIMEOAT_126"/>
      <sheetName val="[TIMEOATY.XLS]_D_V_MQADATA__120"/>
      <sheetName val="[TIMEOATY.XLS]_P_MQADATA_TE_127"/>
      <sheetName val="[TIMEOATY.XLS]_C_V_MQADATA__127"/>
      <sheetName val="[TIMEOATY.XLS]_C_P_MQADATA__127"/>
      <sheetName val="[TIMEOATY.XLS]_TEST_TIMEOAT_127"/>
      <sheetName val="[TIMEOATY.XLS]_D_V_MQADATA__121"/>
      <sheetName val="[TIMEOATY.XLS]_P_MQADATA_TE_129"/>
      <sheetName val="[TIMEOATY.XLS]_C_V_MQADATA__129"/>
      <sheetName val="[TIMEOATY.XLS]_C_P_MQADATA__129"/>
      <sheetName val="[TIMEOATY.XLS]_TEST_TIMEOAT_129"/>
      <sheetName val="[TIMEOATY.XLS]_D_V_MQADATA__123"/>
      <sheetName val="[TIMEOATY.XLS]_P_MQADATA_TE_130"/>
      <sheetName val="[TIMEOATY.XLS]_C_V_MQADATA__130"/>
      <sheetName val="[TIMEOATY.XLS]_C_P_MQADATA__130"/>
      <sheetName val="[TIMEOATY.XLS]_TEST_TIMEOAT_130"/>
      <sheetName val="[TIMEOATY.XLS]_D_V_MQADATA__124"/>
      <sheetName val="[TIMEOATY.XLS]_P_MQADATA_TE_132"/>
      <sheetName val="[TIMEOATY.XLS]_C_V_MQADATA__132"/>
      <sheetName val="[TIMEOATY.XLS]_C_P_MQADATA__132"/>
      <sheetName val="[TIMEOATY.XLS]_TEST_TIMEOAT_132"/>
      <sheetName val="[TIMEOATY.XLS]_D_V_MQADATA__126"/>
      <sheetName val="[TIMEOATY.XLS]_P_MQADATA_TE_133"/>
      <sheetName val="[TIMEOATY.XLS]_C_V_MQADATA__133"/>
      <sheetName val="[TIMEOATY.XLS]_C_P_MQADATA__133"/>
      <sheetName val="[TIMEOATY.XLS]_TEST_TIMEOAT_133"/>
      <sheetName val="[TIMEOATY.XLS]_D_V_MQADATA__127"/>
      <sheetName val="[TIMEOATY.XLS]_P_MQADATA_TE_138"/>
      <sheetName val="[TIMEOATY.XLS]_C_V_MQADATA__138"/>
      <sheetName val="[TIMEOATY.XLS]_C_P_MQADATA__138"/>
      <sheetName val="[TIMEOATY.XLS]_TEST_TIMEOAT_138"/>
      <sheetName val="[TIMEOATY.XLS]_D_V_MQADATA__132"/>
      <sheetName val="[TIMEOATY.XLS]_P_MQADATA_TE_134"/>
      <sheetName val="[TIMEOATY.XLS]_C_V_MQADATA__134"/>
      <sheetName val="[TIMEOATY.XLS]_C_P_MQADATA__134"/>
      <sheetName val="[TIMEOATY.XLS]_TEST_TIMEOAT_134"/>
      <sheetName val="[TIMEOATY.XLS]_D_V_MQADATA__128"/>
      <sheetName val="[TIMEOATY.XLS]_P_MQADATA_TE_135"/>
      <sheetName val="[TIMEOATY.XLS]_C_V_MQADATA__135"/>
      <sheetName val="[TIMEOATY.XLS]_C_P_MQADATA__135"/>
      <sheetName val="[TIMEOATY.XLS]_TEST_TIMEOAT_135"/>
      <sheetName val="[TIMEOATY.XLS]_D_V_MQADATA__129"/>
      <sheetName val="[TIMEOATY.XLS]_P_MQADATA_TE_136"/>
      <sheetName val="[TIMEOATY.XLS]_C_V_MQADATA__136"/>
      <sheetName val="[TIMEOATY.XLS]_C_P_MQADATA__136"/>
      <sheetName val="[TIMEOATY.XLS]_TEST_TIMEOAT_136"/>
      <sheetName val="[TIMEOATY.XLS]_D_V_MQADATA__130"/>
      <sheetName val="[TIMEOATY.XLS]_P_MQADATA_TE_137"/>
      <sheetName val="[TIMEOATY.XLS]_C_V_MQADATA__137"/>
      <sheetName val="[TIMEOATY.XLS]_C_P_MQADATA__137"/>
      <sheetName val="[TIMEOATY.XLS]_TEST_TIMEOAT_137"/>
      <sheetName val="[TIMEOATY.XLS]_D_V_MQADATA__131"/>
      <sheetName val="[TIMEOATY.XLS]_P_MQADATA_TE_141"/>
      <sheetName val="[TIMEOATY.XLS]_C_V_MQADATA__141"/>
      <sheetName val="[TIMEOATY.XLS]_C_P_MQADATA__141"/>
      <sheetName val="[TIMEOATY.XLS]_TEST_TIMEOAT_141"/>
      <sheetName val="[TIMEOATY.XLS]_D_V_MQADATA__135"/>
      <sheetName val="[TIMEOATY.XLS]_P_MQADATA_TE_139"/>
      <sheetName val="[TIMEOATY.XLS]_C_V_MQADATA__139"/>
      <sheetName val="[TIMEOATY.XLS]_C_P_MQADATA__139"/>
      <sheetName val="[TIMEOATY.XLS]_TEST_TIMEOAT_139"/>
      <sheetName val="[TIMEOATY.XLS]_D_V_MQADATA__133"/>
      <sheetName val="[TIMEOATY.XLS]_P_MQADATA_TE_140"/>
      <sheetName val="[TIMEOATY.XLS]_C_V_MQADATA__140"/>
      <sheetName val="[TIMEOATY.XLS]_C_P_MQADATA__140"/>
      <sheetName val="[TIMEOATY.XLS]_TEST_TIMEOAT_140"/>
      <sheetName val="[TIMEOATY.XLS]_D_V_MQADATA__134"/>
      <sheetName val="[TIMEOATY.XLS]_P_MQADATA_TE_143"/>
      <sheetName val="[TIMEOATY.XLS]_C_V_MQADATA__143"/>
      <sheetName val="[TIMEOATY.XLS]_C_P_MQADATA__143"/>
      <sheetName val="[TIMEOATY.XLS]_TEST_TIMEOAT_143"/>
      <sheetName val="[TIMEOATY.XLS]_D_V_MQADATA__137"/>
      <sheetName val="[TIMEOATY.XLS]_P_MQADATA_TE_142"/>
      <sheetName val="[TIMEOATY.XLS]_C_V_MQADATA__142"/>
      <sheetName val="[TIMEOATY.XLS]_C_P_MQADATA__142"/>
      <sheetName val="[TIMEOATY.XLS]_TEST_TIMEOAT_142"/>
      <sheetName val="[TIMEOATY.XLS]_D_V_MQADATA__136"/>
      <sheetName val="[TIMEOATY.XLS]_P_MQADATA_TE_145"/>
      <sheetName val="[TIMEOATY.XLS]_C_V_MQADATA__145"/>
      <sheetName val="[TIMEOATY.XLS]_C_P_MQADATA__145"/>
      <sheetName val="[TIMEOATY.XLS]_TEST_TIMEOAT_145"/>
      <sheetName val="[TIMEOATY.XLS]_D_V_MQADATA__139"/>
      <sheetName val="[TIMEOATY.XLS]_P_MQADATA_TE_146"/>
      <sheetName val="[TIMEOATY.XLS]_C_V_MQADATA__146"/>
      <sheetName val="[TIMEOATY.XLS]_C_P_MQADATA__146"/>
      <sheetName val="[TIMEOATY.XLS]_TEST_TIMEOAT_146"/>
      <sheetName val="[TIMEOATY.XLS]_D_V_MQADATA__140"/>
      <sheetName val="[TIMEOATY.XLS]_P_MQADATA_TE_149"/>
      <sheetName val="[TIMEOATY.XLS]_C_V_MQADATA__149"/>
      <sheetName val="[TIMEOATY.XLS]_C_P_MQADATA__149"/>
      <sheetName val="[TIMEOATY.XLS]_TEST_TIMEOAT_149"/>
      <sheetName val="[TIMEOATY.XLS]_D_V_MQADATA__143"/>
      <sheetName val="[TIMEOATY.XLS]_P_MQADATA_TE_147"/>
      <sheetName val="[TIMEOATY.XLS]_C_V_MQADATA__147"/>
      <sheetName val="[TIMEOATY.XLS]_C_P_MQADATA__147"/>
      <sheetName val="[TIMEOATY.XLS]_TEST_TIMEOAT_147"/>
      <sheetName val="[TIMEOATY.XLS]_D_V_MQADATA__141"/>
      <sheetName val="[TIMEOATY.XLS]_P_MQADATA_TE_148"/>
      <sheetName val="[TIMEOATY.XLS]_C_V_MQADATA__148"/>
      <sheetName val="[TIMEOATY.XLS]_C_P_MQADATA__148"/>
      <sheetName val="[TIMEOATY.XLS]_TEST_TIMEOAT_148"/>
      <sheetName val="[TIMEOATY.XLS]_D_V_MQADATA__142"/>
      <sheetName val="[TIMEOATY.XLS]_P_MQADATA_TE_152"/>
      <sheetName val="[TIMEOATY.XLS]_C_V_MQADATA__152"/>
      <sheetName val="[TIMEOATY.XLS]_C_P_MQADATA__152"/>
      <sheetName val="[TIMEOATY.XLS]_TEST_TIMEOAT_152"/>
      <sheetName val="[TIMEOATY.XLS]_D_V_MQADATA__146"/>
      <sheetName val="[TIMEOATY.XLS]_P_MQADATA_TE_150"/>
      <sheetName val="[TIMEOATY.XLS]_C_V_MQADATA__150"/>
      <sheetName val="[TIMEOATY.XLS]_C_P_MQADATA__150"/>
      <sheetName val="[TIMEOATY.XLS]_TEST_TIMEOAT_150"/>
      <sheetName val="[TIMEOATY.XLS]_D_V_MQADATA__144"/>
      <sheetName val="[TIMEOATY.XLS]_P_MQADATA_TE_151"/>
      <sheetName val="[TIMEOATY.XLS]_C_V_MQADATA__151"/>
      <sheetName val="[TIMEOATY.XLS]_C_P_MQADATA__151"/>
      <sheetName val="[TIMEOATY.XLS]_TEST_TIMEOAT_151"/>
      <sheetName val="[TIMEOATY.XLS]_D_V_MQADATA__145"/>
      <sheetName val="[TIMEOATY.XLS]_P_MQADATA_TE_153"/>
      <sheetName val="[TIMEOATY.XLS]_C_V_MQADATA__153"/>
      <sheetName val="[TIMEOATY.XLS]_C_P_MQADATA__153"/>
      <sheetName val="[TIMEOATY.XLS]_TEST_TIMEOAT_153"/>
      <sheetName val="[TIMEOATY.XLS]_D_V_MQADATA__147"/>
      <sheetName val="[TIMEOATY.XLS]_P_MQADATA_TE_154"/>
      <sheetName val="[TIMEOATY.XLS]_C_V_MQADATA__154"/>
      <sheetName val="[TIMEOATY.XLS]_C_P_MQADATA__154"/>
      <sheetName val="[TIMEOATY.XLS]_TEST_TIMEOAT_154"/>
      <sheetName val="[TIMEOATY.XLS]_D_V_MQADATA__148"/>
      <sheetName val="[TIMEOATY.XLS]_MQADATA_TEST_155"/>
      <sheetName val="[TIMEOATY.XLS]_V_MQADATA_TE_155"/>
      <sheetName val="[TIMEOATY.XLS]_P_MQADATA_TE_155"/>
      <sheetName val="[TIMEOATY.XLS]_C_V_MQADATA__155"/>
      <sheetName val="[TIMEOATY.XLS]_C_P_MQADATA__155"/>
      <sheetName val="[TIMEOATY.XLS]_TEST_TIMEOAT_155"/>
      <sheetName val="[TIMEOATY.XLS]_D_V_MQADATA__149"/>
      <sheetName val="[TIMEOATY.XLS]_MQADATA_TEST_161"/>
      <sheetName val="[TIMEOATY.XLS]_V_MQADATA_TE_161"/>
      <sheetName val="[TIMEOATY.XLS]_P_MQADATA_TE_161"/>
      <sheetName val="[TIMEOATY.XLS]_C_V_MQADATA__161"/>
      <sheetName val="[TIMEOATY.XLS]_C_P_MQADATA__161"/>
      <sheetName val="[TIMEOATY.XLS]_TEST_TIMEOAT_161"/>
      <sheetName val="[TIMEOATY.XLS]_D_V_MQADATA__155"/>
      <sheetName val="[TIMEOATY.XLS]_MQADATA_TEST_159"/>
      <sheetName val="[TIMEOATY.XLS]_V_MQADATA_TE_159"/>
      <sheetName val="[TIMEOATY.XLS]_P_MQADATA_TE_159"/>
      <sheetName val="[TIMEOATY.XLS]_C_V_MQADATA__159"/>
      <sheetName val="[TIMEOATY.XLS]_C_P_MQADATA__159"/>
      <sheetName val="[TIMEOATY.XLS]_TEST_TIMEOAT_159"/>
      <sheetName val="[TIMEOATY.XLS]_D_V_MQADATA__153"/>
      <sheetName val="[TIMEOATY.XLS]_MQADATA_TEST_160"/>
      <sheetName val="[TIMEOATY.XLS]_V_MQADATA_TE_160"/>
      <sheetName val="[TIMEOATY.XLS]_P_MQADATA_TE_160"/>
      <sheetName val="[TIMEOATY.XLS]_C_V_MQADATA__160"/>
      <sheetName val="[TIMEOATY.XLS]_C_P_MQADATA__160"/>
      <sheetName val="[TIMEOATY.XLS]_TEST_TIMEOAT_160"/>
      <sheetName val="[TIMEOATY.XLS]_D_V_MQADATA__154"/>
      <sheetName val="[TIMEOATY.XLS]_MQADATA_TEST_162"/>
      <sheetName val="[TIMEOATY.XLS]_V_MQADATA_TE_162"/>
      <sheetName val="[TIMEOATY.XLS]_P_MQADATA_TE_162"/>
      <sheetName val="[TIMEOATY.XLS]_C_V_MQADATA__162"/>
      <sheetName val="[TIMEOATY.XLS]_C_P_MQADATA__162"/>
      <sheetName val="[TIMEOATY.XLS]_TEST_TIMEOAT_162"/>
      <sheetName val="[TIMEOATY.XLS]_D_V_MQADATA__156"/>
      <sheetName val="[TIMEOATY.XLS]_MQADATA_TEST_166"/>
      <sheetName val="[TIMEOATY.XLS]_V_MQADATA_TE_166"/>
      <sheetName val="[TIMEOATY.XLS]_P_MQADATA_TE_166"/>
      <sheetName val="[TIMEOATY.XLS]_C_V_MQADATA__166"/>
      <sheetName val="[TIMEOATY.XLS]_C_P_MQADATA__166"/>
      <sheetName val="[TIMEOATY.XLS]_TEST_TIMEOAT_166"/>
      <sheetName val="[TIMEOATY.XLS]_D_V_MQADATA__160"/>
      <sheetName val="[TIMEOATY.XLS]_MQADATA_TEST_163"/>
      <sheetName val="[TIMEOATY.XLS]_V_MQADATA_TE_163"/>
      <sheetName val="[TIMEOATY.XLS]_P_MQADATA_TE_163"/>
      <sheetName val="[TIMEOATY.XLS]_C_V_MQADATA__163"/>
      <sheetName val="[TIMEOATY.XLS]_C_P_MQADATA__163"/>
      <sheetName val="[TIMEOATY.XLS]_TEST_TIMEOAT_163"/>
      <sheetName val="[TIMEOATY.XLS]_D_V_MQADATA__157"/>
      <sheetName val="[TIMEOATY.XLS]_MQADATA_TEST_164"/>
      <sheetName val="[TIMEOATY.XLS]_V_MQADATA_TE_164"/>
      <sheetName val="[TIMEOATY.XLS]_P_MQADATA_TE_164"/>
      <sheetName val="[TIMEOATY.XLS]_C_V_MQADATA__164"/>
      <sheetName val="[TIMEOATY.XLS]_C_P_MQADATA__164"/>
      <sheetName val="[TIMEOATY.XLS]_TEST_TIMEOAT_164"/>
      <sheetName val="[TIMEOATY.XLS]_D_V_MQADATA__158"/>
      <sheetName val="[TIMEOATY.XLS]_MQADATA_TEST_165"/>
      <sheetName val="[TIMEOATY.XLS]_V_MQADATA_TE_165"/>
      <sheetName val="[TIMEOATY.XLS]_P_MQADATA_TE_165"/>
      <sheetName val="[TIMEOATY.XLS]_C_V_MQADATA__165"/>
      <sheetName val="[TIMEOATY.XLS]_C_P_MQADATA__165"/>
      <sheetName val="[TIMEOATY.XLS]_TEST_TIMEOAT_165"/>
      <sheetName val="[TIMEOATY.XLS]_D_V_MQADATA__159"/>
      <sheetName val="[TIMEOATY.XLS]\\192.168.200.1\C"/>
      <sheetName val="[TIMEOATY.XLS]\\10.12.8.248\C\C"/>
      <sheetName val="[TIMEOATY.XLS]_MQADATA_TEST_168"/>
      <sheetName val="[TIMEOATY.XLS]_V_MQADATA_TE_168"/>
      <sheetName val="[TIMEOATY.XLS]_P_MQADATA_TE_168"/>
      <sheetName val="[TIMEOATY.XLS]_C_V_MQADATA__168"/>
      <sheetName val="[TIMEOATY.XLS]_C_P_MQADATA__168"/>
      <sheetName val="[TIMEOATY.XLS]_TEST_TIMEOAT_168"/>
      <sheetName val="[TIMEOATY.XLS]_D_V_MQADATA__162"/>
      <sheetName val="[TIMEOATY.XLS]_MQADATA_TEST_167"/>
      <sheetName val="[TIMEOATY.XLS]_V_MQADATA_TE_167"/>
      <sheetName val="[TIMEOATY.XLS]_P_MQADATA_TE_167"/>
      <sheetName val="[TIMEOATY.XLS]_C_V_MQADATA__167"/>
      <sheetName val="[TIMEOATY.XLS]_C_P_MQADATA__167"/>
      <sheetName val="[TIMEOATY.XLS]_TEST_TIMEOAT_167"/>
      <sheetName val="[TIMEOATY.XLS]_D_V_MQADATA__161"/>
      <sheetName val="_D_V_MQADATA_T_30"/>
      <sheetName val="_D_V_MQADATA_T_31"/>
      <sheetName val="_D_V_MQADATA_T_32"/>
      <sheetName val="_32"/>
      <sheetName val="_33"/>
      <sheetName val="_34"/>
      <sheetName val="_29"/>
      <sheetName val="_30"/>
      <sheetName val="_31"/>
      <sheetName val="_26"/>
      <sheetName val="_27"/>
      <sheetName val="_28"/>
      <sheetName val="_35"/>
      <sheetName val="_36"/>
      <sheetName val="_37"/>
      <sheetName val="_38"/>
      <sheetName val="_39"/>
      <sheetName val="_40"/>
      <sheetName val="_44"/>
      <sheetName val="_45"/>
      <sheetName val="_46"/>
      <sheetName val="_80"/>
      <sheetName val="_81"/>
      <sheetName val="_82"/>
      <sheetName val="_41"/>
      <sheetName val="_42"/>
      <sheetName val="_43"/>
      <sheetName val="_56"/>
      <sheetName val="_57"/>
      <sheetName val="_58"/>
      <sheetName val="_65"/>
      <sheetName val="_66"/>
      <sheetName val="_67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9"/>
      <sheetName val="_60"/>
      <sheetName val="_61"/>
      <sheetName val="_77"/>
      <sheetName val="_78"/>
      <sheetName val="_79"/>
      <sheetName val="_62"/>
      <sheetName val="_63"/>
      <sheetName val="_64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_MQADATA_TEST__41"/>
      <sheetName val="_V_MQADATA_TES_41"/>
      <sheetName val="_P_MQADATA_TES_41"/>
      <sheetName val="_C_V_MQADATA_T_41"/>
      <sheetName val="_C_P_MQADATA_T_41"/>
      <sheetName val="_TEST_TIMEOATY_40"/>
      <sheetName val="_D_V_MQADATA_T_35"/>
      <sheetName val="_D_V_MQADATA_T_33"/>
      <sheetName val="_D_V_MQADATA_T_34"/>
      <sheetName val="_MQADATA_TEST__43"/>
      <sheetName val="_V_MQADATA_TES_43"/>
      <sheetName val="_P_MQADATA_TES_43"/>
      <sheetName val="_C_V_MQADATA_T_43"/>
      <sheetName val="_C_P_MQADATA_T_43"/>
      <sheetName val="_TEST_TIMEOATY_42"/>
      <sheetName val="_D_V_MQADATA_T_37"/>
      <sheetName val="_MQADATA_TEST__42"/>
      <sheetName val="_V_MQADATA_TES_42"/>
      <sheetName val="_P_MQADATA_TES_42"/>
      <sheetName val="_C_V_MQADATA_T_42"/>
      <sheetName val="_C_P_MQADATA_T_42"/>
      <sheetName val="_TEST_TIMEOATY_41"/>
      <sheetName val="_D_V_MQADATA_T_36"/>
      <sheetName val="_MQADATA_TEST__46"/>
      <sheetName val="_TIMEOATY_XLS_218"/>
      <sheetName val="_TIMEOATY_XLS_219"/>
      <sheetName val="_V_MQADATA_TES_46"/>
      <sheetName val="_P_MQADATA_TES_46"/>
      <sheetName val="_TIMEOATY_XLS_220"/>
      <sheetName val="_C_V_MQADATA_T_46"/>
      <sheetName val="_C_P_MQADATA_T_46"/>
      <sheetName val="_TEST_TIMEOATY_45"/>
      <sheetName val="_D_V_MQADATA_T_40"/>
      <sheetName val="_MQADATA_TEST__44"/>
      <sheetName val="_V_MQADATA_TES_44"/>
      <sheetName val="_P_MQADATA_TES_44"/>
      <sheetName val="_C_V_MQADATA_T_44"/>
      <sheetName val="_C_P_MQADATA_T_44"/>
      <sheetName val="_TEST_TIMEOATY_43"/>
      <sheetName val="_D_V_MQADATA_T_38"/>
      <sheetName val="_MQADATA_TEST__45"/>
      <sheetName val="_V_MQADATA_TES_45"/>
      <sheetName val="_P_MQADATA_TES_45"/>
      <sheetName val="_C_V_MQADATA_T_45"/>
      <sheetName val="_C_P_MQADATA_T_45"/>
      <sheetName val="_TEST_TIMEOATY_44"/>
      <sheetName val="_D_V_MQADATA_T_39"/>
      <sheetName val="_MQADATA_TEST__49"/>
      <sheetName val="_V_MQADATA_TES_49"/>
      <sheetName val="_P_MQADATA_TES_49"/>
      <sheetName val="_C_V_MQADATA_T_49"/>
      <sheetName val="_C_P_MQADATA_T_49"/>
      <sheetName val="_TEST_TIMEOATY_48"/>
      <sheetName val="_D_V_MQADATA_T_43"/>
      <sheetName val="_MQADATA_TEST__47"/>
      <sheetName val="_V_MQADATA_TES_47"/>
      <sheetName val="_P_MQADATA_TES_47"/>
      <sheetName val="_C_V_MQADATA_T_47"/>
      <sheetName val="_C_P_MQADATA_T_47"/>
      <sheetName val="_TEST_TIMEOATY_46"/>
      <sheetName val="_D_V_MQADATA_T_41"/>
      <sheetName val="_MQADATA_TEST__48"/>
      <sheetName val="_V_MQADATA_TES_48"/>
      <sheetName val="_P_MQADATA_TES_48"/>
      <sheetName val="_C_V_MQADATA_T_48"/>
      <sheetName val="_C_P_MQADATA_T_48"/>
      <sheetName val="_TEST_TIMEOATY_47"/>
      <sheetName val="_D_V_MQADATA_T_42"/>
      <sheetName val="_MQADATA_TEST__51"/>
      <sheetName val="_V_MQADATA_TES_51"/>
      <sheetName val="_P_MQADATA_TES_51"/>
      <sheetName val="_C_V_MQADATA_T_51"/>
      <sheetName val="_C_P_MQADATA_T_51"/>
      <sheetName val="_TEST_TIMEOATY_50"/>
      <sheetName val="_D_V_MQADATA_T_45"/>
      <sheetName val="_MQADATA_TEST__50"/>
      <sheetName val="_V_MQADATA_TES_50"/>
      <sheetName val="_P_MQADATA_TES_50"/>
      <sheetName val="_C_V_MQADATA_T_50"/>
      <sheetName val="_C_P_MQADATA_T_50"/>
      <sheetName val="_TEST_TIMEOATY_49"/>
      <sheetName val="_D_V_MQADATA_T_44"/>
      <sheetName val="_MQADATA_TEST__54"/>
      <sheetName val="_TIMEOATY_XLS_221"/>
      <sheetName val="_TIMEOATY_XLS_222"/>
      <sheetName val="_V_MQADATA_TES_54"/>
      <sheetName val="_P_MQADATA_TES_54"/>
      <sheetName val="_TIMEOATY_XLS_223"/>
      <sheetName val="_C_V_MQADATA_T_54"/>
      <sheetName val="_C_P_MQADATA_T_54"/>
      <sheetName val="_TEST_TIMEOATY_53"/>
      <sheetName val="_D_V_MQADATA_T_48"/>
      <sheetName val="_TIMEOATY_XLS_212"/>
      <sheetName val="_TIMEOATY_XLS_213"/>
      <sheetName val="_TIMEOATY_XLS_214"/>
      <sheetName val="_MQADATA_TEST__52"/>
      <sheetName val="_V_MQADATA_TES_52"/>
      <sheetName val="_P_MQADATA_TES_52"/>
      <sheetName val="_C_V_MQADATA_T_52"/>
      <sheetName val="_C_P_MQADATA_T_52"/>
      <sheetName val="_TEST_TIMEOATY_51"/>
      <sheetName val="_D_V_MQADATA_T_46"/>
      <sheetName val="_TIMEOATY_XLS_215"/>
      <sheetName val="_TIMEOATY_XLS_216"/>
      <sheetName val="_TIMEOATY_XLS_217"/>
      <sheetName val="_MQADATA_TEST__53"/>
      <sheetName val="_V_MQADATA_TES_53"/>
      <sheetName val="_P_MQADATA_TES_53"/>
      <sheetName val="_C_V_MQADATA_T_53"/>
      <sheetName val="_C_P_MQADATA_T_53"/>
      <sheetName val="_TEST_TIMEOATY_52"/>
      <sheetName val="_D_V_MQADATA_T_47"/>
      <sheetName val="_TIMEOATY_XLS_227"/>
      <sheetName val="_TIMEOATY_XLS_228"/>
      <sheetName val="_TIMEOATY_XLS_229"/>
      <sheetName val="_MQADATA_TEST__56"/>
      <sheetName val="_V_MQADATA_TES_56"/>
      <sheetName val="_P_MQADATA_TES_56"/>
      <sheetName val="_C_V_MQADATA_T_56"/>
      <sheetName val="_C_P_MQADATA_T_56"/>
      <sheetName val="_TEST_TIMEOATY_55"/>
      <sheetName val="_D_V_MQADATA_T_50"/>
      <sheetName val="_TIMEOATY_XLS_224"/>
      <sheetName val="_TIMEOATY_XLS_225"/>
      <sheetName val="_TIMEOATY_XLS_226"/>
      <sheetName val="_MQADATA_TEST__55"/>
      <sheetName val="_V_MQADATA_TES_55"/>
      <sheetName val="_P_MQADATA_TES_55"/>
      <sheetName val="_C_V_MQADATA_T_55"/>
      <sheetName val="_C_P_MQADATA_T_55"/>
      <sheetName val="_TEST_TIMEOATY_54"/>
      <sheetName val="_D_V_MQADATA_T_49"/>
      <sheetName val="_TIMEOATY_XLS_266"/>
      <sheetName val="_TIMEOATY_XLS_267"/>
      <sheetName val="_TIMEOATY_XLS_268"/>
      <sheetName val="_TIMEOATY_XLS_230"/>
      <sheetName val="_TIMEOATY_XLS_231"/>
      <sheetName val="_TIMEOATY_XLS_232"/>
      <sheetName val="_TIMEOATY_XLS_236"/>
      <sheetName val="_TIMEOATY_XLS_237"/>
      <sheetName val="_TIMEOATY_XLS_238"/>
      <sheetName val="_TIMEOATY_XLS_233"/>
      <sheetName val="_TIMEOATY_XLS_234"/>
      <sheetName val="_TIMEOATY_XLS_235"/>
      <sheetName val="_TIMEOATY_XLS_239"/>
      <sheetName val="_TIMEOATY_XLS_240"/>
      <sheetName val="_TIMEOATY_XLS_241"/>
      <sheetName val="_TIMEOATY_XLS_245"/>
      <sheetName val="_TIMEOATY_XLS_246"/>
      <sheetName val="_TIMEOATY_XLS_247"/>
      <sheetName val="_MQADATA_TEST__58"/>
      <sheetName val="_V_MQADATA_TES_58"/>
      <sheetName val="_TIMEOATY_XLS_263"/>
      <sheetName val="_TIMEOATY_XLS_264"/>
      <sheetName val="_P_MQADATA_TES_58"/>
      <sheetName val="_TIMEOATY_XLS_265"/>
      <sheetName val="_C_V_MQADATA_T_58"/>
      <sheetName val="_C_P_MQADATA_T_58"/>
      <sheetName val="_TEST_TIMEOATY_57"/>
      <sheetName val="_D_V_MQADATA_T_52"/>
      <sheetName val="_TIMEOATY_XLS_242"/>
      <sheetName val="_TIMEOATY_XLS_243"/>
      <sheetName val="_TIMEOATY_XLS_244"/>
      <sheetName val="_MQADATA_TEST__57"/>
      <sheetName val="_V_MQADATA_TES_57"/>
      <sheetName val="_P_MQADATA_TES_57"/>
      <sheetName val="_C_V_MQADATA_T_57"/>
      <sheetName val="_C_P_MQADATA_T_57"/>
      <sheetName val="_TEST_TIMEOATY_56"/>
      <sheetName val="_D_V_MQADATA_T_51"/>
      <sheetName val="_MQADATA_TEST__67"/>
      <sheetName val="_V_MQADATA_TES_67"/>
      <sheetName val="_P_MQADATA_TES_67"/>
      <sheetName val="_C_V_MQADATA_T_67"/>
      <sheetName val="_C_P_MQADATA_T_67"/>
      <sheetName val="_TEST_TIMEOATY_66"/>
      <sheetName val="_D_V_MQADATA_T_61"/>
      <sheetName val="_TIMEOATY_XLS_248"/>
      <sheetName val="_TIMEOATY_XLS_249"/>
      <sheetName val="_TIMEOATY_XLS_250"/>
      <sheetName val="_MQADATA_TEST__59"/>
      <sheetName val="_V_MQADATA_TES_59"/>
      <sheetName val="_P_MQADATA_TES_59"/>
      <sheetName val="_C_V_MQADATA_T_59"/>
      <sheetName val="_C_P_MQADATA_T_59"/>
      <sheetName val="_TEST_TIMEOATY_58"/>
      <sheetName val="_D_V_MQADATA_T_53"/>
      <sheetName val="_TIMEOATY_XLS_251"/>
      <sheetName val="_TIMEOATY_XLS_252"/>
      <sheetName val="_TIMEOATY_XLS_253"/>
      <sheetName val="_MQADATA_TEST__63"/>
      <sheetName val="_V_MQADATA_TES_63"/>
      <sheetName val="_P_MQADATA_TES_63"/>
      <sheetName val="_C_V_MQADATA_T_63"/>
      <sheetName val="_C_P_MQADATA_T_63"/>
      <sheetName val="_TEST_TIMEOATY_62"/>
      <sheetName val="_D_V_MQADATA_T_57"/>
      <sheetName val="_MQADATA_TEST__60"/>
      <sheetName val="_V_MQADATA_TES_60"/>
      <sheetName val="_P_MQADATA_TES_60"/>
      <sheetName val="_C_V_MQADATA_T_60"/>
      <sheetName val="_C_P_MQADATA_T_60"/>
      <sheetName val="_TEST_TIMEOATY_59"/>
      <sheetName val="_D_V_MQADATA_T_54"/>
      <sheetName val="_MQADATA_TEST__61"/>
      <sheetName val="_V_MQADATA_TES_61"/>
      <sheetName val="_P_MQADATA_TES_61"/>
      <sheetName val="_C_V_MQADATA_T_61"/>
      <sheetName val="_C_P_MQADATA_T_61"/>
      <sheetName val="_TEST_TIMEOATY_60"/>
      <sheetName val="_D_V_MQADATA_T_55"/>
      <sheetName val="_MQADATA_TEST__62"/>
      <sheetName val="_V_MQADATA_TES_62"/>
      <sheetName val="_P_MQADATA_TES_62"/>
      <sheetName val="_C_V_MQADATA_T_62"/>
      <sheetName val="_C_P_MQADATA_T_62"/>
      <sheetName val="_TEST_TIMEOATY_61"/>
      <sheetName val="_D_V_MQADATA_T_56"/>
      <sheetName val="_TIMEOATY_XLS_257"/>
      <sheetName val="_TIMEOATY_XLS_258"/>
      <sheetName val="_TIMEOATY_XLS_259"/>
      <sheetName val="_MQADATA_TEST__65"/>
      <sheetName val="_V_MQADATA_TES_65"/>
      <sheetName val="_P_MQADATA_TES_65"/>
      <sheetName val="_C_V_MQADATA_T_65"/>
      <sheetName val="_C_P_MQADATA_T_65"/>
      <sheetName val="_TEST_TIMEOATY_64"/>
      <sheetName val="_D_V_MQADATA_T_59"/>
      <sheetName val="_TIMEOATY_XLS_254"/>
      <sheetName val="_TIMEOATY_XLS_255"/>
      <sheetName val="_TIMEOATY_XLS_256"/>
      <sheetName val="_MQADATA_TEST__64"/>
      <sheetName val="_V_MQADATA_TES_64"/>
      <sheetName val="_P_MQADATA_TES_64"/>
      <sheetName val="_C_V_MQADATA_T_64"/>
      <sheetName val="_C_P_MQADATA_T_64"/>
      <sheetName val="_TEST_TIMEOATY_63"/>
      <sheetName val="_D_V_MQADATA_T_58"/>
      <sheetName val="_TIMEOATY_XLS_260"/>
      <sheetName val="_TIMEOATY_XLS_261"/>
      <sheetName val="_TIMEOATY_XLS_262"/>
      <sheetName val="_MQADATA_TEST__66"/>
      <sheetName val="_V_MQADATA_TES_66"/>
      <sheetName val="_P_MQADATA_TES_66"/>
      <sheetName val="_C_V_MQADATA_T_66"/>
      <sheetName val="_C_P_MQADATA_T_66"/>
      <sheetName val="_TEST_TIMEOATY_65"/>
      <sheetName val="_D_V_MQADATA_T_60"/>
      <sheetName val="_TIMEOATY_XLS_287"/>
      <sheetName val="_TIMEOATY_XLS_288"/>
      <sheetName val="_TIMEOATY_XLS_289"/>
      <sheetName val="_TIMEOATY_XLS_272"/>
      <sheetName val="_TIMEOATY_XLS_273"/>
      <sheetName val="_TIMEOATY_XLS_274"/>
      <sheetName val="_TIMEOATY_XLS_269"/>
      <sheetName val="_TIMEOATY_XLS_270"/>
      <sheetName val="_TIMEOATY_XLS_271"/>
      <sheetName val="_TIMEOATY_XLS_275"/>
      <sheetName val="_TIMEOATY_XLS_276"/>
      <sheetName val="_TIMEOATY_XLS_277"/>
      <sheetName val="_TIMEOATY_XLS_278"/>
      <sheetName val="_TIMEOATY_XLS_279"/>
      <sheetName val="_TIMEOATY_XLS_280"/>
      <sheetName val="_TIMEOATY_XLS_281"/>
      <sheetName val="_TIMEOATY_XLS_282"/>
      <sheetName val="_TIMEOATY_XLS_283"/>
      <sheetName val="_TIMEOATY_XLS_284"/>
      <sheetName val="_TIMEOATY_XLS_285"/>
      <sheetName val="_TIMEOATY_XLS_286"/>
      <sheetName val="_TIMEOATY_XLS_296"/>
      <sheetName val="_TIMEOATY_XLS_297"/>
      <sheetName val="_TIMEOATY_XLS_298"/>
      <sheetName val="_TIMEOATY_XLS_290"/>
      <sheetName val="_TIMEOATY_XLS_291"/>
      <sheetName val="_TIMEOATY_XLS_292"/>
      <sheetName val="_TIMEOATY_XLS_293"/>
      <sheetName val="_TIMEOATY_XLS_294"/>
      <sheetName val="_TIMEOATY_XLS_295"/>
      <sheetName val="_TIMEOATY_XLS_299"/>
      <sheetName val="_TIMEOATY_XLS_300"/>
      <sheetName val="_TIMEOATY_XLS_301"/>
      <sheetName val="附件1-开发筛选项"/>
      <sheetName val="附件2-问题分类说明"/>
      <sheetName val="[TIMEOATY.XLS]_MQADATA_TEST_171"/>
      <sheetName val="[TIMEOATY.XLS]_V_MQADATA_TE_171"/>
      <sheetName val="[TIMEOATY.XLS]_TIMEOATY_XLS_722"/>
      <sheetName val="[TIMEOATY.XLS]_TIMEOATY_XLS_723"/>
      <sheetName val="[TIMEOATY.XLS]_P_MQADATA_TE_171"/>
      <sheetName val="[TIMEOATY.XLS]_TIMEOATY_XLS_724"/>
      <sheetName val="[TIMEOATY.XLS]_C_V_MQADATA__171"/>
      <sheetName val="[TIMEOATY.XLS]_C_P_MQADATA__171"/>
      <sheetName val="[TIMEOATY.XLS]_TEST_TIMEOAT_171"/>
      <sheetName val="[TIMEOATY.XLS]_D_V_MQADATA__165"/>
      <sheetName val="[TIMEOATY.XLS]_MQADATA_TEST_173"/>
      <sheetName val="[TIMEOATY.XLS]_V_MQADATA_TE_173"/>
      <sheetName val="[TIMEOATY.XLS]_TIMEOATY_XLS_725"/>
      <sheetName val="[TIMEOATY.XLS]_TIMEOATY_XLS_726"/>
      <sheetName val="[TIMEOATY.XLS]_P_MQADATA_TE_173"/>
      <sheetName val="[TIMEOATY.XLS]_TIMEOATY_XLS_727"/>
      <sheetName val="[TIMEOATY.XLS]_C_V_MQADATA__173"/>
      <sheetName val="[TIMEOATY.XLS]_C_P_MQADATA__173"/>
      <sheetName val="[TIMEOATY.XLS]_TEST_TIMEOAT_173"/>
      <sheetName val="[TIMEOATY.XLS]_D_V_MQADATA__167"/>
      <sheetName val="[TIMEOATY.XLS]_MQADATA_TEST_172"/>
      <sheetName val="[TIMEOATY.XLS]_V_MQADATA_TE_172"/>
      <sheetName val="[TIMEOATY.XLS]_P_MQADATA_TE_172"/>
      <sheetName val="[TIMEOATY.XLS]_C_V_MQADATA__172"/>
      <sheetName val="[TIMEOATY.XLS]_C_P_MQADATA__172"/>
      <sheetName val="[TIMEOATY.XLS]_TEST_TIMEOAT_172"/>
      <sheetName val="[TIMEOATY.XLS]_D_V_MQADATA__166"/>
      <sheetName val="[TIMEOATY.XLS]_TIMEOATY_XLS_728"/>
      <sheetName val="[TIMEOATY.XLS]_TIMEOATY_XLS_729"/>
      <sheetName val="[TIMEOATY.XLS]_TIMEOATY_XLS_730"/>
      <sheetName val="[TIMEOATY.XLS]_TIMEOATY_XLS_734"/>
      <sheetName val="[TIMEOATY.XLS]_TIMEOATY_XLS_735"/>
      <sheetName val="[TIMEOATY.XLS]_TIMEOATY_XLS_736"/>
      <sheetName val="[TIMEOATY.XLS]_TIMEOATY_XLS_731"/>
      <sheetName val="[TIMEOATY.XLS]_TIMEOATY_XLS_732"/>
      <sheetName val="[TIMEOATY.XLS]_TIMEOATY_XLS_733"/>
      <sheetName val="[TIMEOATY.XLS]_MQADATA_TEST_174"/>
      <sheetName val="[TIMEOATY.XLS]_V_MQADATA_TE_174"/>
      <sheetName val="[TIMEOATY.XLS]_TIMEOATY_XLS_740"/>
      <sheetName val="[TIMEOATY.XLS]_TIMEOATY_XLS_741"/>
      <sheetName val="[TIMEOATY.XLS]_P_MQADATA_TE_174"/>
      <sheetName val="[TIMEOATY.XLS]_TIMEOATY_XLS_742"/>
      <sheetName val="[TIMEOATY.XLS]_C_V_MQADATA__174"/>
      <sheetName val="[TIMEOATY.XLS]_C_P_MQADATA__174"/>
      <sheetName val="[TIMEOATY.XLS]_TEST_TIMEOAT_174"/>
      <sheetName val="[TIMEOATY.XLS]_D_V_MQADATA__168"/>
      <sheetName val="[TIMEOATY.XLS]_TIMEOATY_XLS_737"/>
      <sheetName val="[TIMEOATY.XLS]_TIMEOATY_XLS_738"/>
      <sheetName val="[TIMEOATY.XLS]_TIMEOATY_XLS_739"/>
      <sheetName val="[TIMEOATY.XLS]_MQADATA_TEST_175"/>
      <sheetName val="[TIMEOATY.XLS]_V_MQADATA_TE_175"/>
      <sheetName val="[TIMEOATY.XLS]_TIMEOATY_XLS_746"/>
      <sheetName val="[TIMEOATY.XLS]_TIMEOATY_XLS_747"/>
      <sheetName val="[TIMEOATY.XLS]_P_MQADATA_TE_175"/>
      <sheetName val="[TIMEOATY.XLS]_TIMEOATY_XLS_748"/>
      <sheetName val="[TIMEOATY.XLS]_C_V_MQADATA__175"/>
      <sheetName val="[TIMEOATY.XLS]_C_P_MQADATA__175"/>
      <sheetName val="[TIMEOATY.XLS]_TEST_TIMEOAT_175"/>
      <sheetName val="[TIMEOATY.XLS]_D_V_MQADATA__169"/>
      <sheetName val="[TIMEOATY.XLS]_TIMEOATY_XLS_755"/>
      <sheetName val="[TIMEOATY.XLS]_TIMEOATY_XLS_756"/>
      <sheetName val="[TIMEOATY.XLS]_TIMEOATY_XLS_757"/>
      <sheetName val="[TIMEOATY.XLS]_TIMEOATY_XLS_758"/>
      <sheetName val="[TIMEOATY.XLS]_TIMEOATY_XLS_759"/>
      <sheetName val="[TIMEOATY.XLS]_TIMEOATY_XLS_760"/>
      <sheetName val="[TIMEOATY.XLS]_TIMEOATY_XLS_767"/>
      <sheetName val="[TIMEOATY.XLS]_TIMEOATY_XLS_768"/>
      <sheetName val="[TIMEOATY.XLS]_TIMEOATY_XLS_769"/>
      <sheetName val="[TIMEOATY.XLS]_MQADATA_TEST_177"/>
      <sheetName val="[TIMEOATY.XLS]_V_MQADATA_TE_177"/>
      <sheetName val="[TIMEOATY.XLS]_TIMEOATY_XLS_764"/>
      <sheetName val="[TIMEOATY.XLS]_TIMEOATY_XLS_765"/>
      <sheetName val="[TIMEOATY.XLS]_P_MQADATA_TE_177"/>
      <sheetName val="[TIMEOATY.XLS]_TIMEOATY_XLS_766"/>
      <sheetName val="[TIMEOATY.XLS]_C_V_MQADATA__177"/>
      <sheetName val="[TIMEOATY.XLS]_C_P_MQADATA__177"/>
      <sheetName val="[TIMEOATY.XLS]_TEST_TIMEOAT_177"/>
      <sheetName val="[TIMEOATY.XLS]_D_V_MQADATA__171"/>
      <sheetName val="[TIMEOATY.XLS]_TIMEOATY_XLS_761"/>
      <sheetName val="[TIMEOATY.XLS]_TIMEOATY_XLS_762"/>
      <sheetName val="[TIMEOATY.XLS]_TIMEOATY_XLS_763"/>
      <sheetName val="[TIMEOATY.XLS]_TIMEOATY_XLS_770"/>
      <sheetName val="[TIMEOATY.XLS]_TIMEOATY_XLS_771"/>
      <sheetName val="[TIMEOATY.XLS]_TIMEOATY_XLS_772"/>
      <sheetName val="[TIMEOATY.XLS]_TIMEOATY_XLS_773"/>
      <sheetName val="[TIMEOATY.XLS]_TIMEOATY_XLS_774"/>
      <sheetName val="[TIMEOATY.XLS]_TIMEOATY_XLS_775"/>
      <sheetName val="[TIMEOATY.XLS]_TIMEOATY_XLS_776"/>
      <sheetName val="[TIMEOATY.XLS]_TIMEOATY_XLS_777"/>
      <sheetName val="[TIMEOATY.XLS]_TIMEOATY_XLS_778"/>
      <sheetName val="[TIMEOATY.XLS]_MQADATA_TEST_178"/>
      <sheetName val="[TIMEOATY.XLS]_V_MQADATA_TE_178"/>
      <sheetName val="[TIMEOATY.XLS]_TIMEOATY_XLS_815"/>
      <sheetName val="[TIMEOATY.XLS]_TIMEOATY_XLS_816"/>
      <sheetName val="[TIMEOATY.XLS]_P_MQADATA_TE_178"/>
      <sheetName val="[TIMEOATY.XLS]_TIMEOATY_XLS_817"/>
      <sheetName val="[TIMEOATY.XLS]_C_V_MQADATA__178"/>
      <sheetName val="[TIMEOATY.XLS]_C_P_MQADATA__178"/>
      <sheetName val="[TIMEOATY.XLS]_TEST_TIMEOAT_178"/>
      <sheetName val="[TIMEOATY.XLS]_D_V_MQADATA__172"/>
      <sheetName val="[TIMEOATY.XLS]__192_168_200_304"/>
      <sheetName val="[TIMEOATY.XLS]__192_168_200_305"/>
      <sheetName val="[TIMEOATY.XLS]__10_12_8_248_153"/>
      <sheetName val="[TIMEOATY.XLS]__172_17_31_2_153"/>
      <sheetName val="[TIMEOATY.XLS]_MQADATA_TEST_188"/>
      <sheetName val="[TIMEOATY.XLS]_V_MQADATA_TE_188"/>
      <sheetName val="[TIMEOATY.XLS]_TIMEOATY_XLS_818"/>
      <sheetName val="[TIMEOATY.XLS]_TIMEOATY_XLS_819"/>
      <sheetName val="[TIMEOATY.XLS]_P_MQADATA_TE_188"/>
      <sheetName val="[TIMEOATY.XLS]_TIMEOATY_XLS_820"/>
      <sheetName val="[TIMEOATY.XLS]_C_V_MQADATA__188"/>
      <sheetName val="[TIMEOATY.XLS]_C_P_MQADATA__188"/>
      <sheetName val="[TIMEOATY.XLS]_TEST_TIMEOAT_188"/>
      <sheetName val="[TIMEOATY.XLS]_D_V_MQADATA__182"/>
      <sheetName val="[TIMEOATY.XLS]_TIMEOATY_XLS_779"/>
      <sheetName val="[TIMEOATY.XLS]_TIMEOATY_XLS_780"/>
      <sheetName val="[TIMEOATY.XLS]_TIMEOATY_XLS_781"/>
      <sheetName val="[TIMEOATY.XLS]_MQADATA_TEST_179"/>
      <sheetName val="[TIMEOATY.XLS]_V_MQADATA_TE_179"/>
      <sheetName val="[TIMEOATY.XLS]_P_MQADATA_TE_179"/>
      <sheetName val="[TIMEOATY.XLS]_C_V_MQADATA__179"/>
      <sheetName val="[TIMEOATY.XLS]_C_P_MQADATA__179"/>
      <sheetName val="[TIMEOATY.XLS]_TEST_TIMEOAT_179"/>
      <sheetName val="[TIMEOATY.XLS]_D_V_MQADATA__173"/>
      <sheetName val="[TIMEOATY.XLS]_TIMEOATY_XLS_785"/>
      <sheetName val="[TIMEOATY.XLS]_TIMEOATY_XLS_786"/>
      <sheetName val="[TIMEOATY.XLS]_TIMEOATY_XLS_787"/>
      <sheetName val="[TIMEOATY.XLS]_TIMEOATY_XLS_782"/>
      <sheetName val="[TIMEOATY.XLS]_TIMEOATY_XLS_783"/>
      <sheetName val="[TIMEOATY.XLS]_TIMEOATY_XLS_784"/>
      <sheetName val="[TIMEOATY.XLS]_TIMEOATY_XLS_788"/>
      <sheetName val="[TIMEOATY.XLS]_TIMEOATY_XLS_789"/>
      <sheetName val="[TIMEOATY.XLS]_TIMEOATY_XLS_790"/>
      <sheetName val="[TIMEOATY.XLS]_TIMEOATY_XLS_791"/>
      <sheetName val="[TIMEOATY.XLS]_TIMEOATY_XLS_792"/>
      <sheetName val="[TIMEOATY.XLS]_TIMEOATY_XLS_793"/>
      <sheetName val="[TIMEOATY.XLS]__192_168_200_288"/>
      <sheetName val="[TIMEOATY.XLS]__192_168_200_289"/>
      <sheetName val="[TIMEOATY.XLS]__10_12_8_248_145"/>
      <sheetName val="[TIMEOATY.XLS]__172_17_31_2_145"/>
      <sheetName val="[TIMEOATY.XLS]_MQADATA_TEST_180"/>
      <sheetName val="[TIMEOATY.XLS]_V_MQADATA_TE_180"/>
      <sheetName val="[TIMEOATY.XLS]_P_MQADATA_TE_180"/>
      <sheetName val="[TIMEOATY.XLS]_C_V_MQADATA__180"/>
      <sheetName val="[TIMEOATY.XLS]_C_P_MQADATA__180"/>
      <sheetName val="[TIMEOATY.XLS]_TEST_TIMEOAT_180"/>
      <sheetName val="[TIMEOATY.XLS]_D_V_MQADATA__174"/>
      <sheetName val="[TIMEOATY.XLS]_TIMEOATY_XLS_794"/>
      <sheetName val="[TIMEOATY.XLS]_TIMEOATY_XLS_795"/>
      <sheetName val="[TIMEOATY.XLS]_TIMEOATY_XLS_796"/>
      <sheetName val="[TIMEOATY.XLS]__192_168_200_290"/>
      <sheetName val="[TIMEOATY.XLS]__192_168_200_291"/>
      <sheetName val="[TIMEOATY.XLS]__10_12_8_248_146"/>
      <sheetName val="[TIMEOATY.XLS]__172_17_31_2_146"/>
      <sheetName val="[TIMEOATY.XLS]_MQADATA_TEST_181"/>
      <sheetName val="[TIMEOATY.XLS]_V_MQADATA_TE_181"/>
      <sheetName val="[TIMEOATY.XLS]_P_MQADATA_TE_181"/>
      <sheetName val="[TIMEOATY.XLS]_C_V_MQADATA__181"/>
      <sheetName val="[TIMEOATY.XLS]_C_P_MQADATA__181"/>
      <sheetName val="[TIMEOATY.XLS]_TEST_TIMEOAT_181"/>
      <sheetName val="[TIMEOATY.XLS]_D_V_MQADATA__175"/>
      <sheetName val="[TIMEOATY.XLS]_TIMEOATY_XLS_797"/>
      <sheetName val="[TIMEOATY.XLS]_TIMEOATY_XLS_798"/>
      <sheetName val="[TIMEOATY.XLS]_TIMEOATY_XLS_799"/>
      <sheetName val="[TIMEOATY.XLS]__192_168_200_292"/>
      <sheetName val="[TIMEOATY.XLS]__192_168_200_293"/>
      <sheetName val="[TIMEOATY.XLS]__10_12_8_248_147"/>
      <sheetName val="[TIMEOATY.XLS]__172_17_31_2_147"/>
      <sheetName val="[TIMEOATY.XLS]_MQADATA_TEST_182"/>
      <sheetName val="[TIMEOATY.XLS]_V_MQADATA_TE_182"/>
      <sheetName val="[TIMEOATY.XLS]_P_MQADATA_TE_182"/>
      <sheetName val="[TIMEOATY.XLS]_C_V_MQADATA__182"/>
      <sheetName val="[TIMEOATY.XLS]_C_P_MQADATA__182"/>
      <sheetName val="[TIMEOATY.XLS]_TEST_TIMEOAT_182"/>
      <sheetName val="[TIMEOATY.XLS]_D_V_MQADATA__176"/>
      <sheetName val="[TIMEOATY.XLS]_TIMEOATY_XLS_800"/>
      <sheetName val="[TIMEOATY.XLS]_TIMEOATY_XLS_801"/>
      <sheetName val="[TIMEOATY.XLS]_TIMEOATY_XLS_802"/>
      <sheetName val="[TIMEOATY.XLS]__192_168_200_294"/>
      <sheetName val="[TIMEOATY.XLS]__192_168_200_295"/>
      <sheetName val="[TIMEOATY.XLS]__10_12_8_248_148"/>
      <sheetName val="[TIMEOATY.XLS]__172_17_31_2_148"/>
      <sheetName val="[TIMEOATY.XLS]_MQADATA_TEST_183"/>
      <sheetName val="[TIMEOATY.XLS]_V_MQADATA_TE_183"/>
      <sheetName val="[TIMEOATY.XLS]_P_MQADATA_TE_183"/>
      <sheetName val="[TIMEOATY.XLS]_C_V_MQADATA__183"/>
      <sheetName val="[TIMEOATY.XLS]_C_P_MQADATA__183"/>
      <sheetName val="[TIMEOATY.XLS]_TEST_TIMEOAT_183"/>
      <sheetName val="[TIMEOATY.XLS]_D_V_MQADATA__177"/>
      <sheetName val="[TIMEOATY.XLS]_TIMEOATY_XLS_803"/>
      <sheetName val="[TIMEOATY.XLS]_TIMEOATY_XLS_804"/>
      <sheetName val="[TIMEOATY.XLS]_TIMEOATY_XLS_805"/>
      <sheetName val="[TIMEOATY.XLS]__192_168_200_296"/>
      <sheetName val="[TIMEOATY.XLS]__192_168_200_297"/>
      <sheetName val="[TIMEOATY.XLS]__10_12_8_248_149"/>
      <sheetName val="[TIMEOATY.XLS]__172_17_31_2_149"/>
      <sheetName val="[TIMEOATY.XLS]_MQADATA_TEST_184"/>
      <sheetName val="[TIMEOATY.XLS]_V_MQADATA_TE_184"/>
      <sheetName val="[TIMEOATY.XLS]_P_MQADATA_TE_184"/>
      <sheetName val="[TIMEOATY.XLS]_C_V_MQADATA__184"/>
      <sheetName val="[TIMEOATY.XLS]_C_P_MQADATA__184"/>
      <sheetName val="[TIMEOATY.XLS]_TEST_TIMEOAT_184"/>
      <sheetName val="[TIMEOATY.XLS]_D_V_MQADATA__178"/>
      <sheetName val="[TIMEOATY.XLS]_TIMEOATY_XLS_806"/>
      <sheetName val="[TIMEOATY.XLS]_TIMEOATY_XLS_807"/>
      <sheetName val="[TIMEOATY.XLS]_TIMEOATY_XLS_808"/>
      <sheetName val="[TIMEOATY.XLS]__192_168_200_298"/>
      <sheetName val="[TIMEOATY.XLS]__192_168_200_299"/>
      <sheetName val="[TIMEOATY.XLS]__10_12_8_248_150"/>
      <sheetName val="[TIMEOATY.XLS]__172_17_31_2_150"/>
      <sheetName val="[TIMEOATY.XLS]_MQADATA_TEST_185"/>
      <sheetName val="[TIMEOATY.XLS]_V_MQADATA_TE_185"/>
      <sheetName val="[TIMEOATY.XLS]_P_MQADATA_TE_185"/>
      <sheetName val="[TIMEOATY.XLS]_C_V_MQADATA__185"/>
      <sheetName val="[TIMEOATY.XLS]_C_P_MQADATA__185"/>
      <sheetName val="[TIMEOATY.XLS]_TEST_TIMEOAT_185"/>
      <sheetName val="[TIMEOATY.XLS]_D_V_MQADATA__179"/>
      <sheetName val="[TIMEOATY.XLS]_TIMEOATY_XLS_809"/>
      <sheetName val="[TIMEOATY.XLS]_TIMEOATY_XLS_810"/>
      <sheetName val="[TIMEOATY.XLS]_TIMEOATY_XLS_811"/>
      <sheetName val="[TIMEOATY.XLS]__192_168_200_300"/>
      <sheetName val="[TIMEOATY.XLS]__192_168_200_301"/>
      <sheetName val="[TIMEOATY.XLS]__10_12_8_248_151"/>
      <sheetName val="[TIMEOATY.XLS]__172_17_31_2_151"/>
      <sheetName val="[TIMEOATY.XLS]_MQADATA_TEST_186"/>
      <sheetName val="[TIMEOATY.XLS]_V_MQADATA_TE_186"/>
      <sheetName val="[TIMEOATY.XLS]_P_MQADATA_TE_186"/>
      <sheetName val="[TIMEOATY.XLS]_C_V_MQADATA__186"/>
      <sheetName val="[TIMEOATY.XLS]_C_P_MQADATA__186"/>
      <sheetName val="[TIMEOATY.XLS]_TEST_TIMEOAT_186"/>
      <sheetName val="[TIMEOATY.XLS]_D_V_MQADATA__180"/>
      <sheetName val="[TIMEOATY.XLS]_TIMEOATY_XLS_812"/>
      <sheetName val="[TIMEOATY.XLS]_TIMEOATY_XLS_813"/>
      <sheetName val="[TIMEOATY.XLS]_TIMEOATY_XLS_814"/>
      <sheetName val="[TIMEOATY.XLS]__192_168_200_302"/>
      <sheetName val="[TIMEOATY.XLS]__192_168_200_303"/>
      <sheetName val="[TIMEOATY.XLS]__10_12_8_248_152"/>
      <sheetName val="[TIMEOATY.XLS]__172_17_31_2_152"/>
      <sheetName val="[TIMEOATY.XLS]_MQADATA_TEST_187"/>
      <sheetName val="[TIMEOATY.XLS]_V_MQADATA_TE_187"/>
      <sheetName val="[TIMEOATY.XLS]_P_MQADATA_TE_187"/>
      <sheetName val="[TIMEOATY.XLS]_C_V_MQADATA__187"/>
      <sheetName val="[TIMEOATY.XLS]_C_P_MQADATA__187"/>
      <sheetName val="[TIMEOATY.XLS]_TEST_TIMEOAT_187"/>
      <sheetName val="[TIMEOATY.XLS]_D_V_MQADATA__181"/>
      <sheetName val="[TIMEOATY.XLS]_TIMEOATY_XLS_821"/>
      <sheetName val="[TIMEOATY.XLS]_TIMEOATY_XLS_822"/>
      <sheetName val="[TIMEOATY.XLS]_TIMEOATY_XLS_823"/>
      <sheetName val="[TIMEOATY.XLS]__192_168_200_306"/>
      <sheetName val="[TIMEOATY.XLS]__192_168_200_307"/>
      <sheetName val="[TIMEOATY.XLS]__10_12_8_248_154"/>
      <sheetName val="[TIMEOATY.XLS]__172_17_31_2_154"/>
      <sheetName val="[TIMEOATY.XLS]_MQADATA_TEST_189"/>
      <sheetName val="[TIMEOATY.XLS]_V_MQADATA_TE_189"/>
      <sheetName val="[TIMEOATY.XLS]_TIMEOATY_XLS_824"/>
      <sheetName val="[TIMEOATY.XLS]_TIMEOATY_XLS_825"/>
      <sheetName val="[TIMEOATY.XLS]_P_MQADATA_TE_189"/>
      <sheetName val="[TIMEOATY.XLS]_TIMEOATY_XLS_826"/>
      <sheetName val="[TIMEOATY.XLS]_C_V_MQADATA__189"/>
      <sheetName val="[TIMEOATY.XLS]_C_P_MQADATA__189"/>
      <sheetName val="[TIMEOATY.XLS]_TEST_TIMEOAT_189"/>
      <sheetName val="[TIMEOATY.XLS]_D_V_MQADATA__183"/>
      <sheetName val="[TIMEOATY.XLS]_TIMEOATY_XLS_827"/>
      <sheetName val="[TIMEOATY.XLS]_TIMEOATY_XLS_828"/>
      <sheetName val="[TIMEOATY.XLS]_TIMEOATY_XLS_829"/>
      <sheetName val="[TIMEOATY.XLS]__192_168_200_308"/>
      <sheetName val="[TIMEOATY.XLS]__192_168_200_309"/>
      <sheetName val="[TIMEOATY.XLS]__10_12_8_248_155"/>
      <sheetName val="[TIMEOATY.XLS]__172_17_31_2_155"/>
      <sheetName val="[TIMEOATY.XLS]_MQADATA_TEST_190"/>
      <sheetName val="[TIMEOATY.XLS]_V_MQADATA_TE_190"/>
      <sheetName val="[TIMEOATY.XLS]_TIMEOATY_XLS_830"/>
      <sheetName val="[TIMEOATY.XLS]_TIMEOATY_XLS_831"/>
      <sheetName val="[TIMEOATY.XLS]_P_MQADATA_TE_190"/>
      <sheetName val="[TIMEOATY.XLS]_TIMEOATY_XLS_832"/>
      <sheetName val="[TIMEOATY.XLS]_C_V_MQADATA__190"/>
      <sheetName val="[TIMEOATY.XLS]_C_P_MQADATA__190"/>
      <sheetName val="[TIMEOATY.XLS]_TEST_TIMEOAT_190"/>
      <sheetName val="[TIMEOATY.XLS]_D_V_MQADATA__184"/>
      <sheetName val="[TIMEOATY.XLS]_TIMEOATY_XLS_839"/>
      <sheetName val="[TIMEOATY.XLS]_TIMEOATY_XLS_840"/>
      <sheetName val="[TIMEOATY.XLS]_TIMEOATY_XLS_841"/>
      <sheetName val="[TIMEOATY.XLS]_TIMEOATY_XLS_833"/>
      <sheetName val="[TIMEOATY.XLS]_TIMEOATY_XLS_834"/>
      <sheetName val="[TIMEOATY.XLS]_TIMEOATY_XLS_835"/>
      <sheetName val="[TIMEOATY.XLS]_TIMEOATY_XLS_836"/>
      <sheetName val="[TIMEOATY.XLS]_TIMEOATY_XLS_837"/>
      <sheetName val="[TIMEOATY.XLS]_TIMEOATY_XLS_838"/>
      <sheetName val="[TIMEOATY.XLS]_TIMEOATY_XLS_842"/>
      <sheetName val="[TIMEOATY.XLS]_TIMEOATY_XLS_843"/>
      <sheetName val="[TIMEOATY.XLS]_TIMEOATY_XLS_844"/>
      <sheetName val="[TIMEOATY.XLS]_MQADATA_TEST_191"/>
      <sheetName val="[TIMEOATY.XLS]_V_MQADATA_TE_191"/>
      <sheetName val="[TIMEOATY.XLS]_TIMEOATY_XLS_845"/>
      <sheetName val="[TIMEOATY.XLS]_TIMEOATY_XLS_846"/>
      <sheetName val="[TIMEOATY.XLS]_P_MQADATA_TE_191"/>
      <sheetName val="[TIMEOATY.XLS]_TIMEOATY_XLS_847"/>
      <sheetName val="[TIMEOATY.XLS]_C_V_MQADATA__191"/>
      <sheetName val="[TIMEOATY.XLS]_C_P_MQADATA__191"/>
      <sheetName val="[TIMEOATY.XLS]_TEST_TIMEOAT_191"/>
      <sheetName val="[TIMEOATY.XLS]__192_168_200_310"/>
      <sheetName val="[TIMEOATY.XLS]__192_168_200_311"/>
      <sheetName val="[TIMEOATY.XLS]__10_12_8_248_156"/>
      <sheetName val="[TIMEOATY.XLS]_D_V_MQADATA__185"/>
      <sheetName val="[TIMEOATY.XLS]__172_17_31_2_156"/>
      <sheetName val="[TIMEOATY.XLS]__192_168_200_312"/>
      <sheetName val="[TIMEOATY.XLS]__192_168_200_313"/>
      <sheetName val="[TIMEOATY.XLS]__10_12_8_248_157"/>
      <sheetName val="[TIMEOATY.XLS]__172_17_31_2_157"/>
      <sheetName val="[TIMEOATY.XLS]_MQADATA_TEST_192"/>
      <sheetName val="[TIMEOATY.XLS]_V_MQADATA_TE_192"/>
      <sheetName val="[TIMEOATY.XLS]_TIMEOATY_XLS_848"/>
      <sheetName val="[TIMEOATY.XLS]_TIMEOATY_XLS_849"/>
      <sheetName val="[TIMEOATY.XLS]_P_MQADATA_TE_192"/>
      <sheetName val="[TIMEOATY.XLS]_TIMEOATY_XLS_850"/>
      <sheetName val="[TIMEOATY.XLS]_C_V_MQADATA__192"/>
      <sheetName val="[TIMEOATY.XLS]_C_P_MQADATA__192"/>
      <sheetName val="[TIMEOATY.XLS]_TEST_TIMEOAT_192"/>
      <sheetName val="[TIMEOATY.XLS]_D_V_MQADATA__186"/>
      <sheetName val="[TIMEOATY.XLS]__192_168_200_314"/>
      <sheetName val="[TIMEOATY.XLS]__192_168_200_315"/>
      <sheetName val="[TIMEOATY.XLS]__10_12_8_248_158"/>
      <sheetName val="[TIMEOATY.XLS]__172_17_31_2_158"/>
      <sheetName val="[TIMEOATY.XLS]_MQADATA_TEST_193"/>
      <sheetName val="[TIMEOATY.XLS]_V_MQADATA_TE_193"/>
      <sheetName val="[TIMEOATY.XLS]_TIMEOATY_XLS_851"/>
      <sheetName val="[TIMEOATY.XLS]_TIMEOATY_XLS_852"/>
      <sheetName val="[TIMEOATY.XLS]_P_MQADATA_TE_193"/>
      <sheetName val="[TIMEOATY.XLS]_TIMEOATY_XLS_853"/>
      <sheetName val="[TIMEOATY.XLS]_C_V_MQADATA__193"/>
      <sheetName val="[TIMEOATY.XLS]_C_P_MQADATA__193"/>
      <sheetName val="[TIMEOATY.XLS]_TEST_TIMEOAT_193"/>
      <sheetName val="[TIMEOATY.XLS]_D_V_MQADATA__187"/>
      <sheetName val="[TIMEOATY.XLS]__192_168_200_316"/>
      <sheetName val="[TIMEOATY.XLS]__192_168_200_317"/>
      <sheetName val="[TIMEOATY.XLS]__10_12_8_248_159"/>
      <sheetName val="[TIMEOATY.XLS]__172_17_31_2_159"/>
      <sheetName val="[TIMEOATY.XLS]_MQADATA_TEST_194"/>
      <sheetName val="[TIMEOATY.XLS]_V_MQADATA_TE_194"/>
      <sheetName val="[TIMEOATY.XLS]_TIMEOATY_XLS_854"/>
      <sheetName val="[TIMEOATY.XLS]_TIMEOATY_XLS_855"/>
      <sheetName val="[TIMEOATY.XLS]_P_MQADATA_TE_194"/>
      <sheetName val="[TIMEOATY.XLS]_TIMEOATY_XLS_856"/>
      <sheetName val="[TIMEOATY.XLS]_C_V_MQADATA__194"/>
      <sheetName val="[TIMEOATY.XLS]_C_P_MQADATA__194"/>
      <sheetName val="[TIMEOATY.XLS]_TEST_TIMEOAT_194"/>
      <sheetName val="[TIMEOATY.XLS]_D_V_MQADATA__188"/>
      <sheetName val="[TIMEOATY.XLS]_MQADATA_TEST_196"/>
      <sheetName val="[TIMEOATY.XLS]_V_MQADATA_TE_196"/>
      <sheetName val="[TIMEOATY.XLS]_TIMEOATY_XLS_863"/>
      <sheetName val="[TIMEOATY.XLS]_TIMEOATY_XLS_864"/>
      <sheetName val="[TIMEOATY.XLS]_P_MQADATA_TE_196"/>
      <sheetName val="[TIMEOATY.XLS]_TIMEOATY_XLS_865"/>
      <sheetName val="[TIMEOATY.XLS]_C_V_MQADATA__196"/>
      <sheetName val="[TIMEOATY.XLS]_C_P_MQADATA__196"/>
      <sheetName val="[TIMEOATY.XLS]_TEST_TIMEOAT_196"/>
      <sheetName val="[TIMEOATY.XLS]__192_168_200_320"/>
      <sheetName val="[TIMEOATY.XLS]__192_168_200_321"/>
      <sheetName val="[TIMEOATY.XLS]__10_12_8_248_161"/>
      <sheetName val="[TIMEOATY.XLS]_D_V_MQADATA__190"/>
      <sheetName val="[TIMEOATY.XLS]__172_17_31_2_161"/>
      <sheetName val="[TIMEOATY.XLS]_TIMEOATY_XLS_860"/>
      <sheetName val="[TIMEOATY.XLS]_TIMEOATY_XLS_861"/>
      <sheetName val="[TIMEOATY.XLS]_TIMEOATY_XLS_862"/>
      <sheetName val="[TIMEOATY.XLS]_MQADATA_TEST_195"/>
      <sheetName val="[TIMEOATY.XLS]_V_MQADATA_TE_195"/>
      <sheetName val="[TIMEOATY.XLS]_P_MQADATA_TE_195"/>
      <sheetName val="[TIMEOATY.XLS]_C_V_MQADATA__195"/>
      <sheetName val="[TIMEOATY.XLS]_C_P_MQADATA__195"/>
      <sheetName val="[TIMEOATY.XLS]_TEST_TIMEOAT_195"/>
      <sheetName val="[TIMEOATY.XLS]__192_168_200_318"/>
      <sheetName val="[TIMEOATY.XLS]__192_168_200_319"/>
      <sheetName val="[TIMEOATY.XLS]__10_12_8_248_160"/>
      <sheetName val="[TIMEOATY.XLS]_D_V_MQADATA__189"/>
      <sheetName val="[TIMEOATY.XLS]__172_17_31_2_160"/>
      <sheetName val="[TIMEOATY.XLS]_TIMEOATY_XLS_857"/>
      <sheetName val="[TIMEOATY.XLS]_TIMEOATY_XLS_858"/>
      <sheetName val="[TIMEOATY.XLS]_TIMEOATY_XLS_859"/>
      <sheetName val="[TIMEOATY.XLS]__192_168_200_322"/>
      <sheetName val="[TIMEOATY.XLS]__192_168_200_323"/>
      <sheetName val="[TIMEOATY.XLS]__10_12_8_248_162"/>
      <sheetName val="[TIMEOATY.XLS]__172_17_31_2_162"/>
      <sheetName val="[TIMEOATY.XLS]_MQADATA_TEST_197"/>
      <sheetName val="[TIMEOATY.XLS]_V_MQADATA_TE_197"/>
      <sheetName val="[TIMEOATY.XLS]_TIMEOATY_XLS_866"/>
      <sheetName val="[TIMEOATY.XLS]_TIMEOATY_XLS_867"/>
      <sheetName val="[TIMEOATY.XLS]_P_MQADATA_TE_197"/>
      <sheetName val="[TIMEOATY.XLS]_TIMEOATY_XLS_868"/>
      <sheetName val="[TIMEOATY.XLS]_C_V_MQADATA__197"/>
      <sheetName val="[TIMEOATY.XLS]_C_P_MQADATA__197"/>
      <sheetName val="[TIMEOATY.XLS]_TEST_TIMEOAT_197"/>
      <sheetName val="[TIMEOATY.XLS]_D_V_MQADATA__191"/>
      <sheetName val="[TIMEOATY.XLS]_MQADATA_TEST_201"/>
      <sheetName val="[TIMEOATY.XLS]_MQADATA_TEST_200"/>
      <sheetName val="[TIMEOATY.XLS]_MQADATA_TEST_202"/>
      <sheetName val="[TIMEOATY.XLS]_MQADATA_TEST_205"/>
      <sheetName val="[TIMEOATY.XLS]_MQADATA_TEST_203"/>
      <sheetName val="[TIMEOATY.XLS]_MQADATA_TEST_204"/>
      <sheetName val="[TIMEOATY.XLS]_MQADATA_TEST_208"/>
      <sheetName val="[TIMEOATY.XLS]_MQADATA_TEST_206"/>
      <sheetName val="[TIMEOATY.XLS]_MQADATA_TEST_207"/>
      <sheetName val="[TIMEOATY.XLS]_MQADATA_TEST_209"/>
      <sheetName val="[TIMEOATY.XLS]_MQADATA_TEST_211"/>
      <sheetName val="[TIMEOATY.XLS]_MQADATA_TEST_210"/>
      <sheetName val="[TIMEOATY.XLS]_MQADATA_TEST_212"/>
      <sheetName val="[TIMEOATY.XLS]_MQADATA_TEST_213"/>
      <sheetName val="[TIMEOATY.XLS]_MQADATA_TEST_214"/>
      <sheetName val="[TIMEOATY.XLS]_MQADATA_TEST_215"/>
      <sheetName val="[TIMEOATY.XLS]_MQADATA_TEST_217"/>
      <sheetName val="[TIMEOATY.XLS]_MQADATA_TEST_216"/>
      <sheetName val="[TIMEOATY.XLS]_MQADATA_TEST_218"/>
      <sheetName val="[TIMEOATY.XLS]_MQADATA_TEST_219"/>
      <sheetName val="附图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ckage"/>
      <sheetName val="Database"/>
      <sheetName val="电解液灌注量"/>
      <sheetName val="Fading"/>
      <sheetName val="Pleteau"/>
      <sheetName val="E4"/>
      <sheetName val="E4 ADE-5"/>
      <sheetName val="高低温"/>
      <sheetName val="Sheet2"/>
      <sheetName val="Fading_Data"/>
      <sheetName val="DCR"/>
      <sheetName val="-20℃ DCR"/>
      <sheetName val="pe"/>
      <sheetName val="TMK280-02"/>
      <sheetName val="CD_Data"/>
      <sheetName val="815094winding structrue"/>
      <sheetName val="0612B0609011-1"/>
      <sheetName val="6.阳极涂布产能"/>
      <sheetName val="DR-061361201014"/>
      <sheetName val="DR-061361201031"/>
      <sheetName val="DR-061361201059"/>
      <sheetName val="DR-061361202023"/>
      <sheetName val="DR-061361202036"/>
      <sheetName val="DR-061361202054"/>
      <sheetName val="DR-061361203010"/>
      <sheetName val="DR-061361203018"/>
      <sheetName val="DR-061361203042"/>
      <sheetName val="DR-061361204004"/>
      <sheetName val="DR-061361204009"/>
      <sheetName val="DR-061361204055"/>
      <sheetName val="DCR-Summary"/>
      <sheetName val="HL-061362201030"/>
      <sheetName val="HL-061362201031"/>
      <sheetName val="HL-061362201033"/>
      <sheetName val="HL-061362202021"/>
      <sheetName val="HL-061362202030"/>
      <sheetName val="HL-061362202032"/>
      <sheetName val="HL-061362203001"/>
      <sheetName val="HL-061362203006"/>
      <sheetName val="HL-061362203015"/>
      <sheetName val="HL-061362204016"/>
      <sheetName val="HL-061362204018"/>
      <sheetName val="HL-061362204027"/>
      <sheetName val="11N247400018"/>
      <sheetName val="11N245500316"/>
      <sheetName val="11N245500334"/>
      <sheetName val="11N245600085"/>
      <sheetName val="11N246200145"/>
      <sheetName val="11N246200205"/>
      <sheetName val="11N242600073"/>
      <sheetName val="11N243100006"/>
      <sheetName val="11N244200143"/>
      <sheetName val="11N241400228"/>
      <sheetName val="11N224200012"/>
      <sheetName val="11N231200041"/>
      <sheetName val="11N232500296"/>
      <sheetName val="data"/>
      <sheetName val="Electrode"/>
      <sheetName val="倍率"/>
      <sheetName val="Rate"/>
      <sheetName val="14447NA2"/>
      <sheetName val="14447-NA"/>
      <sheetName val="14447-N1"/>
      <sheetName val="Category"/>
      <sheetName val="Capacity Retention_Data"/>
      <sheetName val="Sheet1"/>
      <sheetName val="E4_ADE-5"/>
      <sheetName val="6_阳极涂布产能"/>
      <sheetName val="0206NA01"/>
      <sheetName val="0206NA02"/>
      <sheetName val="0206NA03"/>
      <sheetName val="0206NA04"/>
      <sheetName val="0206NA06"/>
      <sheetName val="0206NA07"/>
      <sheetName val="0206NA08"/>
      <sheetName val="0206NA09"/>
      <sheetName val="0206NA10"/>
      <sheetName val="0206NA11"/>
      <sheetName val="0206NA12"/>
      <sheetName val="0206NA13"/>
      <sheetName val="0206NA14"/>
      <sheetName val="0206NA15"/>
      <sheetName val="0206NA16"/>
      <sheetName val="0206NA17"/>
      <sheetName val="0206NA05"/>
      <sheetName val="SLS-F-D1-1.xls2"/>
      <sheetName val="SLS-F-D1-2.xls3"/>
      <sheetName val="SLS-F-D1-3.xls4"/>
      <sheetName val="SLS-F-D1-5.xls6"/>
      <sheetName val="Sheet3"/>
      <sheetName val="常用PN"/>
      <sheetName val="RDP-3-1201L ADE-5 to improve ov"/>
      <sheetName val="HPPC "/>
      <sheetName val="Fading_Data (3)"/>
      <sheetName val="Fading_Data (2)"/>
      <sheetName val="测试列表"/>
      <sheetName val="E4_ADE-51"/>
      <sheetName val="6_阳极涂布产能1"/>
      <sheetName val="815094winding_structrue"/>
      <sheetName val="Capacity_Retention_Data"/>
      <sheetName val="SLS-F-D1-1_xls2"/>
      <sheetName val="SLS-F-D1-2_xls3"/>
      <sheetName val="SLS-F-D1-3_xls4"/>
      <sheetName val="SLS-F-D1-5_xls6"/>
      <sheetName val="RDP-3-1201L_ADE-5_to_improve_ov"/>
      <sheetName val="HPPC_"/>
      <sheetName val="Fading_Data_(3)"/>
      <sheetName val="Fading_Data_(2)"/>
      <sheetName val="E4_ADE-52"/>
      <sheetName val="6_阳极涂布产能2"/>
      <sheetName val="815094winding_structrue1"/>
      <sheetName val="Capacity_Retention_Data1"/>
      <sheetName val="SLS-F-D1-1_xls21"/>
      <sheetName val="SLS-F-D1-2_xls31"/>
      <sheetName val="SLS-F-D1-3_xls41"/>
      <sheetName val="SLS-F-D1-5_xls61"/>
      <sheetName val="RDP-3-1201L_ADE-5_to_improve_o1"/>
      <sheetName val="HPPC_1"/>
      <sheetName val="Fading_Data_(3)1"/>
      <sheetName val="Fading_Data_(2)1"/>
      <sheetName val="E4_ADE-53"/>
      <sheetName val="6_阳极涂布产能3"/>
      <sheetName val="815094winding_structrue2"/>
      <sheetName val="Capacity_Retention_Data2"/>
      <sheetName val="SLS-F-D1-1_xls22"/>
      <sheetName val="SLS-F-D1-2_xls32"/>
      <sheetName val="SLS-F-D1-3_xls42"/>
      <sheetName val="SLS-F-D1-5_xls62"/>
      <sheetName val="RDP-3-1201L_ADE-5_to_improve_o2"/>
      <sheetName val="HPPC_2"/>
      <sheetName val="Fading_Data_(3)2"/>
      <sheetName val="Fading_Data_(2)2"/>
      <sheetName val="参数表"/>
      <sheetName val="3-8"/>
      <sheetName val="数据统计"/>
      <sheetName val="2_Powermap simple(DC)"/>
      <sheetName val="45Degc 4C1C_30_DCR"/>
      <sheetName val="流程说明"/>
      <sheetName val="其它文件登记"/>
      <sheetName val="数据有效性"/>
      <sheetName val="Project code"/>
      <sheetName val="类别分类"/>
      <sheetName val="MI号"/>
      <sheetName val="问题类别区域分组"/>
      <sheetName val="Raw data"/>
      <sheetName val="PC summary"/>
      <sheetName val="Summarize"/>
      <sheetName val="data3 "/>
      <sheetName val="EIS Data"/>
      <sheetName val="分类汇总"/>
      <sheetName val="Pressure_Data"/>
      <sheetName val="Analysis"/>
      <sheetName val="使用说明"/>
      <sheetName val="备注"/>
      <sheetName val="需求分析、产品开发和技术预研 项目管理关系图"/>
      <sheetName val="cover"/>
      <sheetName val="修订履历"/>
      <sheetName val="范围 目的 主流程目录"/>
      <sheetName val="里程碑及关键流程一览表"/>
      <sheetName val="设计与开发流程描述"/>
      <sheetName val="设计与开发流程 to do list 清单"/>
      <sheetName val="子流程清单"/>
      <sheetName val="Appendix"/>
      <sheetName val="70℃存储产气"/>
      <sheetName val="70℃存储"/>
      <sheetName val="存储"/>
      <sheetName val="Sheet1 (2)"/>
      <sheetName val="Sheet 2"/>
      <sheetName val="SW-TEO"/>
      <sheetName val="#REF!"/>
      <sheetName val="选项"/>
      <sheetName val="DRATE-Summary"/>
      <sheetName val="DR-0617AA701117"/>
      <sheetName val="DR-0617AA701118"/>
      <sheetName val="拉线清单"/>
      <sheetName val="CRate"/>
      <sheetName val="设备名称"/>
      <sheetName val="统计说明"/>
      <sheetName val="模版说明"/>
      <sheetName val="人员名单"/>
      <sheetName val="Task_LOP_Summarize"/>
      <sheetName val="等级定义"/>
      <sheetName val="Remark"/>
      <sheetName val="图表"/>
      <sheetName val="数据统计--勿改"/>
      <sheetName val="基础设定"/>
      <sheetName val="C Rate"/>
      <sheetName val="CR-061850906024"/>
      <sheetName val="CR-061850906023"/>
      <sheetName val="CRATE-Summary"/>
      <sheetName val="Open"/>
      <sheetName val="标准&amp;要求"/>
      <sheetName val="model"/>
      <sheetName val="Calendar"/>
      <sheetName val="配置界面"/>
      <sheetName val="基础数据"/>
      <sheetName val="类别设置"/>
      <sheetName val="A"/>
      <sheetName val="基础信息表"/>
      <sheetName val="信息管理"/>
      <sheetName val="Sheet5"/>
      <sheetName val="cycle低"/>
      <sheetName val="25oC cls swel低"/>
      <sheetName val="12oC cls swel低"/>
      <sheetName val="cycle中"/>
      <sheetName val="45oC cls swel中"/>
      <sheetName val="25oC cls swel中"/>
      <sheetName val="12oC cls swel中"/>
      <sheetName val="45oC cls swel低"/>
      <sheetName val="cycle超低"/>
      <sheetName val="45oC cls swel超低"/>
      <sheetName val="25oC cls swel超低"/>
      <sheetName val="25℃ cycle"/>
      <sheetName val="45℃ cycle"/>
      <sheetName val="数据连接"/>
      <sheetName val="问题类别"/>
      <sheetName val="新分类"/>
      <sheetName val="下拉选（设置完成后隐藏）"/>
      <sheetName val="材料数据库"/>
      <sheetName val="附件1_Address List"/>
      <sheetName val="基础配置"/>
      <sheetName val="问题类别 "/>
      <sheetName val="选择清单"/>
      <sheetName val="附件二 系统原因分类"/>
      <sheetName val="附件一 工序名称"/>
      <sheetName val="附件"/>
      <sheetName val="车间布置图 "/>
      <sheetName val="Matrix矩阵"/>
      <sheetName val="Backup数据"/>
      <sheetName val="物料清单"/>
      <sheetName val="Anode"/>
      <sheetName val="Tab"/>
      <sheetName val="Packing foil"/>
      <sheetName val="Separator"/>
      <sheetName val="Current collector"/>
      <sheetName val="MRP"/>
      <sheetName val="FA-LISTING"/>
      <sheetName val="滯料RAW_Data"/>
      <sheetName val="呆料RAW_Data"/>
      <sheetName val="EV Project Schedule Rev.01"/>
      <sheetName val="个人欠款账龄分析表"/>
      <sheetName val="Equipment Req Plan"/>
      <sheetName val="CU"/>
      <sheetName val="Units"/>
      <sheetName val="定容评测"/>
      <sheetName val="1-0. DMD"/>
      <sheetName val="당월(1)"/>
      <sheetName val="DATAT"/>
      <sheetName val="Share Prices"/>
      <sheetName val="CBU"/>
      <sheetName val="03-产能(按平台）"/>
      <sheetName val="B.2"/>
      <sheetName val="E.2"/>
      <sheetName val="C.3"/>
      <sheetName val="Index"/>
      <sheetName val="#REF"/>
      <sheetName val="E Goal"/>
      <sheetName val="E_KSR"/>
      <sheetName val="All_KSR"/>
      <sheetName val="P Goal"/>
      <sheetName val="P_KSR"/>
      <sheetName val="說明"/>
      <sheetName val="125PIECE"/>
      <sheetName val="Part (Initial A)"/>
      <sheetName val="Currency"/>
      <sheetName val="L EQ"/>
      <sheetName val="resume"/>
      <sheetName val="Fab Output Plan"/>
      <sheetName val="ISRDATA"/>
      <sheetName val="Input commodity fallout"/>
      <sheetName val="Reporting"/>
      <sheetName val="series pricing"/>
      <sheetName val="PV6 3.5L LX5 GMX170"/>
      <sheetName val="汇总表"/>
      <sheetName val="Oct"/>
      <sheetName val="COG"/>
      <sheetName val="Assumptions sheet"/>
      <sheetName val="Pick lists"/>
      <sheetName val="填表说明"/>
      <sheetName val="fenxi(内)"/>
      <sheetName val="社保公积金比例"/>
      <sheetName val="能源报表"/>
      <sheetName val="电池片10条生产线 "/>
      <sheetName val="CALCUL"/>
      <sheetName val="TbList"/>
      <sheetName val="WEIGHT"/>
      <sheetName val="13、管理部门_仓储办"/>
      <sheetName val="MASTER"/>
      <sheetName val="Assumptions sheet raw material"/>
      <sheetName val="Language"/>
      <sheetName val="Material"/>
      <sheetName val="SBM-devices-FWZ"/>
      <sheetName val="Tabelle1"/>
      <sheetName val="投资条款汇总"/>
      <sheetName val="Sheet371"/>
    </sheetNames>
    <sheetDataSet>
      <sheetData sheetId="0" refreshError="1"/>
      <sheetData sheetId="1" refreshError="1"/>
      <sheetData sheetId="2" refreshError="1">
        <row r="3">
          <cell r="A3" t="str">
            <v>Lot1</v>
          </cell>
        </row>
        <row r="58">
          <cell r="A58" t="str">
            <v>GroupA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for ENG Data Process 2000"/>
      <sheetName val="Sheet3"/>
      <sheetName val="IwSweep"/>
      <sheetName val="Sheet2"/>
      <sheetName val="SpiSNR"/>
      <sheetName val="RoadMap_old"/>
      <sheetName val="PD design"/>
      <sheetName val="3-side shielded cavity"/>
      <sheetName val="Process Steps"/>
      <sheetName val="Process Modified"/>
      <sheetName val="DFH effect"/>
      <sheetName val="TMR effect"/>
      <sheetName val="DPData"/>
      <sheetName val="TestCondition"/>
      <sheetName val="Failed_Count"/>
      <sheetName val="2-2"/>
      <sheetName val="2-3"/>
      <sheetName val="2-4"/>
      <sheetName val="2-5"/>
      <sheetName val="2-6"/>
      <sheetName val="2-7"/>
      <sheetName val="2-8"/>
      <sheetName val="2-9"/>
      <sheetName val="2-10"/>
      <sheetName val="2-11"/>
      <sheetName val="UP delta mean"/>
      <sheetName val="#REF"/>
      <sheetName val="0612B0609027-1"/>
      <sheetName val="0612B0609029-1"/>
      <sheetName val="CD_Data"/>
      <sheetName val="Macro%20for%20ENG%20Data%20Proc"/>
      <sheetName val="Fading_Data (2)"/>
      <sheetName val="Fading_Data"/>
      <sheetName val="荷电保持"/>
      <sheetName val="ISRDATA"/>
      <sheetName val="Sheet371"/>
      <sheetName val="3-8"/>
      <sheetName val="3-9"/>
      <sheetName val="model"/>
      <sheetName val="Database"/>
      <sheetName val="\C2000\Macro\Macro for ENG Data"/>
      <sheetName val="\A\C2000\Macro\Macro for ENG Da"/>
      <sheetName val="\C\A\C2000\Macro\Macro for ENG "/>
      <sheetName val="\C\C\A\C2000\Macro\Macro for EN"/>
      <sheetName val="\C\C\C\A\C2000\Macro\Macro for "/>
      <sheetName val="\@\nd-ri-rfile\rfile\C2000\Macr"/>
      <sheetName val="_C2000_Macro_Macro for ENG Data"/>
      <sheetName val="_A_C2000_Macro_Macro for ENG Da"/>
      <sheetName val="_C_A_C2000_Macro_Macro for ENG "/>
      <sheetName val="_C_C_A_C2000_Macro_Macro for EN"/>
      <sheetName val="_C_C_C_A_C2000_Macro_Macro for "/>
      <sheetName val="_@_nd-ri-rfile_rfile_C2000_Macr"/>
      <sheetName val="Sheet 2"/>
      <sheetName val="Common"/>
      <sheetName val="Macro_for_ENG_Data_Process_2000"/>
      <sheetName val="PD_design"/>
      <sheetName val="3-side_shielded_cavity"/>
      <sheetName val="Process_Steps"/>
      <sheetName val="Process_Modified"/>
      <sheetName val="DFH_effect"/>
      <sheetName val="TMR_effect"/>
      <sheetName val="UP_delta_mean"/>
      <sheetName val="H3B38FBY"/>
      <sheetName val="DLC20 20"/>
      <sheetName val="RBCUT_9RB-38"/>
      <sheetName val="DEPO-22"/>
      <sheetName val="Title"/>
      <sheetName val="DataSheet"/>
      <sheetName val="ALｱｳﾄﾌﾟｯﾄ能力表"/>
      <sheetName val="国内他社市場"/>
      <sheetName val="DEFINITION"/>
      <sheetName val="less CT"/>
      <sheetName val="R+"/>
      <sheetName val="DP"/>
      <sheetName val="전사집계"/>
      <sheetName val="Calendar"/>
      <sheetName val="RWﾊﾞｼﾞｪｯﾄ書式(V4.2)"/>
      <sheetName val="2748TROまとめ"/>
      <sheetName val="OUTPUT"/>
      <sheetName val="\Users\dengyan\AppData\Local\Mi"/>
      <sheetName val="\C\Users\dengyan\AppData\Local\"/>
      <sheetName val="\C\C\Users\dengyan\AppData\Loca"/>
      <sheetName val="Capacity Retention_Data"/>
      <sheetName val="Stand Capacity Retention_Data"/>
      <sheetName val="Macro%2520for%2520ENG%2520Data%"/>
      <sheetName val="98종합"/>
      <sheetName val="\Users\Angela.Jin\Library\Conta"/>
      <sheetName val="\C\Users\Angela.Jin\Library\Con"/>
      <sheetName val="\C\C\Users\Angela.Jin\Library\C"/>
      <sheetName val="\C\C\C\Users\Angela.Jin\Library"/>
      <sheetName val="\C\C\C\C\Users\Angela.Jin\Libra"/>
      <sheetName val="\C\C\C\C\C\Users\Angela.Jin\Lib"/>
      <sheetName val="Administrative"/>
      <sheetName val="TMK280-02"/>
      <sheetName val="\Users\maoxiaokai\Documents\ pr"/>
      <sheetName val="Capa réelle TPT S49"/>
      <sheetName val="Récap capa TPT S49"/>
      <sheetName val="Para Grille"/>
      <sheetName val="125PIECE"/>
      <sheetName val="8605ML91"/>
      <sheetName val="\Users\Administrator\Downloads\"/>
      <sheetName val="_Users_Administrator_Downloads_"/>
      <sheetName val="MPS Q3 FY04"/>
      <sheetName val="MPS Q4 FY04"/>
      <sheetName val="combine"/>
      <sheetName val="O1OB"/>
      <sheetName val="\X212\RZ1\BUY-OFF\X212 BUY-OFF "/>
      <sheetName val="Input commodity fallout"/>
      <sheetName val="Reporting"/>
      <sheetName val="02"/>
      <sheetName val="09"/>
      <sheetName val="Cork"/>
      <sheetName val="_X212_RZ1_BUY-OFF_X212 BUY-OFF "/>
      <sheetName val="\\10.12.8.89\18S2006-two connec"/>
      <sheetName val="\C\X212\RZ1\BUY-OFF\X212 BUY-OF"/>
      <sheetName val="\\csg00fls01\A\C2000\Macro\Macr"/>
      <sheetName val="\\10.12.8.89\18s2003\A\C2000\Ma"/>
      <sheetName val="\X277C\277C格式BUYOFF(0)\277C格式BU"/>
      <sheetName val="\\10.12.8.89\18s2003\18s2003\C\"/>
      <sheetName val="\Users\niuzb\AppData\Local\Micr"/>
      <sheetName val="\C\Users\niuzb\AppData\Local\Mi"/>
      <sheetName val="\C\C\Users\niuzb\AppData\Local\"/>
      <sheetName val="\C\C\C\Users\niuzb\AppData\Loca"/>
      <sheetName val="pe"/>
      <sheetName val="4348C4-3-22"/>
      <sheetName val="电芯设计参数"/>
      <sheetName val="试验过程记录表"/>
      <sheetName val="需求分析、产品开发和技术预研 项目管理关系图"/>
      <sheetName val="cover"/>
      <sheetName val="修订履历"/>
      <sheetName val="范围 目的 主流程目录"/>
      <sheetName val="里程碑及关键流程一览表"/>
      <sheetName val="设计与开发流程描述"/>
      <sheetName val="设计与开发流程 to do list 清单"/>
      <sheetName val="子流程清单"/>
      <sheetName val="_Users_dengyan_AppData_Local_Mi"/>
      <sheetName val="_C_Users_dengyan_AppData_Local_"/>
      <sheetName val="_C_C_Users_dengyan_AppData_Loca"/>
      <sheetName val="\\ssl-file\@\nd-ri-rfile\rfile\"/>
      <sheetName val="\Users\Jessica\Library\Containe"/>
      <sheetName val="\C\Users\Jessica\Library\Contai"/>
      <sheetName val="DEF"/>
      <sheetName val="\Users\junshi.ren\AppData\Local"/>
      <sheetName val="\C\Users\Joseph\Desktop\C\C\A\C"/>
      <sheetName val="\C\C\Users\Joseph\Desktop\C\C\A"/>
      <sheetName val=" CPK "/>
      <sheetName val="FLB_Base"/>
      <sheetName val="DAILY "/>
      <sheetName val="june 04"/>
      <sheetName val="DECEMBER (SF REV 11-4)"/>
      <sheetName val="QYH &amp; J33i November plan"/>
      <sheetName val="QYH &amp; J33i December plan"/>
      <sheetName val="NOVEMBER (SF REV 11-3)"/>
      <sheetName val="DECEMBER (SF REV 11-3)"/>
      <sheetName val="スラスト"/>
      <sheetName val="Z-SCORE &amp; COMPARISON"/>
      <sheetName val="\Users\sanjaysheth\Library\Cont"/>
      <sheetName val="\C\Users\sanjaysheth\Library\Co"/>
      <sheetName val="\C\C\Users\sanjaysheth\Library\"/>
      <sheetName val="\Users\tedzhao\Library\Containe"/>
      <sheetName val="Macro_for_ENG_Data_Process_2001"/>
      <sheetName val="PD_design1"/>
      <sheetName val="3-side_shielded_cavity1"/>
      <sheetName val="Process_Steps1"/>
      <sheetName val="Process_Modified1"/>
      <sheetName val="DFH_effect1"/>
      <sheetName val="TMR_effect1"/>
      <sheetName val="UP_delta_mean1"/>
      <sheetName val="Fading_Data_(2)"/>
      <sheetName val="\C2000\Macro\Macro_for_ENG_Data"/>
      <sheetName val="\A\C2000\Macro\Macro_for_ENG_Da"/>
      <sheetName val="\C\A\C2000\Macro\Macro_for_ENG_"/>
      <sheetName val="\C\C\A\C2000\Macro\Macro_for_EN"/>
      <sheetName val="\C\C\C\A\C2000\Macro\Macro_for_"/>
      <sheetName val="Capacity_Retention_Data"/>
      <sheetName val="Stand_Capacity_Retention_Data"/>
      <sheetName val="DLC20_20"/>
      <sheetName val="less_CT"/>
      <sheetName val="RWﾊﾞｼﾞｪｯﾄ書式(V4_2)"/>
      <sheetName val="\Users\Angela_Jin\Library\Conta"/>
      <sheetName val="\C\Users\Angela_Jin\Library\Con"/>
      <sheetName val="\C\C\Users\Angela_Jin\Library\C"/>
      <sheetName val="\C\C\C\Users\Angela_Jin\Library"/>
      <sheetName val="\C\C\C\C\Users\Angela_Jin\Libra"/>
      <sheetName val="\C\C\C\C\C\Users\Angela_Jin\Lib"/>
      <sheetName val="_A_C2000_Macro_Macro_for_ENG_Da"/>
      <sheetName val="_C2000_Macro_Macro_for_ENG_Data"/>
      <sheetName val="\Users\maoxiaokai\Documents\_pr"/>
      <sheetName val="MPS_Q3_FY04"/>
      <sheetName val="MPS_Q4_FY04"/>
      <sheetName val="\X212\RZ1\BUY-OFF\X212_BUY-OFF_"/>
      <sheetName val="Input_commodity_fallout"/>
      <sheetName val="_X212_RZ1_BUY-OFF_X212_BUY-OFF_"/>
      <sheetName val="\\10_12_8_89\18S2006-two_connec"/>
      <sheetName val="\C\X212\RZ1\BUY-OFF\X212_BUY-OF"/>
      <sheetName val="\\10_12_8_89\18s2003\A\C2000\Ma"/>
      <sheetName val="\\10_12_8_89\18s2003\18s2003\C\"/>
      <sheetName val="\Users\junshi_ren\AppData\Local"/>
      <sheetName val="_CPK_"/>
      <sheetName val="DAILY_"/>
      <sheetName val="june_04"/>
      <sheetName val="DECEMBER_(SF_REV_11-4)"/>
      <sheetName val="QYH_&amp;_J33i_November_plan"/>
      <sheetName val="QYH_&amp;_J33i_December_plan"/>
      <sheetName val="NOVEMBER_(SF_REV_11-3)"/>
      <sheetName val="DECEMBER_(SF_REV_11-3)"/>
      <sheetName val="Z-SCORE_&amp;_COMPARISON"/>
      <sheetName val="Macro_for_ENG_Data_Process_2002"/>
      <sheetName val="PD_design2"/>
      <sheetName val="3-side_shielded_cavity2"/>
      <sheetName val="Process_Steps2"/>
      <sheetName val="Process_Modified2"/>
      <sheetName val="DFH_effect2"/>
      <sheetName val="TMR_effect2"/>
      <sheetName val="UP_delta_mean2"/>
      <sheetName val="Fading_Data_(2)1"/>
      <sheetName val="\C2000\Macro\Macro_for_ENG_Dat1"/>
      <sheetName val="\A\C2000\Macro\Macro_for_ENG_D1"/>
      <sheetName val="\C\A\C2000\Macro\Macro_for_ENG1"/>
      <sheetName val="\C\C\A\C2000\Macro\Macro_for_E1"/>
      <sheetName val="\C\C\C\A\C2000\Macro\Macro_for1"/>
      <sheetName val="Capacity_Retention_Data1"/>
      <sheetName val="Stand_Capacity_Retention_Data1"/>
      <sheetName val="DLC20_201"/>
      <sheetName val="less_CT1"/>
      <sheetName val="RWﾊﾞｼﾞｪｯﾄ書式(V4_2)1"/>
      <sheetName val="\Users\Angela_Jin\Library\Cont1"/>
      <sheetName val="\C\Users\Angela_Jin\Library\Co1"/>
      <sheetName val="\C\C\Users\Angela_Jin\Library\1"/>
      <sheetName val="\C\C\C\Users\Angela_Jin\Librar1"/>
      <sheetName val="\C\C\C\C\Users\Angela_Jin\Libr1"/>
      <sheetName val="\C\C\C\C\C\Users\Angela_Jin\Li1"/>
      <sheetName val="_A_C2000_Macro_Macro_for_ENG_D1"/>
      <sheetName val="_C2000_Macro_Macro_for_ENG_Dat1"/>
      <sheetName val="\Users\maoxiaokai\Documents\_p1"/>
      <sheetName val="MPS_Q3_FY041"/>
      <sheetName val="MPS_Q4_FY041"/>
      <sheetName val="\X212\RZ1\BUY-OFF\X212_BUY-OFF1"/>
      <sheetName val="Input_commodity_fallout1"/>
      <sheetName val="_X212_RZ1_BUY-OFF_X212_BUY-OFF1"/>
      <sheetName val="\\10_12_8_89\18S2006-two_conne1"/>
      <sheetName val="\C\X212\RZ1\BUY-OFF\X212_BUY-O1"/>
      <sheetName val="\\10_12_8_89\18s2003\A\C2000\M1"/>
      <sheetName val="\\10_12_8_89\18s2003\18s2003\C1"/>
      <sheetName val="\Users\junshi_ren\AppData\Loca1"/>
      <sheetName val="_CPK_1"/>
      <sheetName val="DAILY_1"/>
      <sheetName val="june_041"/>
      <sheetName val="DECEMBER_(SF_REV_11-4)1"/>
      <sheetName val="QYH_&amp;_J33i_November_plan1"/>
      <sheetName val="QYH_&amp;_J33i_December_plan1"/>
      <sheetName val="NOVEMBER_(SF_REV_11-3)1"/>
      <sheetName val="DECEMBER_(SF_REV_11-3)1"/>
      <sheetName val="Z-SCORE_&amp;_COMPARISON1"/>
      <sheetName val="Macro_for_ENG_Data_Process_2003"/>
      <sheetName val="PD_design3"/>
      <sheetName val="3-side_shielded_cavity3"/>
      <sheetName val="Process_Steps3"/>
      <sheetName val="Process_Modified3"/>
      <sheetName val="DFH_effect3"/>
      <sheetName val="TMR_effect3"/>
      <sheetName val="UP_delta_mean3"/>
      <sheetName val="Fading_Data_(2)2"/>
      <sheetName val="\C2000\Macro\Macro_for_ENG_Dat2"/>
      <sheetName val="\A\C2000\Macro\Macro_for_ENG_D2"/>
      <sheetName val="\C\A\C2000\Macro\Macro_for_ENG2"/>
      <sheetName val="\C\C\A\C2000\Macro\Macro_for_E2"/>
      <sheetName val="\C\C\C\A\C2000\Macro\Macro_for2"/>
      <sheetName val="Capacity_Retention_Data2"/>
      <sheetName val="Stand_Capacity_Retention_Data2"/>
      <sheetName val="DLC20_202"/>
      <sheetName val="less_CT2"/>
      <sheetName val="RWﾊﾞｼﾞｪｯﾄ書式(V4_2)2"/>
      <sheetName val="\Users\Angela_Jin\Library\Cont2"/>
      <sheetName val="\C\Users\Angela_Jin\Library\Co2"/>
      <sheetName val="\C\C\Users\Angela_Jin\Library\2"/>
      <sheetName val="\C\C\C\Users\Angela_Jin\Librar2"/>
      <sheetName val="\C\C\C\C\Users\Angela_Jin\Libr2"/>
      <sheetName val="\C\C\C\C\C\Users\Angela_Jin\Li2"/>
      <sheetName val="_A_C2000_Macro_Macro_for_ENG_D2"/>
      <sheetName val="_C2000_Macro_Macro_for_ENG_Dat2"/>
      <sheetName val="\Users\maoxiaokai\Documents\_p2"/>
      <sheetName val="MPS_Q3_FY042"/>
      <sheetName val="MPS_Q4_FY042"/>
      <sheetName val="\X212\RZ1\BUY-OFF\X212_BUY-OFF2"/>
      <sheetName val="Input_commodity_fallout2"/>
      <sheetName val="_X212_RZ1_BUY-OFF_X212_BUY-OFF2"/>
      <sheetName val="\\10_12_8_89\18S2006-two_conne2"/>
      <sheetName val="\C\X212\RZ1\BUY-OFF\X212_BUY-O2"/>
      <sheetName val="\\10_12_8_89\18s2003\A\C2000\M2"/>
      <sheetName val="\\10_12_8_89\18s2003\18s2003\C2"/>
      <sheetName val="\Users\junshi_ren\AppData\Loca2"/>
      <sheetName val="_CPK_2"/>
      <sheetName val="DAILY_2"/>
      <sheetName val="june_042"/>
      <sheetName val="DECEMBER_(SF_REV_11-4)2"/>
      <sheetName val="QYH_&amp;_J33i_November_plan2"/>
      <sheetName val="QYH_&amp;_J33i_December_plan2"/>
      <sheetName val="NOVEMBER_(SF_REV_11-3)2"/>
      <sheetName val="DECEMBER_(SF_REV_11-3)2"/>
      <sheetName val="Z-SCORE_&amp;_COMPARISON2"/>
      <sheetName val="Physical Description"/>
      <sheetName val="\Documents and Settings\LYDIA.Z"/>
      <sheetName val="\C\Users\junshi.ren\AppData\Loc"/>
      <sheetName val="\C\C\Users\junshi.ren\AppData\L"/>
      <sheetName val="\C\C\C\Users\junshi.ren\AppData"/>
      <sheetName val="\C\C\C\C\Users\junshi.ren\AppDa"/>
      <sheetName val="\C\C\C\C\C\Users\junshi.ren\App"/>
      <sheetName val="\C\C\C\C\C\C\Users\junshi.ren\A"/>
      <sheetName val="\C\C\C\C\C\C\C\Users\junshi.ren"/>
      <sheetName val="\C\C\C\C\C\C\C\C\Users\junshi.r"/>
      <sheetName val="\C\C\C\C\C\C\C\C\C\Users\junshi"/>
      <sheetName val="\C\C\C\C\C\C\C\C\C\C\Users\juns"/>
      <sheetName val="\C\C\C\C\C\C\C\C\C\C\C\Users\ju"/>
      <sheetName val="\C\C\C\C\C\C\C\C\C\C\C\C\Users\"/>
      <sheetName val="\C\C\C\C\C\C\C\C\C\C\C\C\C\User"/>
      <sheetName val="\C\C\C\C\C\C\C\C\C\C\C\C\C\C\Us"/>
      <sheetName val="\C\C\C\C\C\C\C\C\C\C\C\C\C\C\C\"/>
      <sheetName val="\Users\Mandy\Library\Containers"/>
      <sheetName val="\C\Users\Mandy\Library\Containe"/>
      <sheetName val="\C\C\Users\Mandy\Library\Contai"/>
      <sheetName val="\C\C\C\Users\Mandy\Library\Cont"/>
      <sheetName val="\C\C\C\C\Users\Mandy\Library\Co"/>
      <sheetName val="\C\C\C\C\C\Users\Mandy\Library\"/>
      <sheetName val="\Documents and Settings\alan.xu"/>
      <sheetName val="\C\Documents and Settings\alan."/>
      <sheetName val="\C\C\Documents and Settings\ala"/>
      <sheetName val="\C\C\C\Documents and Settings\a"/>
      <sheetName val="\C\C\C\C\Documents and Settings"/>
      <sheetName val="\Users\jia_xueheng\Library\Cont"/>
      <sheetName val="７４期定年到達者"/>
      <sheetName val="\Documents_and_Settings\LYDIA_Z"/>
      <sheetName val="\C\Users\junshi_ren\AppData\Loc"/>
      <sheetName val="\C\C\Users\junshi_ren\AppData\L"/>
      <sheetName val="\C\C\C\Users\junshi_ren\AppData"/>
      <sheetName val="\C\C\C\C\Users\junshi_ren\AppDa"/>
      <sheetName val="\C\C\C\C\C\Users\junshi_ren\App"/>
      <sheetName val="\C\C\C\C\C\C\Users\junshi_ren\A"/>
      <sheetName val="\C\C\C\C\C\C\C\Users\junshi_ren"/>
      <sheetName val="\C\C\C\C\C\C\C\C\Users\junshi_r"/>
      <sheetName val="\Documents_and_Settings\alan_xu"/>
      <sheetName val="\C\Documents_and_Settings\alan_"/>
      <sheetName val="\C\C\Documents_and_Settings\ala"/>
      <sheetName val="\C\C\C\Documents_and_Settings\a"/>
      <sheetName val="\C\C\C\C\Documents_and_Settings"/>
      <sheetName val="\Users\howard\AppData\Local\Mic"/>
      <sheetName val="Frais"/>
      <sheetName val="Equipment Req Plan"/>
      <sheetName val="\\10.12.8.39\A\C2000\Macro\Macr"/>
      <sheetName val="\\192.168.71.18\A\C2000\Macro\M"/>
      <sheetName val="\\192.168.71.18\C\A\C2000\Macro"/>
      <sheetName val="45℃可逆容量"/>
      <sheetName val="_Users_Angela.Jin_Library_Conta"/>
      <sheetName val="_C_Users_Angela.Jin_Library_Con"/>
      <sheetName val="_C_C_Users_Angela.Jin_Library_C"/>
      <sheetName val="_C_C_C_Users_Angela.Jin_Library"/>
      <sheetName val="_C_C_C_C_Users_Angela.Jin_Libra"/>
      <sheetName val="_C_C_C_C_C_Users_Angela.Jin_Lib"/>
      <sheetName val="_Users_maoxiaokai_Documents_ pr"/>
      <sheetName val="__10.12.8.89_18S2006-two connec"/>
      <sheetName val="_C_X212_RZ1_BUY-OFF_X212 BUY-OF"/>
      <sheetName val="__csg00fls01_A_C2000_Macro_Macr"/>
      <sheetName val="__10.12.8.89_18s2003_A_C2000_Ma"/>
      <sheetName val="_X277C_277C格式BUYOFF(0)_277C格式BU"/>
      <sheetName val="__10.12.8.89_18s2003_18s2003_C_"/>
      <sheetName val="_Users_niuzb_AppData_Local_Micr"/>
      <sheetName val="_C_Users_niuzb_AppData_Local_Mi"/>
      <sheetName val="_C_C_Users_niuzb_AppData_Local_"/>
      <sheetName val="_C_C_C_Users_niuzb_AppData_Loca"/>
      <sheetName val="__ssl-file_@_nd-ri-rfile_rfile_"/>
      <sheetName val="_Users_Jessica_Library_Containe"/>
      <sheetName val="_C_Users_Jessica_Library_Contai"/>
      <sheetName val="_Users_junshi.ren_AppData_Local"/>
      <sheetName val="_C_Users_Joseph_Desktop_C_C_A_C"/>
      <sheetName val="_C_C_Users_Joseph_Desktop_C_C_A"/>
      <sheetName val="_Users_sanjaysheth_Library_Cont"/>
      <sheetName val="_C_Users_sanjaysheth_Library_Co"/>
      <sheetName val="_C_C_Users_sanjaysheth_Library_"/>
      <sheetName val="_Users_tedzhao_Library_Containe"/>
      <sheetName val="_C_A_C2000_Macro_Macro_for_ENG_"/>
      <sheetName val="_C_C_A_C2000_Macro_Macro_for_EN"/>
      <sheetName val="_C_C_C_A_C2000_Macro_Macro_for_"/>
      <sheetName val="_Users_Angela_Jin_Library_Conta"/>
      <sheetName val="_C_Users_Angela_Jin_Library_Con"/>
      <sheetName val="_C_C_Users_Angela_Jin_Library_C"/>
      <sheetName val="_C_C_C_Users_Angela_Jin_Library"/>
      <sheetName val="_C_C_C_C_Users_Angela_Jin_Libra"/>
      <sheetName val="_C_C_C_C_C_Users_Angela_Jin_Lib"/>
      <sheetName val="_Users_maoxiaokai_Documents__pr"/>
      <sheetName val="__10_12_8_89_18S2006-two_connec"/>
      <sheetName val="_C_X212_RZ1_BUY-OFF_X212_BUY-OF"/>
      <sheetName val="__10_12_8_89_18s2003_A_C2000_Ma"/>
      <sheetName val="__10_12_8_89_18s2003_18s2003_C_"/>
      <sheetName val="_Users_junshi_ren_AppData_Local"/>
      <sheetName val="_C_A_C2000_Macro_Macro_for_ENG1"/>
      <sheetName val="_C_C_A_C2000_Macro_Macro_for_E1"/>
      <sheetName val="_C_C_C_A_C2000_Macro_Macro_for1"/>
      <sheetName val="\Users\mac\Desktop\X147\RF2 &amp; R"/>
      <sheetName val="OK2Fill"/>
      <sheetName val="Matrix矩阵"/>
      <sheetName val="Internal_Pressure_Data"/>
      <sheetName val="CAUDIT"/>
      <sheetName val="数据库"/>
      <sheetName val=""/>
      <sheetName val="_Users_Angela_Jin_Library_Cont1"/>
      <sheetName val="_C_Users_Angela_Jin_Library_Co1"/>
      <sheetName val="_C_C_Users_Angela_Jin_Library_1"/>
      <sheetName val="_C_C_C_Users_Angela_Jin_Librar1"/>
      <sheetName val="_C_C_C_C_Users_Angela_Jin_Libr1"/>
      <sheetName val="_C_C_C_C_C_Users_Angela_Jin_Li1"/>
      <sheetName val="_Users_maoxiaokai_Documents__p1"/>
      <sheetName val="__10_12_8_89_18S2006-two_conne1"/>
      <sheetName val="_C_X212_RZ1_BUY-OFF_X212_BUY-O1"/>
      <sheetName val="__10_12_8_89_18s2003_A_C2000_M1"/>
      <sheetName val="__10_12_8_89_18s2003_18s2003_C1"/>
      <sheetName val="_Users_junshi_ren_AppData_Loca1"/>
      <sheetName val="_C_A_C2000_Macro_Macro_for_ENG2"/>
      <sheetName val="_C_C_A_C2000_Macro_Macro_for_E2"/>
      <sheetName val="_C_C_C_A_C2000_Macro_Macro_for2"/>
      <sheetName val="_Users_Angela_Jin_Library_Cont2"/>
      <sheetName val="_C_Users_Angela_Jin_Library_Co2"/>
      <sheetName val="_C_C_Users_Angela_Jin_Library_2"/>
      <sheetName val="_C_C_C_Users_Angela_Jin_Librar2"/>
      <sheetName val="_C_C_C_C_Users_Angela_Jin_Libr2"/>
      <sheetName val="_C_C_C_C_C_Users_Angela_Jin_Li2"/>
      <sheetName val="_Users_maoxiaokai_Documents__p2"/>
      <sheetName val="__10_12_8_89_18S2006-two_conne2"/>
      <sheetName val="_C_X212_RZ1_BUY-OFF_X212_BUY-O2"/>
      <sheetName val="__10_12_8_89_18s2003_A_C2000_M2"/>
      <sheetName val="__10_12_8_89_18s2003_18s2003_C2"/>
      <sheetName val="_Users_junshi_ren_AppData_Loca2"/>
      <sheetName val="_Documents and Settings_LYDIA.Z"/>
      <sheetName val="_C_Users_junshi.ren_AppData_Loc"/>
      <sheetName val="_C_C_Users_junshi.ren_AppData_L"/>
      <sheetName val="_C_C_C_Users_junshi.ren_AppData"/>
      <sheetName val="_C_C_C_C_Users_junshi.ren_AppDa"/>
      <sheetName val="_C_C_C_C_C_Users_junshi.ren_App"/>
      <sheetName val="_C_C_C_C_C_C_Users_junshi.ren_A"/>
      <sheetName val="_C_C_C_C_C_C_C_Users_junshi.ren"/>
      <sheetName val="_C_C_C_C_C_C_C_C_Users_junshi.r"/>
      <sheetName val="_C_C_C_C_C_C_C_C_C_Users_junshi"/>
      <sheetName val="_C_C_C_C_C_C_C_C_C_C_Users_juns"/>
      <sheetName val="_C_C_C_C_C_C_C_C_C_C_C_Users_ju"/>
      <sheetName val="_C_C_C_C_C_C_C_C_C_C_C_C_Users_"/>
      <sheetName val="_C_C_C_C_C_C_C_C_C_C_C_C_C_User"/>
      <sheetName val="_C_C_C_C_C_C_C_C_C_C_C_C_C_C_Us"/>
      <sheetName val="_C_C_C_C_C_C_C_C_C_C_C_C_C_C_C_"/>
      <sheetName val="_Users_Mandy_Library_Containers"/>
      <sheetName val="_C_Users_Mandy_Library_Containe"/>
      <sheetName val="_C_C_Users_Mandy_Library_Contai"/>
      <sheetName val="_C_C_C_Users_Mandy_Library_Cont"/>
      <sheetName val="_C_C_C_C_Users_Mandy_Library_Co"/>
      <sheetName val="_C_C_C_C_C_Users_Mandy_Library_"/>
      <sheetName val="_Documents and Settings_alan.xu"/>
      <sheetName val="_C_Documents and Settings_alan."/>
      <sheetName val="_C_C_Documents and Settings_ala"/>
      <sheetName val="_C_C_C_Documents and Settings_a"/>
      <sheetName val="_C_C_C_C_Documents and Settings"/>
      <sheetName val="_Users_jia_xueheng_Library_Cont"/>
      <sheetName val="_Documents_and_Settings_LYDIA_Z"/>
      <sheetName val="_C_Users_junshi_ren_AppData_Loc"/>
      <sheetName val="_C_C_Users_junshi_ren_AppData_L"/>
      <sheetName val="_C_C_C_Users_junshi_ren_AppData"/>
      <sheetName val="_C_C_C_C_Users_junshi_ren_AppDa"/>
      <sheetName val="_C_C_C_C_C_Users_junshi_ren_App"/>
      <sheetName val="_C_C_C_C_C_C_Users_junshi_ren_A"/>
      <sheetName val="_C_C_C_C_C_C_C_Users_junshi_ren"/>
      <sheetName val="_C_C_C_C_C_C_C_C_Users_junshi_r"/>
      <sheetName val="_Documents_and_Settings_alan_xu"/>
      <sheetName val="_C_Documents_and_Settings_alan_"/>
      <sheetName val="_C_C_Documents_and_Settings_ala"/>
      <sheetName val="_C_C_C_Documents_and_Settings_a"/>
      <sheetName val="_C_C_C_C_Documents_and_Settings"/>
      <sheetName val="_Users_howard_AppData_Local_Mic"/>
      <sheetName val="__10.12.8.39_A_C2000_Macro_Macr"/>
      <sheetName val="__192.168.71.18_A_C2000_Macro_M"/>
      <sheetName val="__192.168.71.18_C_A_C2000_Macro"/>
      <sheetName val="_Users_mac_Desktop_X147_RF2 &amp; R"/>
      <sheetName val="Macro_for_ENG_Data_Process_2004"/>
      <sheetName val="PD_design4"/>
      <sheetName val="3-side_shielded_cavity4"/>
      <sheetName val="Process_Steps4"/>
      <sheetName val="Process_Modified4"/>
      <sheetName val="DFH_effect4"/>
      <sheetName val="TMR_effect4"/>
      <sheetName val="UP_delta_mean4"/>
      <sheetName val="Fading_Data_(2)3"/>
      <sheetName val="\C2000\Macro\Macro_for_ENG_Dat3"/>
      <sheetName val="\A\C2000\Macro\Macro_for_ENG_D3"/>
      <sheetName val="\C\A\C2000\Macro\Macro_for_ENG3"/>
      <sheetName val="\C\C\A\C2000\Macro\Macro_for_E3"/>
      <sheetName val="\C\C\C\A\C2000\Macro\Macro_for3"/>
      <sheetName val="Capacity_Retention_Data3"/>
      <sheetName val="Stand_Capacity_Retention_Data3"/>
      <sheetName val="DLC20_203"/>
      <sheetName val="less_CT3"/>
      <sheetName val="RWﾊﾞｼﾞｪｯﾄ書式(V4_2)3"/>
      <sheetName val="\Users\Angela_Jin\Library\Cont3"/>
      <sheetName val="\C\Users\Angela_Jin\Library\Co3"/>
      <sheetName val="\C\C\Users\Angela_Jin\Library\3"/>
      <sheetName val="\C\C\C\Users\Angela_Jin\Librar3"/>
      <sheetName val="\C\C\C\C\Users\Angela_Jin\Libr3"/>
      <sheetName val="\C\C\C\C\C\Users\Angela_Jin\Li3"/>
      <sheetName val="_A_C2000_Macro_Macro_for_ENG_D3"/>
      <sheetName val="_C2000_Macro_Macro_for_ENG_Dat3"/>
      <sheetName val="\Users\maoxiaokai\Documents\_p3"/>
      <sheetName val="MPS_Q3_FY043"/>
      <sheetName val="MPS_Q4_FY043"/>
      <sheetName val="\X212\RZ1\BUY-OFF\X212_BUY-OFF3"/>
      <sheetName val="Input_commodity_fallout3"/>
      <sheetName val="_X212_RZ1_BUY-OFF_X212_BUY-OFF3"/>
      <sheetName val="\\10_12_8_89\18S2006-two_conne3"/>
      <sheetName val="\C\X212\RZ1\BUY-OFF\X212_BUY-O3"/>
      <sheetName val="\\10_12_8_89\18s2003\A\C2000\M3"/>
      <sheetName val="\\10_12_8_89\18s2003\18s2003\C3"/>
      <sheetName val="\Users\junshi_ren\AppData\Loca3"/>
      <sheetName val="_CPK_3"/>
      <sheetName val="DAILY_3"/>
      <sheetName val="june_043"/>
      <sheetName val="DECEMBER_(SF_REV_11-4)3"/>
      <sheetName val="QYH_&amp;_J33i_November_plan3"/>
      <sheetName val="QYH_&amp;_J33i_December_plan3"/>
      <sheetName val="NOVEMBER_(SF_REV_11-3)3"/>
      <sheetName val="DECEMBER_(SF_REV_11-3)3"/>
      <sheetName val="Z-SCORE_&amp;_COMPARISON3"/>
      <sheetName val="\Documents_and_Settings\LYDIA_1"/>
      <sheetName val="\C\Users\junshi_ren\AppData\Lo1"/>
      <sheetName val="\C\C\Users\junshi_ren\AppData\1"/>
      <sheetName val="\C\C\C\Users\junshi_ren\AppDat1"/>
      <sheetName val="\C\C\C\C\Users\junshi_ren\AppD1"/>
      <sheetName val="\C\C\C\C\C\Users\junshi_ren\Ap1"/>
      <sheetName val="\C\C\C\C\C\C\Users\junshi_ren\1"/>
      <sheetName val="\C\C\C\C\C\C\C\Users\junshi_re1"/>
      <sheetName val="\C\C\C\C\C\C\C\C\Users\junshi_1"/>
      <sheetName val="\Documents_and_Settings\alan_x1"/>
      <sheetName val="\C\Documents_and_Settings\alan1"/>
      <sheetName val="\C\C\Documents_and_Settings\al1"/>
      <sheetName val="\C\C\C\Documents_and_Settings\1"/>
      <sheetName val="\C\C\C\C\Documents_and_Setting1"/>
      <sheetName val="Physical_Description"/>
      <sheetName val="Sheet_2"/>
      <sheetName val="Para_Grille"/>
      <sheetName val="\\10_12_8_39\A\C2000\Macro\Macr"/>
      <sheetName val="\\192_168_71_18\A\C2000\Macro\M"/>
      <sheetName val="\\192_168_71_18\C\A\C2000\Macro"/>
      <sheetName val="\Users\mac\Desktop\X147\RF2_&amp;_R"/>
      <sheetName val="Capa_réelle_TPT_S49"/>
      <sheetName val="Récap_capa_TPT_S49"/>
      <sheetName val="Equipment_Req_Plan"/>
      <sheetName val="代码1"/>
      <sheetName val="[Macro for ENG Data Process 200"/>
      <sheetName val="ΔU_Data"/>
      <sheetName val="30s Cycle_DCIR"/>
      <sheetName val="Expand_Pressure_Data"/>
      <sheetName val="03-July Condition Check"/>
      <sheetName val="費用請求方法"/>
      <sheetName val="AMTE2(Data)"/>
      <sheetName val="[Macro for ENG Da㚴ರ_x0000__x0004__x0000__x0000__x0000__x0000__x0000__x0000_袜ಮ_x0000__x0000_"/>
      <sheetName val="HGA ENG"/>
      <sheetName val="Allo Rate"/>
      <sheetName val="??????"/>
      <sheetName val="TMR Yield"/>
      <sheetName val="_Macro for ENG Da㚴ರ"/>
      <sheetName val="SHIPMENT"/>
      <sheetName val="______"/>
      <sheetName val="[Macro for ENG Da㚴ರ?_x0004_??????袜ಮ??"/>
      <sheetName val="modify"/>
      <sheetName val="2P-2TB"/>
      <sheetName val="VESA Tests"/>
      <sheetName val="Gamma Data"/>
      <sheetName val="バネ設定"/>
      <sheetName val="THK_IMP_OCVDataPlot"/>
      <sheetName val="[Macro for ENG Da㚴ರ"/>
      <sheetName val="物料清单"/>
      <sheetName val="供应商清单"/>
      <sheetName val="\\10_12_8_89\18s2003\18s_x001f__x0000__x0006__x0000__x0007__x0000__x0008_"/>
      <sheetName val="DECEMBER_(SF_R_x0015__x0000__x001f__x0000__x001f__x0000__x001f__x0000__x001f_"/>
      <sheetName val="源"/>
      <sheetName val="\\10_12_8_89\18s2003\18s_x001f_"/>
      <sheetName val="DECEMBER_(SF_R_x0015_"/>
      <sheetName val="CFLOW"/>
      <sheetName val="Extraction Elga"/>
      <sheetName val="\D\A\C2000\Macro\Macro for ENG "/>
      <sheetName val="\Users\sandyyang\Library\Contai"/>
      <sheetName val="\C\Users\sandyyang\Library\Cont"/>
      <sheetName val="\Users\lianglu\AppData\Local\Mi"/>
      <sheetName val="BUS제원1"/>
      <sheetName val="Sheet4"/>
      <sheetName val="evaluated question"/>
      <sheetName val="CsvFile"/>
      <sheetName val="个人欠款账龄分析表"/>
      <sheetName val="ITEM PARETO"/>
      <sheetName val="Top 5 Features"/>
      <sheetName val="FEATURE PARETO"/>
      <sheetName val="固定资产总账及明细"/>
      <sheetName val="2020年项目预算汇总"/>
      <sheetName val="部门折旧"/>
      <sheetName val="18650常规设计表"/>
      <sheetName val="1增员"/>
      <sheetName val="RevMaster"/>
      <sheetName val="1管理"/>
      <sheetName val="公司在职全体2012.11"/>
      <sheetName val="备件入库"/>
      <sheetName val="公司在职全体2012_11"/>
      <sheetName val="IPQC-9 二次烧结"/>
      <sheetName val="Attachment A"/>
      <sheetName val="核算项目___物料"/>
      <sheetName val="90ES高温"/>
      <sheetName val="8E2高温"/>
      <sheetName val="90ES常温"/>
      <sheetName val="1-0. DMD"/>
      <sheetName val="Referenzdaten"/>
      <sheetName val="Data"/>
      <sheetName val="A1-4 Failure Impact "/>
      <sheetName val="個別貸引"/>
      <sheetName val="Oct"/>
      <sheetName val="Index"/>
      <sheetName val="B.2"/>
      <sheetName val="E.2"/>
      <sheetName val="C.3"/>
      <sheetName val="EV Project Schedule Rev.01"/>
      <sheetName val="E Goal"/>
      <sheetName val="E_KSR"/>
      <sheetName val="All_KSR"/>
      <sheetName val="P Goal"/>
      <sheetName val="P_KSR"/>
      <sheetName val="說明"/>
      <sheetName val="电池片10条生产线 "/>
      <sheetName val="Workings"/>
      <sheetName val="生产领料汇总表"/>
      <sheetName val="滯料RAW_Data"/>
      <sheetName val="呆料RAW_Data"/>
      <sheetName val="L EQ"/>
      <sheetName val="List Functiongroups"/>
      <sheetName val="_Macro for ENG Data Process 200"/>
      <sheetName val="#REF!"/>
      <sheetName val="能源报表"/>
      <sheetName val="Rate"/>
      <sheetName val="投资条款汇总"/>
      <sheetName val="WEIGHT"/>
      <sheetName val="series pricing"/>
      <sheetName val="6A) Abuse Test Results"/>
      <sheetName val="Summary"/>
      <sheetName val="Assumptions sheet"/>
      <sheetName val="FA-LISTING"/>
      <sheetName val="室温DCR"/>
      <sheetName val="Holiday_Table"/>
      <sheetName val="❼277C格式BUYOFF(0)_277C格式BU"/>
      <sheetName val="NEW_THK"/>
      <sheetName val="Apr   HL"/>
      <sheetName val="附件1-开发筛选项"/>
      <sheetName val="附件2-问题分类说明"/>
      <sheetName val="特殊部门按部门分类"/>
      <sheetName val="技术人员分位值(不含PM&amp;SLS）"/>
      <sheetName val="T진도"/>
      <sheetName val="전극"/>
      <sheetName val="Bom(P1)"/>
      <sheetName val="13、管理部门_仓储办"/>
      <sheetName val="定容评测"/>
      <sheetName val="Units"/>
      <sheetName val="Tabelle1"/>
      <sheetName val="_C_A_C2000_Macro_Macro_for_ENG3"/>
      <sheetName val="_C_C_A_C2000_Macro_Macro_for_E3"/>
      <sheetName val="_C_C_C_A_C2000_Macro_Macro_for3"/>
      <sheetName val="_Users_Angela_Jin_Library_Cont3"/>
      <sheetName val="_C_Users_Angela_Jin_Library_Co3"/>
      <sheetName val="_C_C_Users_Angela_Jin_Library_3"/>
      <sheetName val="_C_C_C_Users_Angela_Jin_Librar3"/>
      <sheetName val="_C_C_C_C_Users_Angela_Jin_Libr3"/>
      <sheetName val="_C_C_C_C_C_Users_Angela_Jin_Li3"/>
      <sheetName val="_Users_maoxiaokai_Documents__p3"/>
      <sheetName val="__10_12_8_89_18S2006-two_conne3"/>
      <sheetName val="_C_X212_RZ1_BUY-OFF_X212_BUY-O3"/>
      <sheetName val="__10_12_8_89_18s2003_A_C2000_M3"/>
      <sheetName val="__10_12_8_89_18s2003_18s2003_C3"/>
      <sheetName val="_Users_junshi_ren_AppData_Loca3"/>
      <sheetName val="_Documents_and_Settings_LYDIA_1"/>
      <sheetName val="_C_Users_junshi_ren_AppData_Lo1"/>
      <sheetName val="_C_C_Users_junshi_ren_AppData_1"/>
      <sheetName val="_C_C_C_Users_junshi_ren_AppDat1"/>
      <sheetName val="_C_C_C_C_Users_junshi_ren_AppD1"/>
      <sheetName val="_C_C_C_C_C_Users_junshi_ren_Ap1"/>
      <sheetName val="_C_C_C_C_C_C_Users_junshi_ren_1"/>
      <sheetName val="_C_C_C_C_C_C_C_Users_junshi_re1"/>
      <sheetName val="_C_C_C_C_C_C_C_C_Users_junshi_1"/>
      <sheetName val="_Documents_and_Settings_alan_x1"/>
      <sheetName val="_C_Documents_and_Settings_alan1"/>
      <sheetName val="_C_C_Documents_and_Settings_al1"/>
      <sheetName val="_C_C_C_Documents_and_Settings_1"/>
      <sheetName val="_C_C_C_C_Documents_and_Setting1"/>
      <sheetName val="__10_12_8_39_A_C2000_Macro_Macr"/>
      <sheetName val="__192_168_71_18_A_C2000_Macro_M"/>
      <sheetName val="__192_168_71_18_C_A_C2000_Macro"/>
      <sheetName val="_Users_mac_Desktop_X147_RF2_&amp;_R"/>
      <sheetName val="_Macro for ENG Da㚴ರ__x005f_x0004_____"/>
      <sheetName val="__10_12_8_89_18s2003_18s_x005f_x001f_"/>
      <sheetName val="DECEMBER_(SF_R_x005f_x0015_"/>
      <sheetName val="_D_A_C2000_Macro_Macro for ENG "/>
      <sheetName val="_Users_sandyyang_Library_Contai"/>
      <sheetName val="_C_Users_sandyyang_Library_Cont"/>
      <sheetName val="_Users_lianglu_AppData_Local_Mi"/>
      <sheetName val="_Macro for ENG Da㚴ರ_x005f_x0000__x000"/>
      <sheetName val="DECEMBER_(SF_R_x005f_x0015__x005f_x0000__x0"/>
      <sheetName val="Currency"/>
      <sheetName val="_Macro for ENG Da㚴ರ__x0004_______袜ಮ__"/>
      <sheetName val="__10_12_8_89_18s2003_18s_x001f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조립, 권취 LOT별 발생 이력"/>
      <sheetName val="\Users\aabdollahi\.Trash\Macro "/>
      <sheetName val="P1012001"/>
      <sheetName val="Financ. Overview"/>
      <sheetName val="Toolbox"/>
      <sheetName val="_Macro_for_ENG_Data_Process_2_2"/>
      <sheetName val="_Macro_for_ENG_Data_Process_2_3"/>
      <sheetName val="_Macro_for_ENG_Data_Process_2_4"/>
      <sheetName val="_Macro_for_ENG_Data_Process_2_5"/>
      <sheetName val="_Macro_for_ENG_Data_Process_2_6"/>
      <sheetName val="_Macro_for_ENG_Data_Process_2_7"/>
      <sheetName val="_Macro_for_ENG_Data_Process_2_8"/>
      <sheetName val="_Macro_for_ENG_Data_Process_2_9"/>
      <sheetName val="_Macro_for_ENG_Data_Process__10"/>
      <sheetName val="_Macro_for_ENG_Data_Process__11"/>
      <sheetName val="_Macro_for_ENG_Data_Process__12"/>
      <sheetName val="_Macro_for_ENG_Data_Process__13"/>
      <sheetName val="_Macro_for_ENG_Data_Process__14"/>
      <sheetName val="_Macro_for_ENG_Data_Process__15"/>
      <sheetName val="_Macro_for_ENG_Data_Process__16"/>
      <sheetName val="_Macro_for_ENG_Data_Process__17"/>
      <sheetName val="_Macro_for_ENG_Data_Process__18"/>
      <sheetName val="_Macro_for_ENG_Data_Process__19"/>
      <sheetName val="_Macro_for_ENG_Data_Process__20"/>
      <sheetName val="_Macro_for_ENG_Data_Process__21"/>
      <sheetName val="_Macro_for_ENG_Data_Process__22"/>
      <sheetName val="_Macro_for_ENG_Data_Process__23"/>
      <sheetName val="_Macro_for_ENG_Data_Process__24"/>
      <sheetName val="_Macro_for_ENG_Data_Process__25"/>
      <sheetName val="_Macro_for_ENG_Data_Process__26"/>
      <sheetName val="_Macro_for_ENG_Data_Process__27"/>
      <sheetName val="_Macro_for_ENG_Data_Process__28"/>
      <sheetName val="_Macro_for_ENG_Data_Process__29"/>
      <sheetName val="_Macro_for_ENG_Data_Process__30"/>
      <sheetName val="_Macro_for_ENG_Data_Process__31"/>
      <sheetName val="_Macro_for_ENG_Data_Process__32"/>
      <sheetName val="_Macro_for_ENG_Data_Process__33"/>
      <sheetName val="_Macro_for_ENG_Data_Process__34"/>
      <sheetName val="_Macro_for_ENG_Data_Process__35"/>
      <sheetName val="_Macro_for_ENG_Data_Process__36"/>
      <sheetName val="_Macro_for_ENG_Data_Process__37"/>
      <sheetName val="_Macro_for_ENG_Data_Process__38"/>
      <sheetName val="_Macro_for_ENG_Data_Process__39"/>
      <sheetName val="_Macro_for_ENG_Data_Process__40"/>
      <sheetName val="_Macro_for_ENG_Data_Process__41"/>
      <sheetName val="_Macro_for_ENG_Data_Process__42"/>
      <sheetName val="_Macro_for_ENG_Data_Process__43"/>
      <sheetName val="_Macro_for_ENG_Data_Process__44"/>
      <sheetName val="_Macro_for_ENG_Data_Process__45"/>
      <sheetName val="_Macro_for_ENG_Data_Process__46"/>
      <sheetName val="_Macro_for_ENG_Data_Process__47"/>
      <sheetName val="_Macro_for_ENG_Data_Process__48"/>
      <sheetName val="_Macro_for_ENG_Data_Process__49"/>
      <sheetName val="_Macro_for_ENG_Data_Process__50"/>
      <sheetName val="_Macro_for_ENG_Data_Process__51"/>
      <sheetName val="_Macro_for_ENG_Data_Process__52"/>
      <sheetName val="_Macro_for_ENG_Data_Process__53"/>
      <sheetName val="_Macro_for_ENG_Data_Process__54"/>
      <sheetName val="_Macro_for_ENG_Data_Process__55"/>
      <sheetName val="_Macro_for_ENG_Data_Process__56"/>
      <sheetName val="_Macro_for_ENG_Data_Process__57"/>
      <sheetName val="_Macro_for_ENG_Data_Process__58"/>
      <sheetName val="_Macro_for_ENG_Data_Process__59"/>
      <sheetName val="_Macro_for_ENG_Data_Process__60"/>
      <sheetName val="_Macro_for_ENG_Data_Process__61"/>
      <sheetName val="_Macro_for_ENG_Data_Process__62"/>
      <sheetName val="_Macro_for_ENG_Data_Process__63"/>
      <sheetName val="_Macro_for_ENG_Data_Process__64"/>
      <sheetName val="_Macro_for_ENG_Data_Process__65"/>
      <sheetName val="_Macro_for_ENG_Data_Process__66"/>
      <sheetName val="_Macro_for_ENG_Data_Process__67"/>
      <sheetName val="_Macro_for_ENG_Data_Process__68"/>
      <sheetName val="_Macro_for_ENG_Data_Process__69"/>
      <sheetName val="_Macro_for_ENG_Data_Process__70"/>
      <sheetName val="_Macro_for_ENG_Data_Process__71"/>
      <sheetName val="_Macro_for_ENG_Data_Process__72"/>
      <sheetName val="_Macro_for_ENG_Data_Process__73"/>
      <sheetName val="_Macro_for_ENG_Data_Process__74"/>
      <sheetName val="_Macro_for_ENG_Data_Process__75"/>
      <sheetName val="_Macro_for_ENG_Data_Process__76"/>
      <sheetName val="_Macro_for_ENG_Data_Process__77"/>
      <sheetName val="_Macro_for_ENG_Data_Process__78"/>
      <sheetName val="_Macro_for_ENG_Data_Process__79"/>
      <sheetName val="_Macro_for_ENG_Data_Process__80"/>
      <sheetName val="_Macro_for_ENG_Data_Process__81"/>
      <sheetName val="_Macro_for_ENG_Data_Process__82"/>
      <sheetName val="_Macro_for_ENG_Data_Process__83"/>
      <sheetName val="_Macro_for_ENG_Data_Process__84"/>
      <sheetName val="_Macro_for_ENG_Data_Process__85"/>
      <sheetName val="_Macro_for_ENG_Data_Process__86"/>
      <sheetName val="_Macro_for_ENG_Data_Process__87"/>
      <sheetName val="_Macro_for_ENG_Data_Process__88"/>
      <sheetName val="_Macro_for_ENG_Data_Process__89"/>
      <sheetName val="_Macro_for_ENG_Data_Process__90"/>
      <sheetName val="_Macro_for_ENG_Data_Process__91"/>
      <sheetName val="_Macro_for_ENG_Data_Process__92"/>
      <sheetName val="_Macro_for_ENG_Data_Process__93"/>
      <sheetName val="_Macro_for_ENG_Data_Process__94"/>
      <sheetName val="_Macro_for_ENG_Data_Process__95"/>
      <sheetName val="_Macro_for_ENG_Data_Process__96"/>
      <sheetName val="_Macro_for_ENG_Data_Process__97"/>
      <sheetName val="_Macro_for_ENG_Data_Process__98"/>
      <sheetName val="_Macro_for_ENG_Data_Process__99"/>
      <sheetName val="_Macro_for_ENG_Data_Process_100"/>
      <sheetName val="_Macro_for_ENG_Data_Process_101"/>
      <sheetName val="_Macro_for_ENG_Data_Process_102"/>
      <sheetName val="_Macro_for_ENG_Data_Process_103"/>
      <sheetName val="_Macro_for_ENG_Data_Process_104"/>
      <sheetName val="_Macro_for_ENG_Data_Process_105"/>
      <sheetName val="_Macro_for_ENG_Data_Process_106"/>
      <sheetName val="_Macro_for_ENG_Data_Process_107"/>
      <sheetName val="_Macro_for_ENG_Data_Process_108"/>
      <sheetName val="_Macro_for_ENG_Data_Process_109"/>
      <sheetName val="_Macro_for_ENG_Data_Process_110"/>
      <sheetName val="_Macro_for_ENG_Data_Process_111"/>
      <sheetName val="_Macro_for_ENG_Data_Process_112"/>
      <sheetName val="_Macro_for_ENG_Data_Process_113"/>
      <sheetName val="_Macro_for_ENG_Data_Process_114"/>
      <sheetName val="_Macro_for_ENG_Data_Process_115"/>
      <sheetName val="_Macro_for_ENG_Data_Process_116"/>
      <sheetName val="_Macro_for_ENG_Data_Process_117"/>
      <sheetName val="_Macro_for_ENG_Data_Process_118"/>
      <sheetName val="_Macro_for_ENG_Data_Process_119"/>
      <sheetName val="_Macro_for_ENG_Data_Process_120"/>
      <sheetName val="_Macro_for_ENG_Data_Process_121"/>
      <sheetName val="_Macro_for_ENG_Data_Process_122"/>
      <sheetName val="_Macro_for_ENG_Data_Process_123"/>
      <sheetName val="_Macro_for_ENG_Data_Process_124"/>
      <sheetName val="_Macro_for_ENG_Data_Process_125"/>
      <sheetName val="_Macro_for_ENG_Data_Process_126"/>
      <sheetName val="_Macro_for_ENG_Data_Process_127"/>
      <sheetName val="_Macro_for_ENG_Data_Process_128"/>
      <sheetName val="_Macro_for_ENG_Data_Process_129"/>
      <sheetName val="_Macro_for_ENG_Data_Process_130"/>
      <sheetName val="_Macro_for_ENG_Data_Process_131"/>
      <sheetName val="_Macro_for_ENG_Data_Process_132"/>
      <sheetName val="_Macro_for_ENG_Data_Process_133"/>
      <sheetName val="_Macro_for_ENG_Data_Process_134"/>
      <sheetName val="_Macro_for_ENG_Data_Process_135"/>
      <sheetName val="_Macro_for_ENG_Data_Process_136"/>
      <sheetName val="_Macro_for_ENG_Data_Process_137"/>
      <sheetName val="_Macro_for_ENG_Data_Process_138"/>
      <sheetName val="_Macro_for_ENG_Data_Process_139"/>
      <sheetName val="_Macro_for_ENG_Data_Process_140"/>
      <sheetName val="\18S2002\RF1-2\buy off\A\C2000\"/>
      <sheetName val="\F\18S2002\RF1-2\buy off\A\C200"/>
      <sheetName val="\X277C\277C-BUYOFF-ATL\10.12.8."/>
      <sheetName val="\E\A\C2000\Macro\Macro for ENG "/>
      <sheetName val="Data lists"/>
      <sheetName val="\Documents and Settings\ldklfsd"/>
      <sheetName val="CellNameTable"/>
      <sheetName val="DATAT"/>
      <sheetName val="CBU"/>
      <sheetName val="PV6 3.5L LX5 GMX170"/>
      <sheetName val="总部制造费用结转"/>
      <sheetName val="公司全体1-计算"/>
      <sheetName val="Adjust Panel"/>
      <sheetName val="按合剂密度计算"/>
      <sheetName val="材料序列"/>
      <sheetName val="本年收入合计"/>
      <sheetName val="G.1R-Shou COP Gf"/>
      <sheetName val="Tab"/>
      <sheetName val="Pocket"/>
      <sheetName val="Sep"/>
      <sheetName val="ET"/>
      <sheetName val="Foil"/>
      <sheetName val="Anode"/>
      <sheetName val="Cathode"/>
      <sheetName val="Main"/>
      <sheetName val="2002年一般预算收入"/>
      <sheetName val="基础编码"/>
      <sheetName val="行政区划"/>
      <sheetName val="工商税收"/>
      <sheetName val="Open"/>
      <sheetName val="汇总"/>
      <sheetName val="合计"/>
      <sheetName val="物料"/>
      <sheetName val="pfx_prov"/>
      <sheetName val="Assumptions sheet raw material"/>
      <sheetName val="Material"/>
      <sheetName val="SBM-devices-FWZ"/>
      <sheetName val="计算表"/>
      <sheetName val="000-The equipment time line"/>
      <sheetName val="3.0Ah 21700"/>
      <sheetName val="4原始数据"/>
      <sheetName val="_ESList"/>
      <sheetName val="eqpmad2"/>
      <sheetName val="Mix A"/>
      <sheetName val="Fab Output Plan"/>
      <sheetName val="Amortization "/>
      <sheetName val="ED&amp;D Labor Rate"/>
      <sheetName val="Drop Downs"/>
      <sheetName val="填表说明"/>
      <sheetName val="Part (Initial A)"/>
      <sheetName val="Données"/>
      <sheetName val="System Sheet"/>
      <sheetName val="Abbreviations"/>
      <sheetName val="REPAIR DATA - CONTAINER #5"/>
      <sheetName val="Macro_for_ENG_Data_Process_2005"/>
      <sheetName val="PD_design5"/>
      <sheetName val="3-side_shielded_cavity5"/>
      <sheetName val="Process_Steps5"/>
      <sheetName val="Process_Modified5"/>
      <sheetName val="DFH_effect5"/>
      <sheetName val="TMR_effect5"/>
      <sheetName val="UP_delta_mean5"/>
      <sheetName val="Fading_Data_(2)4"/>
      <sheetName val="\C2000\Macro\Macro_for_ENG_Dat4"/>
      <sheetName val="\A\C2000\Macro\Macro_for_ENG_D4"/>
      <sheetName val="\C\A\C2000\Macro\Macro_for_ENG4"/>
      <sheetName val="\C\C\A\C2000\Macro\Macro_for_E4"/>
      <sheetName val="\C\C\C\A\C2000\Macro\Macro_for4"/>
      <sheetName val="Capacity_Retention_Data4"/>
      <sheetName val="Stand_Capacity_Retention_Data4"/>
      <sheetName val="DLC20_204"/>
      <sheetName val="less_CT4"/>
      <sheetName val="RWﾊﾞｼﾞｪｯﾄ書式(V4_2)4"/>
      <sheetName val="\Users\Angela_Jin\Library\Cont4"/>
      <sheetName val="\C\Users\Angela_Jin\Library\Co4"/>
      <sheetName val="\C\C\Users\Angela_Jin\Library\4"/>
      <sheetName val="\C\C\C\Users\Angela_Jin\Librar4"/>
      <sheetName val="\C\C\C\C\Users\Angela_Jin\Libr4"/>
      <sheetName val="\C\C\C\C\C\Users\Angela_Jin\Li4"/>
      <sheetName val="_A_C2000_Macro_Macro_for_ENG_D4"/>
      <sheetName val="_C2000_Macro_Macro_for_ENG_Dat4"/>
      <sheetName val="\Users\maoxiaokai\Documents\_p4"/>
      <sheetName val="MPS_Q3_FY044"/>
      <sheetName val="MPS_Q4_FY044"/>
      <sheetName val="\X212\RZ1\BUY-OFF\X212_BUY-OFF4"/>
      <sheetName val="Input_commodity_fallout4"/>
      <sheetName val="_X212_RZ1_BUY-OFF_X212_BUY-OFF4"/>
      <sheetName val="\\10_12_8_89\18S2006-two_conne4"/>
      <sheetName val="\C\X212\RZ1\BUY-OFF\X212_BUY-O4"/>
      <sheetName val="\\10_12_8_89\18s2003\A\C2000\M4"/>
      <sheetName val="\\10_12_8_89\18s2003\18s2003\C4"/>
      <sheetName val="\Users\junshi_ren\AppData\Loca4"/>
      <sheetName val="_CPK_4"/>
      <sheetName val="DAILY_4"/>
      <sheetName val="june_044"/>
      <sheetName val="DECEMBER_(SF_REV_11-4)4"/>
      <sheetName val="QYH_&amp;_J33i_November_plan4"/>
      <sheetName val="QYH_&amp;_J33i_December_plan4"/>
      <sheetName val="NOVEMBER_(SF_REV_11-3)4"/>
      <sheetName val="DECEMBER_(SF_REV_11-3)4"/>
      <sheetName val="Z-SCORE_&amp;_COMPARISON4"/>
      <sheetName val="Physical_Description1"/>
      <sheetName val="\Documents_and_Settings\LYDIA_2"/>
      <sheetName val="\C\Users\junshi_ren\AppData\Lo2"/>
      <sheetName val="\C\C\Users\junshi_ren\AppData\2"/>
      <sheetName val="\C\C\C\Users\junshi_ren\AppDat2"/>
      <sheetName val="\C\C\C\C\Users\junshi_ren\AppD2"/>
      <sheetName val="\C\C\C\C\C\Users\junshi_ren\Ap2"/>
      <sheetName val="\C\C\C\C\C\C\Users\junshi_ren\2"/>
      <sheetName val="\C\C\C\C\C\C\C\Users\junshi_re2"/>
      <sheetName val="\C\C\C\C\C\C\C\C\Users\junshi_2"/>
      <sheetName val="\Documents_and_Settings\alan_x2"/>
      <sheetName val="\C\Documents_and_Settings\alan2"/>
      <sheetName val="\C\C\Documents_and_Settings\al2"/>
      <sheetName val="\C\C\C\Documents_and_Settings\2"/>
      <sheetName val="\C\C\C\C\Documents_and_Setting2"/>
      <sheetName val="Sheet_21"/>
      <sheetName val="Para_Grille1"/>
      <sheetName val="Capa_réelle_TPT_S491"/>
      <sheetName val="Récap_capa_TPT_S491"/>
      <sheetName val="\\10_12_8_39\A\C2000\Macro\Mac1"/>
      <sheetName val="\\192_168_71_18\A\C2000\Macro\1"/>
      <sheetName val="\\192_168_71_18\C\A\C2000\Macr1"/>
      <sheetName val="Equipment_Req_Plan1"/>
      <sheetName val="\Users\mac\Desktop\X147\RF2_&amp;_1"/>
      <sheetName val="[Macro_for_ENG_Data_Process_200"/>
      <sheetName val="03-July_Condition_Check"/>
      <sheetName val="[Macro_for_ENG_Da㚴ರ袜ಮ"/>
      <sheetName val="HGA_ENG"/>
      <sheetName val="Allo_Rate"/>
      <sheetName val="TMR_Yield"/>
      <sheetName val="_Macro_for_ENG_Da㚴ರ"/>
      <sheetName val="[Macro_for_ENG_Da㚴ರ???????袜ಮ??"/>
      <sheetName val="VESA_Tests"/>
      <sheetName val="Gamma_Data"/>
      <sheetName val="30s_Cycle_DCIR"/>
      <sheetName val="[Macro_for_ENG_Da㚴ರ"/>
      <sheetName val="\\10_12_8_89\18s2003\18s"/>
      <sheetName val="DECEMBER_(SF_R"/>
      <sheetName val="Extraction_Elga"/>
      <sheetName val="\D\A\C2000\Macro\Macro_for_ENG_"/>
      <sheetName val="evaluated_question"/>
      <sheetName val="Apr___HL"/>
      <sheetName val="信息费用预算表(A4)_"/>
      <sheetName val="Macro_for_ENG_Data_Process_2006"/>
      <sheetName val="PD_design6"/>
      <sheetName val="3-side_shielded_cavity6"/>
      <sheetName val="Process_Steps6"/>
      <sheetName val="Process_Modified6"/>
      <sheetName val="DFH_effect6"/>
      <sheetName val="TMR_effect6"/>
      <sheetName val="UP_delta_mean6"/>
      <sheetName val="Fading_Data_(2)5"/>
      <sheetName val="\C2000\Macro\Macro_for_ENG_Dat5"/>
      <sheetName val="\A\C2000\Macro\Macro_for_ENG_D5"/>
      <sheetName val="\C\A\C2000\Macro\Macro_for_ENG5"/>
      <sheetName val="\C\C\A\C2000\Macro\Macro_for_E5"/>
      <sheetName val="\C\C\C\A\C2000\Macro\Macro_for5"/>
      <sheetName val="Capacity_Retention_Data5"/>
      <sheetName val="Stand_Capacity_Retention_Data5"/>
      <sheetName val="DLC20_205"/>
      <sheetName val="less_CT5"/>
      <sheetName val="RWﾊﾞｼﾞｪｯﾄ書式(V4_2)5"/>
      <sheetName val="\Users\Angela_Jin\Library\Cont5"/>
      <sheetName val="\C\Users\Angela_Jin\Library\Co5"/>
      <sheetName val="\C\C\Users\Angela_Jin\Library\5"/>
      <sheetName val="\C\C\C\Users\Angela_Jin\Librar5"/>
      <sheetName val="\C\C\C\C\Users\Angela_Jin\Libr5"/>
      <sheetName val="\C\C\C\C\C\Users\Angela_Jin\Li5"/>
      <sheetName val="_A_C2000_Macro_Macro_for_ENG_D5"/>
      <sheetName val="_C2000_Macro_Macro_for_ENG_Dat5"/>
      <sheetName val="\Users\maoxiaokai\Documents\_p5"/>
      <sheetName val="MPS_Q3_FY045"/>
      <sheetName val="MPS_Q4_FY045"/>
      <sheetName val="\X212\RZ1\BUY-OFF\X212_BUY-OFF5"/>
      <sheetName val="Input_commodity_fallout5"/>
      <sheetName val="_X212_RZ1_BUY-OFF_X212_BUY-OFF5"/>
      <sheetName val="\\10_12_8_89\18S2006-two_conne5"/>
      <sheetName val="\C\X212\RZ1\BUY-OFF\X212_BUY-O5"/>
      <sheetName val="\\10_12_8_89\18s2003\A\C2000\M5"/>
      <sheetName val="\\10_12_8_89\18s2003\18s2003\C5"/>
      <sheetName val="\Users\junshi_ren\AppData\Loca5"/>
      <sheetName val="_CPK_5"/>
      <sheetName val="DAILY_5"/>
      <sheetName val="june_045"/>
      <sheetName val="DECEMBER_(SF_REV_11-4)5"/>
      <sheetName val="QYH_&amp;_J33i_November_plan5"/>
      <sheetName val="QYH_&amp;_J33i_December_plan5"/>
      <sheetName val="NOVEMBER_(SF_REV_11-3)5"/>
      <sheetName val="DECEMBER_(SF_REV_11-3)5"/>
      <sheetName val="Z-SCORE_&amp;_COMPARISON5"/>
      <sheetName val="Physical_Description2"/>
      <sheetName val="\Documents_and_Settings\LYDIA_3"/>
      <sheetName val="\C\Users\junshi_ren\AppData\Lo3"/>
      <sheetName val="\C\C\Users\junshi_ren\AppData\3"/>
      <sheetName val="\C\C\C\Users\junshi_ren\AppDat3"/>
      <sheetName val="\C\C\C\C\Users\junshi_ren\AppD3"/>
      <sheetName val="\C\C\C\C\C\Users\junshi_ren\Ap3"/>
      <sheetName val="\C\C\C\C\C\C\Users\junshi_ren\3"/>
      <sheetName val="\C\C\C\C\C\C\C\Users\junshi_re3"/>
      <sheetName val="\C\C\C\C\C\C\C\C\Users\junshi_3"/>
      <sheetName val="\Documents_and_Settings\alan_x3"/>
      <sheetName val="\C\Documents_and_Settings\alan3"/>
      <sheetName val="\C\C\Documents_and_Settings\al3"/>
      <sheetName val="\C\C\C\Documents_and_Settings\3"/>
      <sheetName val="\C\C\C\C\Documents_and_Setting3"/>
      <sheetName val="Sheet_22"/>
      <sheetName val="Para_Grille2"/>
      <sheetName val="Capa_réelle_TPT_S492"/>
      <sheetName val="Récap_capa_TPT_S492"/>
      <sheetName val="_C_A_C2000_Macro_Macro_for_ENG4"/>
      <sheetName val="_C_C_A_C2000_Macro_Macro_for_E4"/>
      <sheetName val="_C_C_C_A_C2000_Macro_Macro_for4"/>
      <sheetName val="_Users_Angela_Jin_Library_Cont4"/>
      <sheetName val="_C_Users_Angela_Jin_Library_Co4"/>
      <sheetName val="_C_C_Users_Angela_Jin_Library_4"/>
      <sheetName val="_C_C_C_Users_Angela_Jin_Librar4"/>
      <sheetName val="_C_C_C_C_Users_Angela_Jin_Libr4"/>
      <sheetName val="_C_C_C_C_C_Users_Angela_Jin_Li4"/>
      <sheetName val="_Users_maoxiaokai_Documents__p4"/>
      <sheetName val="__10_12_8_89_18S2006-two_conne4"/>
      <sheetName val="_C_X212_RZ1_BUY-OFF_X212_BUY-O4"/>
      <sheetName val="__10_12_8_89_18s2003_A_C2000_M4"/>
      <sheetName val="__10_12_8_89_18s2003_18s2003_C4"/>
      <sheetName val="_Users_junshi_ren_AppData_Loca4"/>
      <sheetName val="\\10_12_8_39\A\C2000\Macro\Mac2"/>
      <sheetName val="\\192_168_71_18\A\C2000\Macro\2"/>
      <sheetName val="\\192_168_71_18\C\A\C2000\Macr2"/>
      <sheetName val="Equipment_Req_Plan2"/>
      <sheetName val="\Users\mac\Desktop\X147\RF2_&amp;_2"/>
      <sheetName val="_Documents_and_Settings_LYDIA_2"/>
      <sheetName val="_C_Users_junshi_ren_AppData_Lo2"/>
      <sheetName val="_C_C_Users_junshi_ren_AppData_2"/>
      <sheetName val="_C_C_C_Users_junshi_ren_AppDat2"/>
      <sheetName val="_C_C_C_C_Users_junshi_ren_AppD2"/>
      <sheetName val="_C_C_C_C_C_Users_junshi_ren_Ap2"/>
      <sheetName val="_C_C_C_C_C_C_Users_junshi_ren_2"/>
      <sheetName val="_C_C_C_C_C_C_C_Users_junshi_re2"/>
      <sheetName val="_C_C_C_C_C_C_C_C_Users_junshi_2"/>
      <sheetName val="_Documents_and_Settings_alan_x2"/>
      <sheetName val="_C_Documents_and_Settings_alan2"/>
      <sheetName val="_C_C_Documents_and_Settings_al2"/>
      <sheetName val="_C_C_C_Documents_and_Settings_2"/>
      <sheetName val="_C_C_C_C_Documents_and_Setting2"/>
      <sheetName val="__10_12_8_39_A_C2000_Macro_Mac1"/>
      <sheetName val="__192_168_71_18_A_C2000_Macro_1"/>
      <sheetName val="__192_168_71_18_C_A_C2000_Macr1"/>
      <sheetName val="_Users_mac_Desktop_X147_RF2_&amp;_1"/>
      <sheetName val="[Macro_for_ENG_Data_Process_201"/>
      <sheetName val="03-July_Condition_Check1"/>
      <sheetName val="HGA_ENG1"/>
      <sheetName val="Allo_Rate1"/>
      <sheetName val="TMR_Yield1"/>
      <sheetName val="_Macro_for_ENG_Da㚴ರ1"/>
      <sheetName val="VESA_Tests1"/>
      <sheetName val="Gamma_Data1"/>
      <sheetName val="30s_Cycle_DCIR1"/>
      <sheetName val="[Macro_for_ENG_Da㚴ರ1"/>
      <sheetName val="Extraction_Elga1"/>
      <sheetName val="\D\A\C2000\Macro\Macro_for_ENG1"/>
      <sheetName val="evaluated_question1"/>
      <sheetName val="Apr___HL1"/>
      <sheetName val="信息费用预算表(A4)_1"/>
      <sheetName val="SP"/>
      <sheetName val="_Macro for ENG Da㚴ರ__x0004_____"/>
      <sheetName val="成品日报4"/>
      <sheetName val="附件1.品质异常单"/>
      <sheetName val="附件详细数据"/>
      <sheetName val="51Ah (2)"/>
      <sheetName val="物流费用"/>
      <sheetName val="月度抄表"/>
      <sheetName val="低压抄表"/>
      <sheetName val="_Macro for ENG Da㚴ರ_x0004_袜ಮ"/>
      <sheetName val="__10_12_8_89_18s2003_18s_x001f__x0006__x0007__x0008_"/>
      <sheetName val="_Users_aabdollahi_.Trash_Macro "/>
      <sheetName val="_18S2002_RF1-2_buy off_A_C2000_"/>
      <sheetName val="_F_18S2002_RF1-2_buy off_A_C200"/>
      <sheetName val="_X277C_277C-BUYOFF-ATL_10.12.8."/>
      <sheetName val="_E_A_C2000_Macro_Macro for ENG "/>
      <sheetName val="_Documents and Settings_ldklfsd"/>
      <sheetName val="COG"/>
      <sheetName val="1"/>
      <sheetName val="fenxi(内)"/>
      <sheetName val="二级明细-生产"/>
      <sheetName val="工装夹检具"/>
      <sheetName val="Manufactering costs"/>
      <sheetName val="能耗测算标准-厂务 (2)"/>
      <sheetName val="CheckSheet"/>
      <sheetName val="RbData"/>
      <sheetName val="COST"/>
      <sheetName val="汇总表"/>
      <sheetName val="Pick lists"/>
      <sheetName val="全体ｸﾞﾗﾌ"/>
      <sheetName val="6.仕様範囲(SCOPE OF SPEC)"/>
      <sheetName val="应付"/>
      <sheetName val="MASTER"/>
      <sheetName val="Price"/>
      <sheetName val="UnitMaster"/>
      <sheetName val="单据"/>
      <sheetName val="Customize Your Purchase Order"/>
      <sheetName val="Tooling Amortization Table"/>
      <sheetName val="Language"/>
      <sheetName val="CALCUL"/>
      <sheetName val="TbList"/>
      <sheetName val="运输包装"/>
      <sheetName val="Country Codes"/>
      <sheetName val="設変1"/>
      <sheetName val="_Macro_for_ENG_Data_Process_200"/>
      <sheetName val="_Macro_for_ENG_Da㚴ರ_______袜ಮ__"/>
      <sheetName val="__10_12_8_89_18s2003_18s"/>
      <sheetName val="_D_A_C2000_Macro_Macro_for_ENG_"/>
      <sheetName val="Macro1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HDF"/>
      <sheetName val="Menu"/>
      <sheetName val="RD"/>
      <sheetName val="FK Ma"/>
      <sheetName val="非機種"/>
      <sheetName val="\Users\admin\Library\Mail Downl"/>
      <sheetName val="Pre-Runin"/>
      <sheetName val="记录层"/>
      <sheetName val="_Macro_for_ENG_Da㚴ರ袜ಮ"/>
      <sheetName val="_C_A_C2000_Macro_Macro_for_ENG5"/>
      <sheetName val="_C_C_A_C2000_Macro_Macro_for_E5"/>
      <sheetName val="_C_C_C_A_C2000_Macro_Macro_for5"/>
      <sheetName val="_Users_Angela_Jin_Library_Cont5"/>
      <sheetName val="_C_Users_Angela_Jin_Library_Co5"/>
      <sheetName val="_C_C_Users_Angela_Jin_Library_5"/>
      <sheetName val="_C_C_C_Users_Angela_Jin_Librar5"/>
      <sheetName val="_C_C_C_C_Users_Angela_Jin_Libr5"/>
      <sheetName val="_C_C_C_C_C_Users_Angela_Jin_Li5"/>
      <sheetName val="_Users_maoxiaokai_Documents__p5"/>
      <sheetName val="__10_12_8_89_18S2006-two_conne5"/>
      <sheetName val="_C_X212_RZ1_BUY-OFF_X212_BUY-O5"/>
      <sheetName val="__10_12_8_89_18s2003_A_C2000_M5"/>
      <sheetName val="__10_12_8_89_18s2003_18s2003_C5"/>
      <sheetName val="_Users_junshi_ren_AppData_Loca5"/>
      <sheetName val="_Documents_and_Settings_LYDIA_3"/>
      <sheetName val="_C_Users_junshi_ren_AppData_Lo3"/>
      <sheetName val="_C_C_Users_junshi_ren_AppData_3"/>
      <sheetName val="_C_C_C_Users_junshi_ren_AppDat3"/>
      <sheetName val="_C_C_C_C_Users_junshi_ren_AppD3"/>
      <sheetName val="_C_C_C_C_C_Users_junshi_ren_Ap3"/>
      <sheetName val="_C_C_C_C_C_C_Users_junshi_ren_3"/>
      <sheetName val="_C_C_C_C_C_C_C_Users_junshi_re3"/>
      <sheetName val="_C_C_C_C_C_C_C_C_Users_junshi_3"/>
      <sheetName val="_Documents_and_Settings_alan_x3"/>
      <sheetName val="_C_Documents_and_Settings_alan3"/>
      <sheetName val="_C_C_Documents_and_Settings_al3"/>
      <sheetName val="_C_C_C_Documents_and_Settings_3"/>
      <sheetName val="_C_C_C_C_Documents_and_Setting3"/>
      <sheetName val="__10_12_8_39_A_C2000_Macro_Mac2"/>
      <sheetName val="__192_168_71_18_A_C2000_Macro_2"/>
      <sheetName val="__192_168_71_18_C_A_C2000_Macr2"/>
      <sheetName val="_Users_mac_Desktop_X147_RF2_&amp;_2"/>
      <sheetName val="_Macro_for_ENG_Data_Process_201"/>
      <sheetName val="_D_A_C2000_Macro_Macro_for_ENG1"/>
      <sheetName val="S_H"/>
      <sheetName val="Y_H"/>
      <sheetName val="Macro_for_ENG_Data_Process_2007"/>
      <sheetName val="PD_design7"/>
      <sheetName val="3-side_shielded_cavity7"/>
      <sheetName val="Process_Steps7"/>
      <sheetName val="Process_Modified7"/>
      <sheetName val="DFH_effect7"/>
      <sheetName val="TMR_effect7"/>
      <sheetName val="UP_delta_mean7"/>
      <sheetName val="Fading_Data_(2)6"/>
      <sheetName val="\C2000\Macro\Macro_for_ENG_Dat6"/>
      <sheetName val="\A\C2000\Macro\Macro_for_ENG_D6"/>
      <sheetName val="\C\A\C2000\Macro\Macro_for_ENG6"/>
      <sheetName val="\C\C\A\C2000\Macro\Macro_for_E6"/>
      <sheetName val="\C\C\C\A\C2000\Macro\Macro_for6"/>
      <sheetName val="Capacity_Retention_Data6"/>
      <sheetName val="Stand_Capacity_Retention_Data6"/>
      <sheetName val="DLC20_206"/>
      <sheetName val="less_CT6"/>
      <sheetName val="RWﾊﾞｼﾞｪｯﾄ書式(V4_2)6"/>
      <sheetName val="_A_C2000_Macro_Macro_for_ENG_D6"/>
      <sheetName val="_C2000_Macro_Macro_for_ENG_Dat6"/>
      <sheetName val="\Users\Angela_Jin\Library\Cont6"/>
      <sheetName val="\C\Users\Angela_Jin\Library\Co6"/>
      <sheetName val="\C\C\Users\Angela_Jin\Library\6"/>
      <sheetName val="\C\C\C\Users\Angela_Jin\Librar6"/>
      <sheetName val="\C\C\C\C\Users\Angela_Jin\Libr6"/>
      <sheetName val="\C\C\C\C\C\Users\Angela_Jin\Li6"/>
      <sheetName val="\Users\maoxiaokai\Documents\_p6"/>
      <sheetName val="MPS_Q3_FY046"/>
      <sheetName val="MPS_Q4_FY046"/>
      <sheetName val="\X212\RZ1\BUY-OFF\X212_BUY-OFF6"/>
      <sheetName val="Input_commodity_fallout6"/>
      <sheetName val="_X212_RZ1_BUY-OFF_X212_BUY-OFF6"/>
      <sheetName val="\\10_12_8_89\18S2006-two_conne6"/>
      <sheetName val="\C\X212\RZ1\BUY-OFF\X212_BUY-O6"/>
      <sheetName val="\\10_12_8_89\18s2003\A\C2000\M6"/>
      <sheetName val="\\10_12_8_89\18s2003\18s2003\C6"/>
      <sheetName val="\Users\junshi_ren\AppData\Loca6"/>
      <sheetName val="_CPK_6"/>
      <sheetName val="DAILY_6"/>
      <sheetName val="june_046"/>
      <sheetName val="DECEMBER_(SF_REV_11-4)6"/>
      <sheetName val="QYH_&amp;_J33i_November_plan6"/>
      <sheetName val="QYH_&amp;_J33i_December_plan6"/>
      <sheetName val="NOVEMBER_(SF_REV_11-3)6"/>
      <sheetName val="DECEMBER_(SF_REV_11-3)6"/>
      <sheetName val="Z-SCORE_&amp;_COMPARISON6"/>
      <sheetName val="Physical_Description3"/>
      <sheetName val="\Documents_and_Settings\LYDIA_4"/>
      <sheetName val="\C\Users\junshi_ren\AppData\Lo4"/>
      <sheetName val="\C\C\Users\junshi_ren\AppData\4"/>
      <sheetName val="\C\C\C\Users\junshi_ren\AppDat4"/>
      <sheetName val="\C\C\C\C\Users\junshi_ren\AppD4"/>
      <sheetName val="\C\C\C\C\C\Users\junshi_ren\Ap4"/>
      <sheetName val="\C\C\C\C\C\C\Users\junshi_ren\4"/>
      <sheetName val="\C\C\C\C\C\C\C\Users\junshi_re4"/>
      <sheetName val="\C\C\C\C\C\C\C\C\Users\junshi_4"/>
      <sheetName val="\Documents_and_Settings\alan_x4"/>
      <sheetName val="\C\Documents_and_Settings\alan4"/>
      <sheetName val="\C\C\Documents_and_Settings\al4"/>
      <sheetName val="\C\C\C\Documents_and_Settings\4"/>
      <sheetName val="\C\C\C\C\Documents_and_Setting4"/>
      <sheetName val="Capa_réelle_TPT_S493"/>
      <sheetName val="Récap_capa_TPT_S493"/>
      <sheetName val="Sheet_23"/>
      <sheetName val="Para_Grille3"/>
      <sheetName val="\\10_12_8_39\A\C2000\Macro\Mac3"/>
      <sheetName val="\\192_168_71_18\A\C2000\Macro\3"/>
      <sheetName val="\\192_168_71_18\C\A\C2000\Macr3"/>
      <sheetName val="Equipment_Req_Plan3"/>
      <sheetName val="\Users\mac\Desktop\X147\RF2_&amp;_3"/>
      <sheetName val="[Macro_for_ENG_Data_Process_202"/>
      <sheetName val="03-July_Condition_Check2"/>
      <sheetName val="HGA_ENG2"/>
      <sheetName val="Allo_Rate2"/>
      <sheetName val="TMR_Yield2"/>
      <sheetName val="_Macro_for_ENG_Da㚴ರ2"/>
      <sheetName val="VESA_Tests2"/>
      <sheetName val="Gamma_Data2"/>
      <sheetName val="30s_Cycle_DCIR2"/>
      <sheetName val="[Macro_for_ENG_Da㚴ರ2"/>
      <sheetName val="Extraction_Elga2"/>
      <sheetName val="\D\A\C2000\Macro\Macro_for_ENG2"/>
      <sheetName val="evaluated_question2"/>
      <sheetName val="Apr___HL2"/>
      <sheetName val="信息费用预算表(A4)_2"/>
      <sheetName val="조립,_권취_LOT별_발생_이력"/>
      <sheetName val="\Users\aabdollahi\_Trash\Macro_"/>
      <sheetName val="Financ__Overview"/>
      <sheetName val="\18S2002\RF1-2\buy_off\A\C2000\"/>
      <sheetName val="\F\18S2002\RF1-2\buy_off\A\C200"/>
      <sheetName val="\X277C\277C-BUYOFF-ATL\10_12_8_"/>
      <sheetName val="\E\A\C2000\Macro\Macro_for_ENG_"/>
      <sheetName val="Data_lists"/>
      <sheetName val="\Documents_and_Settings\ldklfsd"/>
      <sheetName val="_Macro_for_ENG_Da㚴ರ_____"/>
      <sheetName val="A1-4_Failure_Impact_"/>
      <sheetName val="System_Sheet"/>
      <sheetName val="REPAIR_DATA_-_CONTAINER_#5"/>
      <sheetName val="Adjust_Panel"/>
      <sheetName val="Sheet1"/>
      <sheetName val=" X bar-S Control Chart"/>
      <sheetName val="RL06-G190809-S4包覆工序配料计算记录"/>
      <sheetName val="V1_H1"/>
      <sheetName val="Sheet392"/>
      <sheetName val="趋势图"/>
      <sheetName val="MapData"/>
      <sheetName val="营业外收入Dy"/>
      <sheetName val="Macro_for_ENG_Data_Process_2008"/>
      <sheetName val="数据"/>
      <sheetName val="test data"/>
      <sheetName val="GB-IC Villingen GG"/>
      <sheetName val="M.P.S."/>
      <sheetName val="Basisdaten"/>
      <sheetName val="标准定义"/>
      <sheetName val="BASIS "/>
      <sheetName val="物料收发汇总表"/>
      <sheetName val="_Users_admin_Library_Mail Downl"/>
      <sheetName val="Sheet466"/>
      <sheetName val="计算"/>
      <sheetName val="Pkt. Proz."/>
      <sheetName val="Sheet541"/>
      <sheetName val=" RR.FLOOR COMP工程"/>
      <sheetName val="見積依頼書"/>
      <sheetName val="Admin"/>
      <sheetName val="Share Prices"/>
      <sheetName val="一线排序计划"/>
      <sheetName val="전수항목"/>
      <sheetName val="BS"/>
      <sheetName val="Deckblatt"/>
      <sheetName val="9003"/>
      <sheetName val="After Sales Supplier #'s"/>
      <sheetName val="\C\Users\angela\Library\Applica"/>
      <sheetName val="\E\C\Users\angela\Library\Appli"/>
      <sheetName val="\C\C2000\Macro\Macro for ENG Da"/>
      <sheetName val="\E\C\C2000\Macro\Macro for ENG "/>
      <sheetName val="\E\Users\liuyangie\AppData\Loca"/>
      <sheetName val="\C\Users\liuyangie\AppData\Loca"/>
      <sheetName val="\E\C\Users\liuyangie\AppData\Lo"/>
      <sheetName val="Chi²-Test_1"/>
      <sheetName val="\D\Users\aabdollahi\.Trash\Macr"/>
      <sheetName val="材料数据库"/>
      <sheetName val="2004"/>
      <sheetName val="CDPS"/>
      <sheetName val="ItemsExport108"/>
      <sheetName val="项目组"/>
      <sheetName val="Be&amp;Af(FI)"/>
      <sheetName val="ItemsExport99"/>
      <sheetName val="OK2x"/>
      <sheetName val="XL4Poppy"/>
      <sheetName val="raw data"/>
      <sheetName val="TRIALS"/>
      <sheetName val="011128"/>
      <sheetName val="Total"/>
      <sheetName val="Employee Information"/>
      <sheetName val="Sheet12"/>
      <sheetName val="MONTH"/>
      <sheetName val="SPM"/>
      <sheetName val="delta Plot Data1"/>
      <sheetName val="emplist"/>
      <sheetName val="Level1"/>
      <sheetName val="Management"/>
      <sheetName val="ｸﾞﾗﾌ作成"/>
      <sheetName val="PARAMETRES"/>
      <sheetName val="DCR"/>
      <sheetName val="Impedance"/>
      <sheetName val="ACE(P1)"/>
      <sheetName val="0L2"/>
      <sheetName val="Coating CEC"/>
      <sheetName val="Seperater-P1"/>
      <sheetName val="能耗测算标准-厂务"/>
      <sheetName val="表紙"/>
      <sheetName val="5月发车实绩"/>
      <sheetName val="INTERNAL_PROCESS"/>
      <sheetName val="_C_A_C2000_Macro_Macro_for_ENG6"/>
      <sheetName val="_C_C_A_C2000_Macro_Macro_for_E6"/>
      <sheetName val="_C_C_C_A_C2000_Macro_Macro_for6"/>
      <sheetName val="_Users_Angela_Jin_Library_Cont6"/>
      <sheetName val="_C_Users_Angela_Jin_Library_Co6"/>
      <sheetName val="_C_C_Users_Angela_Jin_Library_6"/>
      <sheetName val="_C_C_C_Users_Angela_Jin_Librar6"/>
      <sheetName val="_C_C_C_C_Users_Angela_Jin_Libr6"/>
      <sheetName val="_C_C_C_C_C_Users_Angela_Jin_Li6"/>
      <sheetName val="_Users_maoxiaokai_Documents__p6"/>
      <sheetName val="__10_12_8_89_18S2006-two_conne6"/>
      <sheetName val="_C_X212_RZ1_BUY-OFF_X212_BUY-O6"/>
      <sheetName val="__10_12_8_89_18s2003_A_C2000_M6"/>
      <sheetName val="__10_12_8_89_18s2003_18s2003_C6"/>
      <sheetName val="_Users_junshi_ren_AppData_Loca6"/>
      <sheetName val="_Documents_and_Settings_LYDIA_4"/>
      <sheetName val="_C_Users_junshi_ren_AppData_Lo4"/>
      <sheetName val="_C_C_Users_junshi_ren_AppData_4"/>
      <sheetName val="_C_C_C_Users_junshi_ren_AppDat4"/>
      <sheetName val="_C_C_C_C_Users_junshi_ren_AppD4"/>
      <sheetName val="_C_C_C_C_C_Users_junshi_ren_Ap4"/>
      <sheetName val="_C_C_C_C_C_C_Users_junshi_ren_4"/>
      <sheetName val="_C_C_C_C_C_C_C_Users_junshi_re4"/>
      <sheetName val="_C_C_C_C_C_C_C_C_Users_junshi_4"/>
      <sheetName val="_Documents_and_Settings_alan_x4"/>
      <sheetName val="_C_Documents_and_Settings_alan4"/>
      <sheetName val="_C_C_Documents_and_Settings_al4"/>
      <sheetName val="_C_C_C_Documents_and_Settings_4"/>
      <sheetName val="_C_C_C_C_Documents_and_Setting4"/>
      <sheetName val="__10_12_8_39_A_C2000_Macro_Mac3"/>
      <sheetName val="__192_168_71_18_A_C2000_Macro_3"/>
      <sheetName val="__192_168_71_18_C_A_C2000_Macr3"/>
      <sheetName val="_Users_mac_Desktop_X147_RF2_&amp;_3"/>
      <sheetName val="_Macro_for_ENG_Data_Process_202"/>
      <sheetName val="_D_A_C2000_Macro_Macro_for_ENG2"/>
      <sheetName val="_Users_aabdollahi__Trash_Macro_"/>
      <sheetName val="_18S2002_RF1-2_buy_off_A_C2000_"/>
      <sheetName val="_F_18S2002_RF1-2_buy_off_A_C200"/>
      <sheetName val="_X277C_277C-BUYOFF-ATL_10_12_8_"/>
      <sheetName val="_E_A_C2000_Macro_Macro_for_ENG_"/>
      <sheetName val="_Documents_and_Settings_ldklfsd"/>
      <sheetName val="_C_Users_angela_Library_Applica"/>
      <sheetName val="_E_C_Users_angela_Library_Appli"/>
      <sheetName val="_C_C2000_Macro_Macro for ENG Da"/>
      <sheetName val="_E_C_C2000_Macro_Macro for ENG "/>
      <sheetName val="_E_Users_liuyangie_AppData_Loca"/>
      <sheetName val="_C_Users_liuyangie_AppData_Loca"/>
      <sheetName val="_E_C_Users_liuyangie_AppData_Lo"/>
      <sheetName val="_D_Users_aabdollahi_.Trash_Macr"/>
      <sheetName val="기준"/>
      <sheetName val="PARAMETERS"/>
      <sheetName val="二切流__果F4450JY-20"/>
      <sheetName val="Breakdown"/>
      <sheetName val="設定条件"/>
      <sheetName val="Composition Equipe BX3"/>
    </sheetNames>
    <definedNames>
      <definedName name="Histogram_Plot_Crea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 refreshError="1"/>
      <sheetData sheetId="1332" refreshError="1"/>
      <sheetData sheetId="1333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 refreshError="1"/>
      <sheetData sheetId="1351" refreshError="1"/>
      <sheetData sheetId="1352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0612B0609029-1"/>
      <sheetName val="Fading_Data"/>
      <sheetName val="Cycle"/>
      <sheetName val="Sheet371"/>
      <sheetName val="PPAP"/>
      <sheetName val="LOT구성(Winding)"/>
      <sheetName val="Data lists"/>
      <sheetName val="VESA Tests"/>
      <sheetName val="Gamma Data"/>
      <sheetName val="PPAP.xls"/>
      <sheetName val="1F)LOT구성(构成))"/>
      <sheetName val="125PIECE"/>
      <sheetName val="TMK280-02"/>
      <sheetName val="Sheet3"/>
      <sheetName val="8605ML91"/>
      <sheetName val="MPS Q3 FY04"/>
      <sheetName val="MPS Q4 FY04"/>
      <sheetName val="REPAIR DATA - CONTAINER #5"/>
      <sheetName val="model"/>
      <sheetName val="02"/>
      <sheetName val="09"/>
      <sheetName val="03"/>
      <sheetName val="Sheet2"/>
      <sheetName val="combine"/>
      <sheetName val="O1OB"/>
      <sheetName val="Cork"/>
      <sheetName val="04"/>
      <sheetName val="10"/>
      <sheetName val="11"/>
      <sheetName val="12"/>
      <sheetName val="13"/>
      <sheetName val="19"/>
      <sheetName val="21"/>
      <sheetName val="22"/>
      <sheetName val="25"/>
      <sheetName val="R&amp;D"/>
      <sheetName val="FA-LISTING"/>
      <sheetName val="\\ssl-file\PE-1\Documents and S"/>
      <sheetName val="CpK_"/>
      <sheetName val="Gage_R&amp;R"/>
      <sheetName val="Drawing1_A01-00"/>
      <sheetName val="Drawing2_A01-00"/>
      <sheetName val="Flow_Chart"/>
      <sheetName val="Control__Plan"/>
      <sheetName val="Matl_Cert"/>
      <sheetName val="Var__Ctrl_Cht_Backpage"/>
      <sheetName val="Process-Machine_set-up_sheet"/>
      <sheetName val="Data_lists"/>
      <sheetName val="VESA_Tests"/>
      <sheetName val="Gamma_Data"/>
      <sheetName val="PPAP_xls"/>
      <sheetName val="TTL Yield"/>
      <sheetName val="Checklist"/>
      <sheetName val="FAIDATA"/>
      <sheetName val="Cpk"/>
      <sheetName val="Gage R&amp;R "/>
      <sheetName val="Drawing 1"/>
      <sheetName val="PFMEA Cover"/>
      <sheetName val="PFMEA "/>
      <sheetName val="Control Plan"/>
      <sheetName val="Var. Ctrl Cht Frontpage"/>
      <sheetName val="Inprocess Control Plan Template"/>
      <sheetName val="Process Setup Sheet"/>
      <sheetName val="Quality Concerns Example"/>
      <sheetName val="Packaging Example "/>
      <sheetName val="IQC"/>
      <sheetName val="Out-going"/>
      <sheetName val="PMP"/>
      <sheetName val="SOP"/>
      <sheetName val="SIP"/>
      <sheetName val="Quality goals"/>
      <sheetName val="COC"/>
      <sheetName val="Reliablity test"/>
      <sheetName val="Shipping label"/>
      <sheetName val="QSA"/>
      <sheetName val="QPA"/>
      <sheetName val="Corrective actions"/>
      <sheetName val="Process Parameters"/>
      <sheetName val="Yield Rate"/>
      <sheetName val="Surface Criteria"/>
      <sheetName val="BOM"/>
      <sheetName val="Function Test"/>
      <sheetName val=" FAI"/>
      <sheetName val="Assembly_BOM"/>
      <sheetName val="Capability"/>
      <sheetName val="GR&amp;R for CTF-#"/>
      <sheetName val="Drawing"/>
      <sheetName val="Material Certification"/>
      <sheetName val="Additional Documentation"/>
      <sheetName val="XL4Test5"/>
      <sheetName val="周生產"/>
      <sheetName val="CpK_1"/>
      <sheetName val="Gage_R&amp;R1"/>
      <sheetName val="Drawing1_A01-001"/>
      <sheetName val="Drawing2_A01-001"/>
      <sheetName val="Flow_Chart1"/>
      <sheetName val="Control__Plan1"/>
      <sheetName val="Matl_Cert1"/>
      <sheetName val="Var__Ctrl_Cht_Backpage1"/>
      <sheetName val="Process-Machine_set-up_sheet1"/>
      <sheetName val="DEF"/>
      <sheetName val="CpK_2"/>
      <sheetName val="Gage_R&amp;R2"/>
      <sheetName val="Drawing1_A01-002"/>
      <sheetName val="Drawing2_A01-002"/>
      <sheetName val="Flow_Chart2"/>
      <sheetName val="Control__Plan2"/>
      <sheetName val="Matl_Cert2"/>
      <sheetName val="Var__Ctrl_Cht_Backpage2"/>
      <sheetName val="Process-Machine_set-up_sheet2"/>
      <sheetName val="Data_lists1"/>
      <sheetName val="VESA_Tests1"/>
      <sheetName val="Gamma_Data1"/>
      <sheetName val="PPAP_xls1"/>
      <sheetName val="MPS_Q3_FY04"/>
      <sheetName val="MPS_Q4_FY04"/>
      <sheetName val="REPAIR_DATA_-_CONTAINER_#5"/>
      <sheetName val="\\ssl-file\PE-1\Documents_and_S"/>
      <sheetName val="TTL_Yield"/>
      <sheetName val="Gage_R&amp;R_"/>
      <sheetName val="Drawing_1"/>
      <sheetName val="PFMEA_Cover"/>
      <sheetName val="PFMEA_"/>
      <sheetName val="Control_Plan"/>
      <sheetName val="Var__Ctrl_Cht_Frontpage"/>
      <sheetName val="Inprocess_Control_Plan_Template"/>
      <sheetName val="Process_Setup_Sheet"/>
      <sheetName val="Quality_Concerns_Example"/>
      <sheetName val="Packaging_Example_"/>
      <sheetName val="Quality_goals"/>
      <sheetName val="Reliablity_test"/>
      <sheetName val="Shipping_label"/>
      <sheetName val="Corrective_actions"/>
      <sheetName val="Process_Parameters"/>
      <sheetName val="Yield_Rate"/>
      <sheetName val="Surface_Criteria"/>
      <sheetName val="Function_Test"/>
      <sheetName val="_FAI"/>
      <sheetName val="GR&amp;R_for_CTF-#"/>
      <sheetName val="Material_Certification"/>
      <sheetName val="Additional_Documentation"/>
      <sheetName val="CpK_3"/>
      <sheetName val="Gage_R&amp;R3"/>
      <sheetName val="Drawing1_A01-003"/>
      <sheetName val="Drawing2_A01-003"/>
      <sheetName val="Flow_Chart3"/>
      <sheetName val="Control__Plan3"/>
      <sheetName val="Matl_Cert3"/>
      <sheetName val="Var__Ctrl_Cht_Backpage3"/>
      <sheetName val="Process-Machine_set-up_sheet3"/>
      <sheetName val="Data_lists2"/>
      <sheetName val="VESA_Tests2"/>
      <sheetName val="Gamma_Data2"/>
      <sheetName val="PPAP_xls2"/>
      <sheetName val="MPS_Q3_FY041"/>
      <sheetName val="MPS_Q4_FY041"/>
      <sheetName val="REPAIR_DATA_-_CONTAINER_#51"/>
      <sheetName val="\\ssl-file\PE-1\Documents_and_1"/>
      <sheetName val="TTL_Yield1"/>
      <sheetName val="Gage_R&amp;R_1"/>
      <sheetName val="Drawing_11"/>
      <sheetName val="PFMEA_Cover1"/>
      <sheetName val="PFMEA_1"/>
      <sheetName val="Control_Plan1"/>
      <sheetName val="Var__Ctrl_Cht_Frontpage1"/>
      <sheetName val="Inprocess_Control_Plan_Templat1"/>
      <sheetName val="Process_Setup_Sheet1"/>
      <sheetName val="Quality_Concerns_Example1"/>
      <sheetName val="Packaging_Example_1"/>
      <sheetName val="Quality_goals1"/>
      <sheetName val="Reliablity_test1"/>
      <sheetName val="Shipping_label1"/>
      <sheetName val="Corrective_actions1"/>
      <sheetName val="Process_Parameters1"/>
      <sheetName val="Yield_Rate1"/>
      <sheetName val="Surface_Criteria1"/>
      <sheetName val="Function_Test1"/>
      <sheetName val="_FAI1"/>
      <sheetName val="GR&amp;R_for_CTF-#1"/>
      <sheetName val="Material_Certification1"/>
      <sheetName val="Additional_Documentation1"/>
      <sheetName val="CpK_4"/>
      <sheetName val="Gage_R&amp;R4"/>
      <sheetName val="Drawing1_A01-004"/>
      <sheetName val="Drawing2_A01-004"/>
      <sheetName val="Flow_Chart4"/>
      <sheetName val="Control__Plan4"/>
      <sheetName val="Matl_Cert4"/>
      <sheetName val="Var__Ctrl_Cht_Backpage4"/>
      <sheetName val="Process-Machine_set-up_sheet4"/>
      <sheetName val="Data_lists3"/>
      <sheetName val="VESA_Tests3"/>
      <sheetName val="Gamma_Data3"/>
      <sheetName val="PPAP_xls3"/>
      <sheetName val="MPS_Q3_FY042"/>
      <sheetName val="MPS_Q4_FY042"/>
      <sheetName val="REPAIR_DATA_-_CONTAINER_#52"/>
      <sheetName val="\\ssl-file\PE-1\Documents_and_2"/>
      <sheetName val="TTL_Yield2"/>
      <sheetName val="Gage_R&amp;R_2"/>
      <sheetName val="Drawing_12"/>
      <sheetName val="PFMEA_Cover2"/>
      <sheetName val="PFMEA_2"/>
      <sheetName val="Control_Plan2"/>
      <sheetName val="Var__Ctrl_Cht_Frontpage2"/>
      <sheetName val="Inprocess_Control_Plan_Templat2"/>
      <sheetName val="Process_Setup_Sheet2"/>
      <sheetName val="Quality_Concerns_Example2"/>
      <sheetName val="Packaging_Example_2"/>
      <sheetName val="Quality_goals2"/>
      <sheetName val="Reliablity_test2"/>
      <sheetName val="Shipping_label2"/>
      <sheetName val="Corrective_actions2"/>
      <sheetName val="Process_Parameters2"/>
      <sheetName val="Yield_Rate2"/>
      <sheetName val="Surface_Criteria2"/>
      <sheetName val="Function_Test2"/>
      <sheetName val="_FAI2"/>
      <sheetName val="GR&amp;R_for_CTF-#2"/>
      <sheetName val="Material_Certification2"/>
      <sheetName val="Additional_Documentation2"/>
      <sheetName val="60℃可逆容量"/>
      <sheetName val="源"/>
      <sheetName val="__ssl-file_PE-1_Documents and S"/>
      <sheetName val="Database"/>
      <sheetName val="__ssl-file_PE-1_Documents_and_S"/>
      <sheetName val="__ssl-file_PE-1_Documents_and_1"/>
      <sheetName val="__ssl-file_PE-1_Documents_and_2"/>
      <sheetName val="Internal_Pressure_Data"/>
      <sheetName val="811Pressure_Data"/>
      <sheetName val="Pressure_Data"/>
      <sheetName val="25℃可逆容量"/>
      <sheetName val="Cover"/>
      <sheetName val="PSW"/>
      <sheetName val="ECN"/>
      <sheetName val="FAI Report"/>
      <sheetName val="Test Result"/>
      <sheetName val="Initial Process Study"/>
      <sheetName val="MSA"/>
      <sheetName val="Checking Aids"/>
      <sheetName val="Process flow "/>
      <sheetName val="Revision"/>
      <sheetName val="Drawing1 A0"/>
      <sheetName val="Drawing2 A0"/>
      <sheetName val="Control  Pl"/>
      <sheetName val="Var. Ctrl C"/>
      <sheetName val="Process-Mac"/>
      <sheetName val="Var. Ctrl Cht Ba"/>
      <sheetName val="Process-Machine "/>
      <sheetName val="正極MIX"/>
      <sheetName val="負極MIX"/>
      <sheetName val="販売計画"/>
      <sheetName val=""/>
      <sheetName val="Gage R&amp;R (SS-A1)"/>
      <sheetName val="Gage R&amp;R (SS-C5)"/>
      <sheetName val="Gage R&amp;R (D1)"/>
      <sheetName val="Gage R&amp;R (2)"/>
      <sheetName val="Drawing 2"/>
      <sheetName val="Flow Chart (modg)"/>
      <sheetName val="PFMEA (modg)"/>
      <sheetName val="Var.Ctrl Frontpage2"/>
      <sheetName val="Var. Ctrl Frontpage3"/>
      <sheetName val="ΔU_Data"/>
      <sheetName val="30s Cycle_DCIR"/>
      <sheetName val="Expand_Pressure_Data"/>
      <sheetName val="Matrix矩阵"/>
      <sheetName val="THK_IMP_OCVDataPlot"/>
      <sheetName val="Physical Description"/>
      <sheetName val="Rate"/>
      <sheetName val="\Users\sanjaysheth\Library\Cont"/>
      <sheetName val="\C\Users\sanjaysheth\Library\Co"/>
      <sheetName val="\C\C\Users\sanjaysheth\Library\"/>
      <sheetName val="Initial Input"/>
      <sheetName val="Cp Cpk 15"/>
      <sheetName val="Calimero BOM"/>
      <sheetName val="Toolplan"/>
      <sheetName val="HIP_Antenna Cap"/>
      <sheetName val="top# issues"/>
      <sheetName val="Input commodity fallout"/>
      <sheetName val="Reporting"/>
      <sheetName val="Input_commodity_fallout"/>
      <sheetName val="stock"/>
      <sheetName val="#REF!"/>
      <sheetName val="Receiving Inspection"/>
      <sheetName val="外製先"/>
      <sheetName val="Issues List"/>
      <sheetName val="All"/>
      <sheetName val="Sheet1"/>
      <sheetName val="[PPAP.xls][PPAP.xls]AM7_MIL__18"/>
      <sheetName val="CQP_Diamond receiver.xlsx"/>
      <sheetName val=" D21 Receiver EVT CQP 1.0.xlsx"/>
      <sheetName val="3"/>
      <sheetName val="6"/>
      <sheetName val="[PPAP.xls]\\ssl-file\PE-1\Docum"/>
      <sheetName val="[PPAP.xls][PPAP.xls]\\ssl-file\"/>
      <sheetName val="\\ssl-file\PE-1\Docum"/>
      <sheetName val="[PPAP.xls]\\ssl-file\"/>
      <sheetName val="[PPAP.xls][PPAP.xls]AM7_MIL__17"/>
      <sheetName val="39#_DC"/>
      <sheetName val="[PPAP.xls][PPAP.xls]AM7_MIL_P_3"/>
      <sheetName val="[PPAP.xls][PPAP.xls]AM7_MIL_P_2"/>
      <sheetName val="[PPAP.xls][PPAP.xls]AM7_MIL_P_4"/>
      <sheetName val="[PPAP.xls][PPAP.xls]AM7_MIL_P_5"/>
      <sheetName val="NEW_THK"/>
      <sheetName val="\\ssl-file\"/>
      <sheetName val="[PPAP.xls][PPAP.xls]AM7_MIL_P_7"/>
      <sheetName val="[PPAP.xls][PPAP.xls]AM7_MIL_P_6"/>
      <sheetName val="[PPAP.xls][PPAP.xls]AM7_MIL_P_9"/>
      <sheetName val="[PPAP.xls][PPAP.xls]AM7_MIL_P_8"/>
      <sheetName val="[PPAP.xls]AM7_MIL_P_3"/>
      <sheetName val="[PPAP.xls]AM7_MIL_P_2"/>
      <sheetName val="[PPAP.xls]AM7_MIL_P_4"/>
      <sheetName val="[PPAP.xls]AM7_MIL_P_5"/>
      <sheetName val="[PPAP.xls][PPAP.xls]AM7_MIL__11"/>
      <sheetName val="[PPAP.xls][PPAP.xls]AM7_MIL__10"/>
      <sheetName val="[PPAP.xls]AM7_MIL_P_7"/>
      <sheetName val="[PPAP.xls]AM7_MIL_P_6"/>
      <sheetName val="AM7_MIL_P_3"/>
      <sheetName val="AM7_MIL_P_2"/>
      <sheetName val="AM7_MIL_P_4"/>
      <sheetName val="AM7_MIL_P_5"/>
      <sheetName val="[PPAP.xls][PPAP.xls]AM7_MIL__13"/>
      <sheetName val="[PPAP.xls][PPAP.xls]AM7_MIL__12"/>
      <sheetName val="[PPAP.xls][PPAP.xls]AM7_MIL__14"/>
      <sheetName val="[PPAP.xls][PPAP.xls]AM7_MIL__16"/>
      <sheetName val="[PPAP.xls][PPAP.xls]AM7_MIL__15"/>
      <sheetName val="[PPAP.xls][PPAP.xls]AM7_MIL__19"/>
      <sheetName val="[PPAP.xls]AM7\MIL\PPAP.xls"/>
      <sheetName val="[PPAP.xls][PPAP.xls]AM7_MIL__23"/>
      <sheetName val="[PPAP.xls][PPAP.xls]AM7_MIL__21"/>
      <sheetName val="[PPAP.xls][PPAP.xls]AM7_MIL__20"/>
      <sheetName val="[PPAP.xls][PPAP.xls]AM7_MIL__22"/>
      <sheetName val="EV Project Schedule Rev.01"/>
      <sheetName val="Sheet 2"/>
      <sheetName val="_PPAP.xls___ssl-file_PE-1_Docum"/>
      <sheetName val="[PPAP.xls][PPAP.xls]AM7\MIL\PPA"/>
      <sheetName val="18650常规设计表"/>
    </sheetNames>
    <sheetDataSet>
      <sheetData sheetId="0" refreshError="1"/>
      <sheetData sheetId="1" refreshError="1"/>
      <sheetData sheetId="2"/>
      <sheetData sheetId="3" refreshError="1"/>
      <sheetData sheetId="4" refreshError="1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Sheet1"/>
      <sheetName val="Data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Cycle"/>
      <sheetName val="model"/>
      <sheetName val="Distribution7"/>
      <sheetName val="Capacity Retention_Data"/>
      <sheetName val="Capacity_Retention_Data"/>
      <sheetName val="14593CR1"/>
      <sheetName val="14593CR2"/>
      <sheetName val="14593IM1"/>
      <sheetName val="14593SH1"/>
      <sheetName val="ISRDATA"/>
      <sheetName val="Capacity_Retention_Data1"/>
      <sheetName val="Capacity_Retention_Data2"/>
      <sheetName val="Capacity_Retention_Data3"/>
      <sheetName val="Bode 60"/>
      <sheetName val="Bode 25"/>
      <sheetName val="45℃可逆容量"/>
      <sheetName val="源"/>
      <sheetName val="リスト"/>
      <sheetName val="9-3 MSA-注液孔沉孔孔径"/>
      <sheetName val="车间布置图 "/>
      <sheetName val="Sheet 2"/>
      <sheetName val="Internal_Pressure_Data"/>
      <sheetName val=""/>
      <sheetName val="CAP-061921W01006"/>
      <sheetName val="CAP-061921W01040"/>
      <sheetName val="CAP-061921W01082"/>
      <sheetName val="CAP-0194R0900983"/>
      <sheetName val="CAP-0194P0902311"/>
      <sheetName val="Tab"/>
      <sheetName val="Pocket"/>
      <sheetName val="Sep"/>
      <sheetName val="ET"/>
      <sheetName val="Foil"/>
      <sheetName val="Anode"/>
      <sheetName val="Cathode"/>
      <sheetName val="RATE"/>
      <sheetName val="A1-4 Failure Impact "/>
      <sheetName val="OK2x"/>
      <sheetName val="材料序列"/>
      <sheetName val="G.1R-Shou COP Gf"/>
      <sheetName val="汇总"/>
      <sheetName val="物料"/>
      <sheetName val="Toolbox"/>
      <sheetName val="13 铁路配件"/>
      <sheetName val="P1012001"/>
      <sheetName val="Database"/>
      <sheetName val="#REF!"/>
      <sheetName val="4原始数据"/>
      <sheetName val="-20℃低温循环"/>
      <sheetName val="18650常规设计表"/>
    </sheetNames>
    <sheetDataSet>
      <sheetData sheetId="0">
        <row r="1">
          <cell r="A1" t="str">
            <v>D0(mAh)</v>
          </cell>
        </row>
      </sheetData>
      <sheetData sheetId="1">
        <row r="1">
          <cell r="A1" t="str">
            <v>D0(mAh)</v>
          </cell>
        </row>
      </sheetData>
      <sheetData sheetId="2" refreshError="1">
        <row r="1">
          <cell r="A1" t="str">
            <v>D0(mAh)</v>
          </cell>
        </row>
        <row r="2">
          <cell r="A2">
            <v>2.5087000000000002E-2</v>
          </cell>
        </row>
        <row r="3">
          <cell r="A3">
            <v>4.9535999999999997E-2</v>
          </cell>
        </row>
        <row r="4">
          <cell r="A4">
            <v>2.2537999999999999E-2</v>
          </cell>
        </row>
        <row r="5">
          <cell r="A5">
            <v>4.6968999999999997E-2</v>
          </cell>
        </row>
        <row r="6">
          <cell r="A6">
            <v>4.2800999999999999E-2</v>
          </cell>
        </row>
        <row r="7">
          <cell r="A7">
            <v>4.2206E-2</v>
          </cell>
        </row>
        <row r="8">
          <cell r="A8">
            <v>2.4726999999999999E-2</v>
          </cell>
        </row>
        <row r="9">
          <cell r="A9">
            <v>6.2143999999999998E-2</v>
          </cell>
        </row>
        <row r="10">
          <cell r="A10">
            <v>2.0174000000000001E-2</v>
          </cell>
        </row>
        <row r="11">
          <cell r="A11">
            <v>3.8531000000000003E-2</v>
          </cell>
        </row>
        <row r="12">
          <cell r="A12">
            <v>3.5054000000000002E-2</v>
          </cell>
        </row>
        <row r="13">
          <cell r="A13">
            <v>5.0713000000000001E-2</v>
          </cell>
        </row>
        <row r="14">
          <cell r="A14">
            <v>5.9547999999999997E-2</v>
          </cell>
        </row>
        <row r="15">
          <cell r="A15">
            <v>2.1468999999999999E-2</v>
          </cell>
        </row>
        <row r="16">
          <cell r="A16">
            <v>3.7283999999999998E-2</v>
          </cell>
        </row>
        <row r="17">
          <cell r="A17">
            <v>1.8482999999999999E-2</v>
          </cell>
        </row>
        <row r="18">
          <cell r="A18">
            <v>2.8247000000000001E-2</v>
          </cell>
        </row>
        <row r="19">
          <cell r="A19">
            <v>6.2213999999999998E-2</v>
          </cell>
        </row>
        <row r="20">
          <cell r="A20">
            <v>1.6202000000000001E-2</v>
          </cell>
        </row>
        <row r="21">
          <cell r="A21">
            <v>1.8475999999999999E-2</v>
          </cell>
        </row>
        <row r="22">
          <cell r="A22">
            <v>3.4222000000000002E-2</v>
          </cell>
        </row>
        <row r="23">
          <cell r="A23">
            <v>2.1155E-2</v>
          </cell>
        </row>
        <row r="24">
          <cell r="A24">
            <v>3.3977E-2</v>
          </cell>
        </row>
        <row r="25">
          <cell r="A25">
            <v>6.4517000000000005E-2</v>
          </cell>
        </row>
        <row r="26">
          <cell r="A26">
            <v>8.3840000000000008E-3</v>
          </cell>
        </row>
        <row r="27">
          <cell r="A27">
            <v>1.7597999999999999E-2</v>
          </cell>
        </row>
        <row r="28">
          <cell r="A28">
            <v>1.7510999999999999E-2</v>
          </cell>
        </row>
        <row r="29">
          <cell r="A29">
            <v>2.7902E-2</v>
          </cell>
        </row>
        <row r="30">
          <cell r="A30">
            <v>5.8706000000000001E-2</v>
          </cell>
        </row>
        <row r="31">
          <cell r="A31">
            <v>1.9406E-2</v>
          </cell>
        </row>
        <row r="32">
          <cell r="A32">
            <v>3.4987999999999998E-2</v>
          </cell>
        </row>
        <row r="33">
          <cell r="A33">
            <v>6.8751999999999994E-2</v>
          </cell>
        </row>
        <row r="34">
          <cell r="A34">
            <v>2.095E-2</v>
          </cell>
        </row>
        <row r="35">
          <cell r="A35">
            <v>6.5583000000000002E-2</v>
          </cell>
        </row>
        <row r="36">
          <cell r="A36">
            <v>2.1537000000000001E-2</v>
          </cell>
        </row>
        <row r="37">
          <cell r="A37">
            <v>3.7157999999999997E-2</v>
          </cell>
        </row>
        <row r="38">
          <cell r="A38">
            <v>2.0433E-2</v>
          </cell>
        </row>
        <row r="39">
          <cell r="A39">
            <v>5.2400000000000002E-2</v>
          </cell>
        </row>
        <row r="40">
          <cell r="A40">
            <v>1.9182999999999999E-2</v>
          </cell>
        </row>
        <row r="41">
          <cell r="A41">
            <v>5.1813999999999999E-2</v>
          </cell>
        </row>
        <row r="42">
          <cell r="A42">
            <v>2.2977000000000001E-2</v>
          </cell>
        </row>
        <row r="43">
          <cell r="A43">
            <v>6.4366999999999994E-2</v>
          </cell>
        </row>
        <row r="44">
          <cell r="A44">
            <v>5.2106E-2</v>
          </cell>
        </row>
        <row r="45">
          <cell r="A45">
            <v>3.9854000000000001E-2</v>
          </cell>
        </row>
        <row r="46">
          <cell r="A46">
            <v>6.7380999999999996E-2</v>
          </cell>
        </row>
        <row r="47">
          <cell r="A47">
            <v>3.5576999999999998E-2</v>
          </cell>
        </row>
        <row r="48">
          <cell r="A48">
            <v>5.7172000000000001E-2</v>
          </cell>
        </row>
        <row r="49">
          <cell r="A49">
            <v>6.9461999999999996E-2</v>
          </cell>
        </row>
        <row r="50">
          <cell r="A50">
            <v>7.672E-3</v>
          </cell>
        </row>
        <row r="51">
          <cell r="A51">
            <v>1.9569E-2</v>
          </cell>
        </row>
        <row r="52">
          <cell r="A52">
            <v>6.7019999999999996E-3</v>
          </cell>
        </row>
        <row r="53">
          <cell r="A53">
            <v>5.2250999999999999E-2</v>
          </cell>
        </row>
        <row r="54">
          <cell r="A54">
            <v>5.6920999999999999E-2</v>
          </cell>
        </row>
        <row r="55">
          <cell r="A55">
            <v>6.0149000000000001E-2</v>
          </cell>
        </row>
        <row r="56">
          <cell r="A56">
            <v>1.3221E-2</v>
          </cell>
        </row>
        <row r="57">
          <cell r="A57">
            <v>3.6851000000000002E-2</v>
          </cell>
        </row>
        <row r="58">
          <cell r="A58">
            <v>4.3361999999999998E-2</v>
          </cell>
        </row>
        <row r="59">
          <cell r="A59">
            <v>4.9662999999999999E-2</v>
          </cell>
        </row>
        <row r="60">
          <cell r="A60">
            <v>1.8367999999999999E-2</v>
          </cell>
        </row>
        <row r="61">
          <cell r="A61">
            <v>3.1019000000000001E-2</v>
          </cell>
        </row>
        <row r="62">
          <cell r="A62">
            <v>2.3007E-2</v>
          </cell>
        </row>
        <row r="63">
          <cell r="A63">
            <v>6.6533999999999996E-2</v>
          </cell>
        </row>
        <row r="64">
          <cell r="A64">
            <v>3.6767000000000001E-2</v>
          </cell>
        </row>
        <row r="65">
          <cell r="A65">
            <v>2.7262999999999999E-2</v>
          </cell>
        </row>
        <row r="66">
          <cell r="A66">
            <v>3.4541000000000002E-2</v>
          </cell>
        </row>
        <row r="67">
          <cell r="A67">
            <v>3.6602000000000003E-2</v>
          </cell>
        </row>
        <row r="68">
          <cell r="A68">
            <v>3.4902000000000002E-2</v>
          </cell>
        </row>
        <row r="69">
          <cell r="A69">
            <v>2.3126000000000001E-2</v>
          </cell>
        </row>
        <row r="70">
          <cell r="A70">
            <v>1.8145999999999999E-2</v>
          </cell>
        </row>
        <row r="71">
          <cell r="A71">
            <v>4.8822999999999998E-2</v>
          </cell>
        </row>
        <row r="72">
          <cell r="A72">
            <v>3.1896000000000001E-2</v>
          </cell>
        </row>
        <row r="73">
          <cell r="A73">
            <v>6.1338999999999998E-2</v>
          </cell>
        </row>
        <row r="74">
          <cell r="A74">
            <v>4.8219999999999999E-2</v>
          </cell>
        </row>
        <row r="75">
          <cell r="A75">
            <v>5.7874000000000002E-2</v>
          </cell>
        </row>
        <row r="76">
          <cell r="A76">
            <v>5.5142999999999998E-2</v>
          </cell>
        </row>
        <row r="77">
          <cell r="A77">
            <v>3.0776000000000001E-2</v>
          </cell>
        </row>
        <row r="78">
          <cell r="A78">
            <v>6.4214999999999994E-2</v>
          </cell>
        </row>
        <row r="79">
          <cell r="A79">
            <v>6.3772999999999996E-2</v>
          </cell>
        </row>
        <row r="80">
          <cell r="A80">
            <v>5.1240000000000001E-2</v>
          </cell>
        </row>
        <row r="81">
          <cell r="A81">
            <v>4.7605000000000001E-2</v>
          </cell>
        </row>
        <row r="82">
          <cell r="A82">
            <v>3.4651000000000001E-2</v>
          </cell>
        </row>
        <row r="83">
          <cell r="A83">
            <v>2.7824999999999999E-2</v>
          </cell>
        </row>
        <row r="84">
          <cell r="A84">
            <v>3.0561999999999999E-2</v>
          </cell>
        </row>
        <row r="85">
          <cell r="A85">
            <v>1.9987999999999999E-2</v>
          </cell>
        </row>
        <row r="86">
          <cell r="A86">
            <v>1.6330999999999998E-2</v>
          </cell>
        </row>
        <row r="87">
          <cell r="A87">
            <v>5.5029000000000002E-2</v>
          </cell>
        </row>
        <row r="88">
          <cell r="A88">
            <v>4.4020999999999998E-2</v>
          </cell>
        </row>
        <row r="89">
          <cell r="A89">
            <v>5.9990000000000002E-2</v>
          </cell>
        </row>
        <row r="90">
          <cell r="A90">
            <v>4.4977000000000003E-2</v>
          </cell>
        </row>
        <row r="91">
          <cell r="A91">
            <v>2.7071000000000001E-2</v>
          </cell>
        </row>
        <row r="92">
          <cell r="A92">
            <v>2.2159000000000002E-2</v>
          </cell>
        </row>
        <row r="93">
          <cell r="A93">
            <v>2.1191000000000002E-2</v>
          </cell>
        </row>
        <row r="94">
          <cell r="A94">
            <v>5.969E-2</v>
          </cell>
        </row>
        <row r="95">
          <cell r="A95">
            <v>2.0379000000000001E-2</v>
          </cell>
        </row>
        <row r="96">
          <cell r="A96">
            <v>6.6153000000000003E-2</v>
          </cell>
        </row>
        <row r="97">
          <cell r="A97">
            <v>5.6533E-2</v>
          </cell>
        </row>
        <row r="98">
          <cell r="A98">
            <v>3.5630000000000002E-2</v>
          </cell>
        </row>
        <row r="99">
          <cell r="A99">
            <v>3.8478999999999999E-2</v>
          </cell>
        </row>
        <row r="100">
          <cell r="A100">
            <v>3.7957999999999999E-2</v>
          </cell>
        </row>
        <row r="101">
          <cell r="A101">
            <v>2.5401E-2</v>
          </cell>
        </row>
        <row r="102">
          <cell r="A102">
            <v>2.2433999999999999E-2</v>
          </cell>
        </row>
        <row r="103">
          <cell r="A103">
            <v>2.0416E-2</v>
          </cell>
        </row>
        <row r="104">
          <cell r="A104">
            <v>3.4442E-2</v>
          </cell>
        </row>
        <row r="105">
          <cell r="A105">
            <v>6.3815999999999998E-2</v>
          </cell>
        </row>
        <row r="106">
          <cell r="A106">
            <v>3.5066E-2</v>
          </cell>
        </row>
        <row r="107">
          <cell r="A107">
            <v>4.4276000000000003E-2</v>
          </cell>
        </row>
        <row r="108">
          <cell r="A108">
            <v>4.5940000000000002E-2</v>
          </cell>
        </row>
        <row r="109">
          <cell r="A109">
            <v>4.4660000000000004E-3</v>
          </cell>
        </row>
        <row r="110">
          <cell r="A110">
            <v>5.3222999999999999E-2</v>
          </cell>
        </row>
        <row r="111">
          <cell r="A111">
            <v>5.4484999999999999E-2</v>
          </cell>
        </row>
        <row r="112">
          <cell r="A112">
            <v>2.8577999999999999E-2</v>
          </cell>
        </row>
        <row r="113">
          <cell r="A113">
            <v>5.0382999999999997E-2</v>
          </cell>
        </row>
        <row r="114">
          <cell r="A114">
            <v>4.1612999999999997E-2</v>
          </cell>
        </row>
        <row r="115">
          <cell r="A115">
            <v>5.2847999999999999E-2</v>
          </cell>
        </row>
        <row r="116">
          <cell r="A116">
            <v>2.469E-2</v>
          </cell>
        </row>
        <row r="117">
          <cell r="A117">
            <v>5.4164999999999998E-2</v>
          </cell>
        </row>
        <row r="118">
          <cell r="A118">
            <v>3.5524E-2</v>
          </cell>
        </row>
        <row r="119">
          <cell r="A119">
            <v>4.6420999999999997E-2</v>
          </cell>
        </row>
        <row r="120">
          <cell r="A120">
            <v>5.4786000000000001E-2</v>
          </cell>
        </row>
        <row r="121">
          <cell r="A121">
            <v>8.6779999999999999E-3</v>
          </cell>
        </row>
        <row r="122">
          <cell r="A122">
            <v>5.4939000000000002E-2</v>
          </cell>
        </row>
        <row r="123">
          <cell r="A123">
            <v>3.1531000000000003E-2</v>
          </cell>
        </row>
        <row r="124">
          <cell r="A124">
            <v>4.7954999999999998E-2</v>
          </cell>
        </row>
        <row r="125">
          <cell r="A125">
            <v>4.2157E-2</v>
          </cell>
        </row>
        <row r="126">
          <cell r="A126">
            <v>5.7023999999999998E-2</v>
          </cell>
        </row>
        <row r="127">
          <cell r="A127">
            <v>5.8006000000000002E-2</v>
          </cell>
        </row>
        <row r="128">
          <cell r="A128">
            <v>5.3573000000000003E-2</v>
          </cell>
        </row>
        <row r="129">
          <cell r="A129">
            <v>5.7225999999999999E-2</v>
          </cell>
        </row>
        <row r="130">
          <cell r="A130">
            <v>5.2866000000000003E-2</v>
          </cell>
        </row>
        <row r="131">
          <cell r="A131">
            <v>5.1309E-2</v>
          </cell>
        </row>
        <row r="132">
          <cell r="A132">
            <v>3.8109999999999998E-2</v>
          </cell>
        </row>
        <row r="133">
          <cell r="A133">
            <v>2.7439999999999999E-2</v>
          </cell>
        </row>
        <row r="134">
          <cell r="A134">
            <v>5.1055000000000003E-2</v>
          </cell>
        </row>
        <row r="135">
          <cell r="A135">
            <v>3.0714000000000002E-2</v>
          </cell>
        </row>
        <row r="136">
          <cell r="A136">
            <v>2.9973E-2</v>
          </cell>
        </row>
        <row r="137">
          <cell r="A137">
            <v>2.9602E-2</v>
          </cell>
        </row>
        <row r="138">
          <cell r="A138">
            <v>3.8051000000000001E-2</v>
          </cell>
        </row>
        <row r="139">
          <cell r="A139">
            <v>5.5855000000000002E-2</v>
          </cell>
        </row>
        <row r="140">
          <cell r="A140">
            <v>3.9439000000000002E-2</v>
          </cell>
        </row>
        <row r="141">
          <cell r="A141">
            <v>2.6786999999999998E-2</v>
          </cell>
        </row>
        <row r="142">
          <cell r="A142">
            <v>3.0797000000000001E-2</v>
          </cell>
        </row>
        <row r="143">
          <cell r="A143">
            <v>3.7908999999999998E-2</v>
          </cell>
        </row>
        <row r="144">
          <cell r="A144">
            <v>3.0658999999999999E-2</v>
          </cell>
        </row>
        <row r="145">
          <cell r="A145">
            <v>7.339E-3</v>
          </cell>
        </row>
        <row r="146">
          <cell r="A146">
            <v>3.1361E-2</v>
          </cell>
        </row>
        <row r="147">
          <cell r="A147">
            <v>4.3451999999999998E-2</v>
          </cell>
        </row>
        <row r="148">
          <cell r="A148">
            <v>3.9121000000000003E-2</v>
          </cell>
        </row>
        <row r="149">
          <cell r="A149">
            <v>5.1179000000000002E-2</v>
          </cell>
        </row>
        <row r="150">
          <cell r="A150">
            <v>4.7194E-2</v>
          </cell>
        </row>
        <row r="151">
          <cell r="A151">
            <v>3.9146E-2</v>
          </cell>
        </row>
        <row r="152">
          <cell r="A152">
            <v>2.5506000000000001E-2</v>
          </cell>
        </row>
        <row r="153">
          <cell r="A153">
            <v>4.0126000000000002E-2</v>
          </cell>
        </row>
        <row r="154">
          <cell r="A154">
            <v>2.7179999999999999E-2</v>
          </cell>
        </row>
        <row r="155">
          <cell r="A155">
            <v>4.5408999999999998E-2</v>
          </cell>
        </row>
        <row r="156">
          <cell r="A156">
            <v>5.0859000000000001E-2</v>
          </cell>
        </row>
        <row r="157">
          <cell r="A157">
            <v>6.3963000000000006E-2</v>
          </cell>
        </row>
        <row r="158">
          <cell r="A158">
            <v>3.8064000000000001E-2</v>
          </cell>
        </row>
        <row r="159">
          <cell r="A159">
            <v>2.6388000000000002E-2</v>
          </cell>
        </row>
        <row r="160">
          <cell r="A160">
            <v>4.1267999999999999E-2</v>
          </cell>
        </row>
        <row r="161">
          <cell r="A161">
            <v>3.9016000000000002E-2</v>
          </cell>
        </row>
        <row r="162">
          <cell r="A162">
            <v>2.9418E-2</v>
          </cell>
        </row>
        <row r="163">
          <cell r="A163">
            <v>4.1037999999999998E-2</v>
          </cell>
        </row>
        <row r="164">
          <cell r="A164">
            <v>3.1565000000000003E-2</v>
          </cell>
        </row>
        <row r="165">
          <cell r="A165">
            <v>2.5659999999999999E-2</v>
          </cell>
        </row>
        <row r="166">
          <cell r="A166">
            <v>1.0295E-2</v>
          </cell>
        </row>
        <row r="167">
          <cell r="A167">
            <v>3.6505999999999997E-2</v>
          </cell>
        </row>
        <row r="168">
          <cell r="A168">
            <v>5.9197E-2</v>
          </cell>
        </row>
        <row r="169">
          <cell r="A169">
            <v>4.3083999999999997E-2</v>
          </cell>
        </row>
        <row r="170">
          <cell r="A170">
            <v>2.9312000000000001E-2</v>
          </cell>
        </row>
        <row r="171">
          <cell r="A171">
            <v>5.4549E-2</v>
          </cell>
        </row>
        <row r="172">
          <cell r="A172">
            <v>3.6936999999999998E-2</v>
          </cell>
        </row>
        <row r="173">
          <cell r="A173">
            <v>2.5883E-2</v>
          </cell>
        </row>
        <row r="174">
          <cell r="A174">
            <v>2.0719000000000001E-2</v>
          </cell>
        </row>
        <row r="175">
          <cell r="A175">
            <v>1.9082999999999999E-2</v>
          </cell>
        </row>
        <row r="176">
          <cell r="A176">
            <v>2.811E-2</v>
          </cell>
        </row>
        <row r="177">
          <cell r="A177">
            <v>3.4782E-2</v>
          </cell>
        </row>
        <row r="178">
          <cell r="A178">
            <v>2.2624999999999999E-2</v>
          </cell>
        </row>
        <row r="179">
          <cell r="A179">
            <v>4.4875999999999999E-2</v>
          </cell>
        </row>
        <row r="180">
          <cell r="A180">
            <v>4.7198999999999998E-2</v>
          </cell>
        </row>
        <row r="181">
          <cell r="A181">
            <v>3.0214999999999999E-2</v>
          </cell>
        </row>
        <row r="182">
          <cell r="A182">
            <v>3.6443000000000003E-2</v>
          </cell>
        </row>
        <row r="183">
          <cell r="A183">
            <v>5.4646E-2</v>
          </cell>
        </row>
        <row r="184">
          <cell r="A184">
            <v>4.0201000000000001E-2</v>
          </cell>
        </row>
        <row r="185">
          <cell r="A185">
            <v>5.2128000000000001E-2</v>
          </cell>
        </row>
        <row r="186">
          <cell r="A186">
            <v>3.4582000000000002E-2</v>
          </cell>
        </row>
        <row r="187">
          <cell r="A187">
            <v>5.5439000000000002E-2</v>
          </cell>
        </row>
        <row r="188">
          <cell r="A188">
            <v>3.6630000000000003E-2</v>
          </cell>
        </row>
        <row r="189">
          <cell r="A189">
            <v>4.6435999999999998E-2</v>
          </cell>
        </row>
        <row r="190">
          <cell r="A190">
            <v>3.2523999999999997E-2</v>
          </cell>
        </row>
        <row r="191">
          <cell r="A191">
            <v>3.5207000000000002E-2</v>
          </cell>
        </row>
        <row r="192">
          <cell r="A192">
            <v>4.6053999999999998E-2</v>
          </cell>
        </row>
        <row r="193">
          <cell r="A193">
            <v>2.9559999999999999E-2</v>
          </cell>
        </row>
        <row r="194">
          <cell r="A194">
            <v>7.1809999999999999E-3</v>
          </cell>
        </row>
        <row r="195">
          <cell r="A195">
            <v>4.2883999999999999E-2</v>
          </cell>
        </row>
        <row r="196">
          <cell r="A196">
            <v>4.7833000000000001E-2</v>
          </cell>
        </row>
        <row r="197">
          <cell r="A197">
            <v>2.2214000000000001E-2</v>
          </cell>
        </row>
        <row r="198">
          <cell r="A198">
            <v>1.7389999999999999E-2</v>
          </cell>
        </row>
        <row r="199">
          <cell r="A199">
            <v>3.9768999999999999E-2</v>
          </cell>
        </row>
        <row r="200">
          <cell r="A200">
            <v>1.6938000000000002E-2</v>
          </cell>
        </row>
        <row r="201">
          <cell r="A201">
            <v>2.4902000000000001E-2</v>
          </cell>
        </row>
        <row r="202">
          <cell r="A202">
            <v>4.2084999999999997E-2</v>
          </cell>
        </row>
        <row r="203">
          <cell r="A203">
            <v>4.7612000000000002E-2</v>
          </cell>
        </row>
        <row r="204">
          <cell r="A204">
            <v>2.2721999999999999E-2</v>
          </cell>
        </row>
        <row r="205">
          <cell r="A205">
            <v>5.0543999999999999E-2</v>
          </cell>
        </row>
        <row r="206">
          <cell r="A206">
            <v>3.6400000000000002E-2</v>
          </cell>
        </row>
        <row r="207">
          <cell r="A207">
            <v>4.2293999999999998E-2</v>
          </cell>
        </row>
        <row r="208">
          <cell r="A208">
            <v>4.2438999999999998E-2</v>
          </cell>
        </row>
        <row r="209">
          <cell r="A209">
            <v>4.7484999999999999E-2</v>
          </cell>
        </row>
        <row r="210">
          <cell r="A210">
            <v>8.2170000000000003E-3</v>
          </cell>
        </row>
        <row r="211">
          <cell r="A211">
            <v>4.7911000000000002E-2</v>
          </cell>
        </row>
        <row r="212">
          <cell r="A212">
            <v>2.3888E-2</v>
          </cell>
        </row>
        <row r="213">
          <cell r="A213">
            <v>1.8380000000000001E-2</v>
          </cell>
        </row>
        <row r="214">
          <cell r="A214">
            <v>2.5408E-2</v>
          </cell>
        </row>
        <row r="215">
          <cell r="A215">
            <v>5.3185999999999997E-2</v>
          </cell>
        </row>
        <row r="216">
          <cell r="A216">
            <v>2.5162E-2</v>
          </cell>
        </row>
        <row r="217">
          <cell r="A217">
            <v>4.0939999999999997E-2</v>
          </cell>
        </row>
        <row r="218">
          <cell r="A218">
            <v>4.3896999999999999E-2</v>
          </cell>
        </row>
        <row r="219">
          <cell r="A219">
            <v>4.5575999999999998E-2</v>
          </cell>
        </row>
        <row r="220">
          <cell r="A220">
            <v>3.2558999999999998E-2</v>
          </cell>
        </row>
        <row r="221">
          <cell r="A221">
            <v>2.4660999999999999E-2</v>
          </cell>
        </row>
        <row r="222">
          <cell r="A222">
            <v>3.9054999999999999E-2</v>
          </cell>
        </row>
        <row r="223">
          <cell r="A223">
            <v>4.3964999999999997E-2</v>
          </cell>
        </row>
        <row r="224">
          <cell r="A224">
            <v>1.9875E-2</v>
          </cell>
        </row>
        <row r="225">
          <cell r="A225">
            <v>4.1124000000000001E-2</v>
          </cell>
        </row>
        <row r="226">
          <cell r="A226">
            <v>3.1841000000000001E-2</v>
          </cell>
        </row>
        <row r="227">
          <cell r="A227">
            <v>4.1577999999999997E-2</v>
          </cell>
        </row>
        <row r="228">
          <cell r="A228">
            <v>9.1000000000000004E-3</v>
          </cell>
        </row>
        <row r="229">
          <cell r="A229">
            <v>3.1972E-2</v>
          </cell>
        </row>
        <row r="230">
          <cell r="A230">
            <v>3.3404000000000003E-2</v>
          </cell>
        </row>
        <row r="231">
          <cell r="A231">
            <v>1.8341E-2</v>
          </cell>
        </row>
        <row r="232">
          <cell r="A232">
            <v>4.4333999999999998E-2</v>
          </cell>
        </row>
        <row r="233">
          <cell r="A233">
            <v>4.1287999999999998E-2</v>
          </cell>
        </row>
        <row r="234">
          <cell r="A234">
            <v>3.5928000000000002E-2</v>
          </cell>
        </row>
        <row r="235">
          <cell r="A235">
            <v>1.7319999999999999E-2</v>
          </cell>
        </row>
        <row r="236">
          <cell r="A236">
            <v>2.4573999999999999E-2</v>
          </cell>
        </row>
        <row r="237">
          <cell r="A237">
            <v>2.1738E-2</v>
          </cell>
        </row>
        <row r="238">
          <cell r="A238">
            <v>4.6059999999999997E-2</v>
          </cell>
        </row>
        <row r="239">
          <cell r="A239">
            <v>3.0665999999999999E-2</v>
          </cell>
        </row>
        <row r="240">
          <cell r="A240">
            <v>4.1209000000000003E-2</v>
          </cell>
        </row>
        <row r="241">
          <cell r="A241">
            <v>3.4069999999999999E-3</v>
          </cell>
        </row>
        <row r="242">
          <cell r="A242">
            <v>2.6218000000000002E-2</v>
          </cell>
        </row>
        <row r="243">
          <cell r="A243">
            <v>1.6403999999999998E-2</v>
          </cell>
        </row>
        <row r="244">
          <cell r="A244">
            <v>1.9161999999999998E-2</v>
          </cell>
        </row>
        <row r="245">
          <cell r="A245">
            <v>1.7052000000000001E-2</v>
          </cell>
        </row>
        <row r="246">
          <cell r="A246">
            <v>2.9871999999999999E-2</v>
          </cell>
        </row>
        <row r="247">
          <cell r="A247">
            <v>3.3376000000000003E-2</v>
          </cell>
        </row>
        <row r="248">
          <cell r="A248">
            <v>2.4740999999999999E-2</v>
          </cell>
        </row>
        <row r="249">
          <cell r="A249">
            <v>2.0749E-2</v>
          </cell>
        </row>
        <row r="250">
          <cell r="A250">
            <v>2.6454999999999999E-2</v>
          </cell>
        </row>
        <row r="251">
          <cell r="A251">
            <v>1.7392000000000001E-2</v>
          </cell>
        </row>
        <row r="252">
          <cell r="A252">
            <v>4.2349999999999999E-2</v>
          </cell>
        </row>
        <row r="253">
          <cell r="A253">
            <v>4.8764000000000002E-2</v>
          </cell>
        </row>
        <row r="254">
          <cell r="A254">
            <v>2.1170000000000001E-2</v>
          </cell>
        </row>
        <row r="255">
          <cell r="A255">
            <v>2.0402E-2</v>
          </cell>
        </row>
        <row r="256">
          <cell r="A256">
            <v>3.0745999999999999E-2</v>
          </cell>
        </row>
        <row r="257">
          <cell r="A257">
            <v>4.2186000000000001E-2</v>
          </cell>
        </row>
        <row r="258">
          <cell r="A258">
            <v>3.1994000000000002E-2</v>
          </cell>
        </row>
        <row r="259">
          <cell r="A259">
            <v>2.3656E-2</v>
          </cell>
        </row>
        <row r="260">
          <cell r="A260">
            <v>1.7814E-2</v>
          </cell>
        </row>
        <row r="261">
          <cell r="A261">
            <v>2.2714000000000002E-2</v>
          </cell>
        </row>
        <row r="262">
          <cell r="A262">
            <v>4.0001000000000002E-2</v>
          </cell>
        </row>
        <row r="263">
          <cell r="A263">
            <v>4.9362999999999997E-2</v>
          </cell>
        </row>
        <row r="264">
          <cell r="A264">
            <v>4.0184999999999998E-2</v>
          </cell>
        </row>
        <row r="265">
          <cell r="A265">
            <v>9.5119999999999996E-3</v>
          </cell>
        </row>
        <row r="266">
          <cell r="A266">
            <v>2.3990999999999998E-2</v>
          </cell>
        </row>
        <row r="267">
          <cell r="A267">
            <v>3.9565000000000003E-2</v>
          </cell>
        </row>
        <row r="268">
          <cell r="A268">
            <v>3.6253000000000001E-2</v>
          </cell>
        </row>
        <row r="269">
          <cell r="A269">
            <v>2.3623000000000002E-2</v>
          </cell>
        </row>
        <row r="270">
          <cell r="A270">
            <v>2.4537E-2</v>
          </cell>
        </row>
        <row r="271">
          <cell r="A271">
            <v>2.375E-2</v>
          </cell>
        </row>
        <row r="272">
          <cell r="A272">
            <v>2.682E-2</v>
          </cell>
        </row>
        <row r="273">
          <cell r="A273">
            <v>4.0224999999999997E-2</v>
          </cell>
        </row>
        <row r="274">
          <cell r="A274">
            <v>4.1780999999999999E-2</v>
          </cell>
        </row>
        <row r="275">
          <cell r="A275">
            <v>4.2116000000000001E-2</v>
          </cell>
        </row>
        <row r="276">
          <cell r="A276">
            <v>1.6424999999999999E-2</v>
          </cell>
        </row>
        <row r="277">
          <cell r="A277">
            <v>3.1967000000000002E-2</v>
          </cell>
        </row>
        <row r="278">
          <cell r="A278">
            <v>9.6620000000000004E-3</v>
          </cell>
        </row>
        <row r="279">
          <cell r="A279">
            <v>3.6724E-2</v>
          </cell>
        </row>
        <row r="280">
          <cell r="A280">
            <v>3.8280000000000002E-2</v>
          </cell>
        </row>
        <row r="281">
          <cell r="A281">
            <v>3.7317000000000003E-2</v>
          </cell>
        </row>
        <row r="282">
          <cell r="A282">
            <v>2.2615E-2</v>
          </cell>
        </row>
        <row r="283">
          <cell r="A283">
            <v>4.2353000000000002E-2</v>
          </cell>
        </row>
        <row r="284">
          <cell r="A284">
            <v>3.2164999999999999E-2</v>
          </cell>
        </row>
        <row r="285">
          <cell r="A285">
            <v>3.6179000000000003E-2</v>
          </cell>
        </row>
        <row r="286">
          <cell r="A286">
            <v>3.9578000000000002E-2</v>
          </cell>
        </row>
        <row r="287">
          <cell r="A287">
            <v>4.6535E-2</v>
          </cell>
        </row>
        <row r="288">
          <cell r="A288">
            <v>1.2017999999999999E-2</v>
          </cell>
        </row>
        <row r="289">
          <cell r="A289">
            <v>3.1876000000000002E-2</v>
          </cell>
        </row>
        <row r="290">
          <cell r="A290">
            <v>4.0441999999999999E-2</v>
          </cell>
        </row>
        <row r="291">
          <cell r="A291">
            <v>2.4773E-2</v>
          </cell>
        </row>
        <row r="292">
          <cell r="A292">
            <v>2.8785000000000002E-2</v>
          </cell>
        </row>
        <row r="293">
          <cell r="A293">
            <v>4.7432000000000002E-2</v>
          </cell>
        </row>
        <row r="294">
          <cell r="A294">
            <v>1.6525000000000001E-2</v>
          </cell>
        </row>
        <row r="295">
          <cell r="A295">
            <v>4.2888000000000003E-2</v>
          </cell>
        </row>
        <row r="296">
          <cell r="A296">
            <v>4.6871999999999997E-2</v>
          </cell>
        </row>
        <row r="297">
          <cell r="A297">
            <v>3.4688999999999998E-2</v>
          </cell>
        </row>
        <row r="298">
          <cell r="A298">
            <v>2.4896999999999999E-2</v>
          </cell>
        </row>
        <row r="299">
          <cell r="A299">
            <v>5.3737E-2</v>
          </cell>
        </row>
        <row r="300">
          <cell r="A300">
            <v>4.5585000000000001E-2</v>
          </cell>
        </row>
        <row r="301">
          <cell r="A301">
            <v>2.9357999999999999E-2</v>
          </cell>
        </row>
        <row r="302">
          <cell r="A302">
            <v>3.3945000000000003E-2</v>
          </cell>
        </row>
        <row r="303">
          <cell r="A303">
            <v>3.4264000000000003E-2</v>
          </cell>
        </row>
        <row r="304">
          <cell r="A304">
            <v>2.8819999999999998E-2</v>
          </cell>
        </row>
        <row r="305">
          <cell r="A305">
            <v>3.9084000000000001E-2</v>
          </cell>
        </row>
        <row r="306">
          <cell r="A306">
            <v>7.8220000000000008E-3</v>
          </cell>
        </row>
        <row r="307">
          <cell r="A307">
            <v>5.1573000000000001E-2</v>
          </cell>
        </row>
        <row r="308">
          <cell r="A308">
            <v>3.1417E-2</v>
          </cell>
        </row>
        <row r="309">
          <cell r="A309">
            <v>4.1048000000000001E-2</v>
          </cell>
        </row>
        <row r="310">
          <cell r="A310">
            <v>1.8124999999999999E-2</v>
          </cell>
        </row>
        <row r="311">
          <cell r="A311">
            <v>1.8527999999999999E-2</v>
          </cell>
        </row>
        <row r="312">
          <cell r="A312">
            <v>3.1393999999999998E-2</v>
          </cell>
        </row>
        <row r="313">
          <cell r="A313">
            <v>5.1014999999999998E-2</v>
          </cell>
        </row>
        <row r="314">
          <cell r="A314">
            <v>2.8826999999999998E-2</v>
          </cell>
        </row>
        <row r="315">
          <cell r="A315">
            <v>2.3036999999999998E-2</v>
          </cell>
        </row>
        <row r="316">
          <cell r="A316">
            <v>1.7179E-2</v>
          </cell>
        </row>
        <row r="317">
          <cell r="A317">
            <v>1.4461E-2</v>
          </cell>
        </row>
        <row r="318">
          <cell r="A318">
            <v>2.1308000000000001E-2</v>
          </cell>
        </row>
        <row r="319">
          <cell r="A319">
            <v>1.3481999999999999E-2</v>
          </cell>
        </row>
        <row r="320">
          <cell r="A320">
            <v>2.2842000000000001E-2</v>
          </cell>
        </row>
        <row r="321">
          <cell r="A321">
            <v>3.5217999999999999E-2</v>
          </cell>
        </row>
        <row r="322">
          <cell r="A322">
            <v>3.2133000000000002E-2</v>
          </cell>
        </row>
        <row r="323">
          <cell r="A323">
            <v>3.2434999999999999E-2</v>
          </cell>
        </row>
        <row r="324">
          <cell r="A324">
            <v>4.1681000000000003E-2</v>
          </cell>
        </row>
        <row r="325">
          <cell r="A325">
            <v>4.7225000000000003E-2</v>
          </cell>
        </row>
        <row r="326">
          <cell r="A326">
            <v>3.3999000000000001E-2</v>
          </cell>
        </row>
        <row r="327">
          <cell r="A327">
            <v>1.9269000000000001E-2</v>
          </cell>
        </row>
        <row r="328">
          <cell r="A328">
            <v>9.3640000000000008E-3</v>
          </cell>
        </row>
        <row r="329">
          <cell r="A329">
            <v>3.1022999999999998E-2</v>
          </cell>
        </row>
        <row r="330">
          <cell r="A330">
            <v>1.8776000000000001E-2</v>
          </cell>
        </row>
        <row r="331">
          <cell r="A331">
            <v>1.864E-2</v>
          </cell>
        </row>
        <row r="332">
          <cell r="A332">
            <v>7.3980000000000001E-3</v>
          </cell>
        </row>
        <row r="333">
          <cell r="A333">
            <v>3.0967999999999999E-2</v>
          </cell>
        </row>
        <row r="334">
          <cell r="A334">
            <v>4.1517999999999999E-2</v>
          </cell>
        </row>
        <row r="335">
          <cell r="A335">
            <v>1.8658000000000001E-2</v>
          </cell>
        </row>
        <row r="336">
          <cell r="A336">
            <v>2.8063999999999999E-2</v>
          </cell>
        </row>
        <row r="337">
          <cell r="A337">
            <v>3.5598999999999999E-2</v>
          </cell>
        </row>
        <row r="338">
          <cell r="A338">
            <v>3.6879000000000002E-2</v>
          </cell>
        </row>
        <row r="339">
          <cell r="A339">
            <v>2.2542E-2</v>
          </cell>
        </row>
        <row r="340">
          <cell r="A340">
            <v>3.7113E-2</v>
          </cell>
        </row>
        <row r="341">
          <cell r="A341">
            <v>3.6096000000000003E-2</v>
          </cell>
        </row>
        <row r="342">
          <cell r="A342">
            <v>3.6991000000000003E-2</v>
          </cell>
        </row>
        <row r="343">
          <cell r="A343">
            <v>3.9676000000000003E-2</v>
          </cell>
        </row>
        <row r="344">
          <cell r="A344">
            <v>2.5277000000000001E-2</v>
          </cell>
        </row>
        <row r="345">
          <cell r="A345">
            <v>4.4381999999999998E-2</v>
          </cell>
        </row>
        <row r="346">
          <cell r="A346">
            <v>9.7599999999999996E-3</v>
          </cell>
        </row>
        <row r="347">
          <cell r="A347">
            <v>2.9803E-2</v>
          </cell>
        </row>
        <row r="348">
          <cell r="A348">
            <v>1.6420000000000001E-2</v>
          </cell>
        </row>
        <row r="349">
          <cell r="A349">
            <v>1.6275999999999999E-2</v>
          </cell>
        </row>
        <row r="350">
          <cell r="A350">
            <v>3.4504E-2</v>
          </cell>
        </row>
        <row r="351">
          <cell r="A351">
            <v>1.9755000000000002E-2</v>
          </cell>
        </row>
        <row r="352">
          <cell r="A352">
            <v>3.1670999999999998E-2</v>
          </cell>
        </row>
        <row r="353">
          <cell r="A353">
            <v>3.9733999999999998E-2</v>
          </cell>
        </row>
        <row r="354">
          <cell r="A354">
            <v>1.3642E-2</v>
          </cell>
        </row>
        <row r="355">
          <cell r="A355">
            <v>3.1476999999999998E-2</v>
          </cell>
        </row>
        <row r="356">
          <cell r="A356">
            <v>2.2289E-2</v>
          </cell>
        </row>
        <row r="357">
          <cell r="A357">
            <v>3.7463000000000003E-2</v>
          </cell>
        </row>
        <row r="358">
          <cell r="A358">
            <v>2.4323000000000001E-2</v>
          </cell>
        </row>
        <row r="359">
          <cell r="A359">
            <v>2.1232000000000001E-2</v>
          </cell>
        </row>
        <row r="360">
          <cell r="A360">
            <v>3.5916999999999998E-2</v>
          </cell>
        </row>
        <row r="361">
          <cell r="A361">
            <v>3.8731000000000002E-2</v>
          </cell>
        </row>
        <row r="362">
          <cell r="A362">
            <v>3.2336999999999998E-2</v>
          </cell>
        </row>
        <row r="363">
          <cell r="A363">
            <v>1.2295E-2</v>
          </cell>
        </row>
        <row r="364">
          <cell r="A364">
            <v>2.9219999999999999E-2</v>
          </cell>
        </row>
        <row r="365">
          <cell r="A365">
            <v>2.767E-2</v>
          </cell>
        </row>
        <row r="366">
          <cell r="A366">
            <v>1.4493000000000001E-2</v>
          </cell>
        </row>
        <row r="367">
          <cell r="A367">
            <v>4.7116999999999999E-2</v>
          </cell>
        </row>
        <row r="368">
          <cell r="A368">
            <v>1.857E-2</v>
          </cell>
        </row>
        <row r="369">
          <cell r="A369">
            <v>3.7560999999999997E-2</v>
          </cell>
        </row>
        <row r="370">
          <cell r="A370">
            <v>1.3491E-2</v>
          </cell>
        </row>
        <row r="371">
          <cell r="A371">
            <v>2.1419000000000001E-2</v>
          </cell>
        </row>
        <row r="372">
          <cell r="A372">
            <v>1.7474E-2</v>
          </cell>
        </row>
        <row r="373">
          <cell r="A373">
            <v>1.934E-2</v>
          </cell>
        </row>
        <row r="374">
          <cell r="A374">
            <v>1.1195E-2</v>
          </cell>
        </row>
        <row r="375">
          <cell r="A375">
            <v>3.3723000000000003E-2</v>
          </cell>
        </row>
        <row r="376">
          <cell r="A376">
            <v>4.1586999999999999E-2</v>
          </cell>
        </row>
        <row r="377">
          <cell r="A377">
            <v>3.6093E-2</v>
          </cell>
        </row>
        <row r="378">
          <cell r="A378">
            <v>1.6633999999999999E-2</v>
          </cell>
        </row>
        <row r="379">
          <cell r="A379">
            <v>2.8832E-2</v>
          </cell>
        </row>
        <row r="380">
          <cell r="A380">
            <v>3.8405000000000002E-2</v>
          </cell>
        </row>
        <row r="381">
          <cell r="A381">
            <v>3.7529E-2</v>
          </cell>
        </row>
        <row r="382">
          <cell r="A382">
            <v>2.6159000000000002E-2</v>
          </cell>
        </row>
        <row r="383">
          <cell r="A383">
            <v>1.4524E-2</v>
          </cell>
        </row>
        <row r="384">
          <cell r="A384">
            <v>2.0337999999999998E-2</v>
          </cell>
        </row>
        <row r="385">
          <cell r="A385">
            <v>3.1546999999999999E-2</v>
          </cell>
        </row>
        <row r="386">
          <cell r="A386">
            <v>1.4536E-2</v>
          </cell>
        </row>
        <row r="387">
          <cell r="A387">
            <v>2.2586999999999999E-2</v>
          </cell>
        </row>
        <row r="388">
          <cell r="A388">
            <v>2.8077999999999999E-2</v>
          </cell>
        </row>
        <row r="389">
          <cell r="A389">
            <v>3.1819E-2</v>
          </cell>
        </row>
        <row r="390">
          <cell r="A390">
            <v>3.0061000000000001E-2</v>
          </cell>
        </row>
        <row r="391">
          <cell r="A391">
            <v>4.3444000000000003E-2</v>
          </cell>
        </row>
        <row r="392">
          <cell r="A392">
            <v>1.7857000000000001E-2</v>
          </cell>
        </row>
        <row r="393">
          <cell r="A393">
            <v>4.0124E-2</v>
          </cell>
        </row>
        <row r="394">
          <cell r="A394">
            <v>4.2471000000000002E-2</v>
          </cell>
        </row>
        <row r="395">
          <cell r="A395">
            <v>4.1183999999999998E-2</v>
          </cell>
        </row>
        <row r="396">
          <cell r="A396">
            <v>3.4923000000000003E-2</v>
          </cell>
        </row>
        <row r="397">
          <cell r="A397">
            <v>1.3878E-2</v>
          </cell>
        </row>
        <row r="398">
          <cell r="A398">
            <v>3.8823999999999997E-2</v>
          </cell>
        </row>
        <row r="399">
          <cell r="A399">
            <v>3.0744E-2</v>
          </cell>
        </row>
        <row r="400">
          <cell r="A400">
            <v>2.3220000000000001E-2</v>
          </cell>
        </row>
        <row r="401">
          <cell r="A401">
            <v>2.6866000000000001E-2</v>
          </cell>
        </row>
        <row r="402">
          <cell r="A402">
            <v>1.6657999999999999E-2</v>
          </cell>
        </row>
        <row r="403">
          <cell r="A403">
            <v>1.7683999999999998E-2</v>
          </cell>
        </row>
        <row r="404">
          <cell r="A404">
            <v>2.2342999999999998E-2</v>
          </cell>
        </row>
        <row r="405">
          <cell r="A405">
            <v>4.3489E-2</v>
          </cell>
        </row>
        <row r="406">
          <cell r="A406">
            <v>1.4933E-2</v>
          </cell>
        </row>
        <row r="407">
          <cell r="A407">
            <v>4.8948999999999999E-2</v>
          </cell>
        </row>
        <row r="408">
          <cell r="A408">
            <v>2.835E-2</v>
          </cell>
        </row>
        <row r="409">
          <cell r="A409">
            <v>3.0554000000000001E-2</v>
          </cell>
        </row>
        <row r="410">
          <cell r="A410">
            <v>4.0903000000000002E-2</v>
          </cell>
        </row>
        <row r="411">
          <cell r="A411">
            <v>3.6213000000000002E-2</v>
          </cell>
        </row>
        <row r="412">
          <cell r="A412">
            <v>3.4699000000000001E-2</v>
          </cell>
        </row>
        <row r="413">
          <cell r="A413">
            <v>3.7347999999999999E-2</v>
          </cell>
        </row>
        <row r="414">
          <cell r="A414">
            <v>2.5957999999999998E-2</v>
          </cell>
        </row>
        <row r="415">
          <cell r="A415">
            <v>3.0595000000000001E-2</v>
          </cell>
        </row>
        <row r="416">
          <cell r="A416">
            <v>1.4229E-2</v>
          </cell>
        </row>
        <row r="417">
          <cell r="A417">
            <v>2.5159999999999998E-2</v>
          </cell>
        </row>
        <row r="418">
          <cell r="A418">
            <v>3.1295999999999997E-2</v>
          </cell>
        </row>
        <row r="419">
          <cell r="A419">
            <v>2.3165000000000002E-2</v>
          </cell>
        </row>
        <row r="420">
          <cell r="A420">
            <v>1.3658999999999999E-2</v>
          </cell>
        </row>
        <row r="421">
          <cell r="A421">
            <v>3.7303999999999997E-2</v>
          </cell>
        </row>
        <row r="422">
          <cell r="A422">
            <v>8.8789999999999997E-3</v>
          </cell>
        </row>
        <row r="423">
          <cell r="A423">
            <v>2.9565000000000001E-2</v>
          </cell>
        </row>
        <row r="424">
          <cell r="A424">
            <v>3.0515E-2</v>
          </cell>
        </row>
        <row r="425">
          <cell r="A425">
            <v>3.4381000000000002E-2</v>
          </cell>
        </row>
        <row r="426">
          <cell r="A426">
            <v>1.6449999999999999E-2</v>
          </cell>
        </row>
        <row r="427">
          <cell r="A427">
            <v>3.4136E-2</v>
          </cell>
        </row>
        <row r="428">
          <cell r="A428">
            <v>1.4897000000000001E-2</v>
          </cell>
        </row>
        <row r="429">
          <cell r="A429">
            <v>2.4485E-2</v>
          </cell>
        </row>
        <row r="430">
          <cell r="A430">
            <v>2.2741999999999998E-2</v>
          </cell>
        </row>
        <row r="431">
          <cell r="A431">
            <v>3.4195000000000003E-2</v>
          </cell>
        </row>
        <row r="432">
          <cell r="A432">
            <v>1.5117E-2</v>
          </cell>
        </row>
        <row r="433">
          <cell r="A433">
            <v>4.3665000000000002E-2</v>
          </cell>
        </row>
        <row r="434">
          <cell r="A434">
            <v>3.6399000000000001E-2</v>
          </cell>
        </row>
        <row r="435">
          <cell r="A435">
            <v>2.7605999999999999E-2</v>
          </cell>
        </row>
        <row r="436">
          <cell r="A436">
            <v>2.4493000000000001E-2</v>
          </cell>
        </row>
        <row r="437">
          <cell r="A437">
            <v>3.4902000000000002E-2</v>
          </cell>
        </row>
        <row r="438">
          <cell r="A438">
            <v>3.5763999999999997E-2</v>
          </cell>
        </row>
        <row r="439">
          <cell r="A439">
            <v>1.6698999999999999E-2</v>
          </cell>
        </row>
        <row r="440">
          <cell r="A440">
            <v>3.2636999999999999E-2</v>
          </cell>
        </row>
        <row r="441">
          <cell r="A441">
            <v>3.0851E-2</v>
          </cell>
        </row>
        <row r="442">
          <cell r="A442">
            <v>1.1297E-2</v>
          </cell>
        </row>
        <row r="443">
          <cell r="A443">
            <v>2.3227000000000001E-2</v>
          </cell>
        </row>
        <row r="444">
          <cell r="A444">
            <v>1.7964999999999998E-2</v>
          </cell>
        </row>
        <row r="445">
          <cell r="A445">
            <v>3.4238999999999999E-2</v>
          </cell>
        </row>
        <row r="446">
          <cell r="A446">
            <v>3.7760000000000002E-2</v>
          </cell>
        </row>
        <row r="447">
          <cell r="A447">
            <v>1.0788000000000001E-2</v>
          </cell>
        </row>
        <row r="448">
          <cell r="A448">
            <v>3.177E-2</v>
          </cell>
        </row>
        <row r="449">
          <cell r="A449">
            <v>3.3656999999999999E-2</v>
          </cell>
        </row>
        <row r="450">
          <cell r="A450">
            <v>1.4878000000000001E-2</v>
          </cell>
        </row>
        <row r="451">
          <cell r="A451">
            <v>1.5002E-2</v>
          </cell>
        </row>
        <row r="452">
          <cell r="A452">
            <v>2.7761999999999998E-2</v>
          </cell>
        </row>
        <row r="453">
          <cell r="A453">
            <v>2.2721000000000002E-2</v>
          </cell>
        </row>
        <row r="454">
          <cell r="A454">
            <v>1.4017999999999999E-2</v>
          </cell>
        </row>
        <row r="455">
          <cell r="A455">
            <v>8.234E-3</v>
          </cell>
        </row>
        <row r="456">
          <cell r="A456">
            <v>3.4451000000000002E-2</v>
          </cell>
        </row>
        <row r="457">
          <cell r="A457">
            <v>3.5052E-2</v>
          </cell>
        </row>
        <row r="458">
          <cell r="A458">
            <v>2.1211000000000001E-2</v>
          </cell>
        </row>
        <row r="459">
          <cell r="A459">
            <v>1.324E-2</v>
          </cell>
        </row>
        <row r="460">
          <cell r="A460">
            <v>2.6623000000000001E-2</v>
          </cell>
        </row>
        <row r="461">
          <cell r="A461">
            <v>1.7415E-2</v>
          </cell>
        </row>
        <row r="462">
          <cell r="A462">
            <v>3.9042E-2</v>
          </cell>
        </row>
        <row r="463">
          <cell r="A463">
            <v>4.2855999999999998E-2</v>
          </cell>
        </row>
        <row r="464">
          <cell r="A464">
            <v>1.908E-2</v>
          </cell>
        </row>
        <row r="465">
          <cell r="A465">
            <v>3.3550000000000003E-2</v>
          </cell>
        </row>
        <row r="466">
          <cell r="A466">
            <v>2.3805E-2</v>
          </cell>
        </row>
        <row r="467">
          <cell r="A467">
            <v>7.8609999999999999E-3</v>
          </cell>
        </row>
        <row r="468">
          <cell r="A468">
            <v>3.1717000000000002E-2</v>
          </cell>
        </row>
        <row r="469">
          <cell r="A469">
            <v>1.5002E-2</v>
          </cell>
        </row>
        <row r="470">
          <cell r="A470">
            <v>1.9282000000000001E-2</v>
          </cell>
        </row>
        <row r="471">
          <cell r="A471">
            <v>3.0816E-2</v>
          </cell>
        </row>
        <row r="472">
          <cell r="A472">
            <v>3.9266000000000002E-2</v>
          </cell>
        </row>
        <row r="473">
          <cell r="A473">
            <v>1.2799E-2</v>
          </cell>
        </row>
        <row r="474">
          <cell r="A474">
            <v>2.3741999999999999E-2</v>
          </cell>
        </row>
        <row r="475">
          <cell r="A475">
            <v>2.1347000000000001E-2</v>
          </cell>
        </row>
        <row r="476">
          <cell r="A476">
            <v>1.6094000000000001E-2</v>
          </cell>
        </row>
        <row r="477">
          <cell r="A477">
            <v>2.8708000000000001E-2</v>
          </cell>
        </row>
        <row r="478">
          <cell r="A478">
            <v>3.6165000000000003E-2</v>
          </cell>
        </row>
        <row r="479">
          <cell r="A479">
            <v>3.1768999999999999E-2</v>
          </cell>
        </row>
        <row r="480">
          <cell r="A480">
            <v>1.8376E-2</v>
          </cell>
        </row>
        <row r="481">
          <cell r="A481">
            <v>3.1537000000000003E-2</v>
          </cell>
        </row>
        <row r="482">
          <cell r="A482">
            <v>3.3612000000000003E-2</v>
          </cell>
        </row>
        <row r="483">
          <cell r="A483">
            <v>3.0616000000000001E-2</v>
          </cell>
        </row>
        <row r="484">
          <cell r="A484">
            <v>3.4908000000000002E-2</v>
          </cell>
        </row>
        <row r="485">
          <cell r="A485">
            <v>2.8035000000000001E-2</v>
          </cell>
        </row>
        <row r="486">
          <cell r="A486">
            <v>3.5789000000000001E-2</v>
          </cell>
        </row>
        <row r="487">
          <cell r="A487">
            <v>1.0047E-2</v>
          </cell>
        </row>
        <row r="488">
          <cell r="A488">
            <v>1.8523999999999999E-2</v>
          </cell>
        </row>
        <row r="489">
          <cell r="A489">
            <v>1.6861000000000001E-2</v>
          </cell>
        </row>
        <row r="490">
          <cell r="A490">
            <v>2.3827999999999998E-2</v>
          </cell>
        </row>
        <row r="491">
          <cell r="A491">
            <v>1.1563E-2</v>
          </cell>
        </row>
        <row r="492">
          <cell r="A492">
            <v>1.5907000000000001E-2</v>
          </cell>
        </row>
        <row r="493">
          <cell r="A493">
            <v>3.1518999999999998E-2</v>
          </cell>
        </row>
        <row r="494">
          <cell r="A494">
            <v>2.3914999999999999E-2</v>
          </cell>
        </row>
        <row r="495">
          <cell r="A495">
            <v>3.9365999999999998E-2</v>
          </cell>
        </row>
        <row r="496">
          <cell r="A496">
            <v>4.8349000000000003E-2</v>
          </cell>
        </row>
        <row r="497">
          <cell r="A497">
            <v>2.3081000000000001E-2</v>
          </cell>
        </row>
        <row r="498">
          <cell r="A498">
            <v>3.1479E-2</v>
          </cell>
        </row>
        <row r="499">
          <cell r="A499">
            <v>2.0931000000000002E-2</v>
          </cell>
        </row>
        <row r="500">
          <cell r="A500">
            <v>1.1896E-2</v>
          </cell>
        </row>
        <row r="501">
          <cell r="A501">
            <v>4.2603000000000002E-2</v>
          </cell>
        </row>
        <row r="502">
          <cell r="A502">
            <v>3.3648999999999998E-2</v>
          </cell>
        </row>
        <row r="503">
          <cell r="A503">
            <v>4.1151E-2</v>
          </cell>
        </row>
        <row r="504">
          <cell r="A504">
            <v>3.5444999999999997E-2</v>
          </cell>
        </row>
        <row r="505">
          <cell r="A505">
            <v>2.2197999999999999E-2</v>
          </cell>
        </row>
        <row r="506">
          <cell r="A506">
            <v>3.4014000000000003E-2</v>
          </cell>
        </row>
        <row r="507">
          <cell r="A507">
            <v>3.9024999999999997E-2</v>
          </cell>
        </row>
        <row r="508">
          <cell r="A508">
            <v>3.6130000000000002E-2</v>
          </cell>
        </row>
        <row r="509">
          <cell r="A509">
            <v>1.3075E-2</v>
          </cell>
        </row>
        <row r="510">
          <cell r="A510">
            <v>1.4695E-2</v>
          </cell>
        </row>
        <row r="511">
          <cell r="A511">
            <v>2.8662E-2</v>
          </cell>
        </row>
        <row r="512">
          <cell r="A512">
            <v>1.5886000000000001E-2</v>
          </cell>
        </row>
        <row r="513">
          <cell r="A513">
            <v>3.6861999999999999E-2</v>
          </cell>
        </row>
        <row r="514">
          <cell r="A514">
            <v>2.3889000000000001E-2</v>
          </cell>
        </row>
        <row r="515">
          <cell r="A515">
            <v>2.9669000000000001E-2</v>
          </cell>
        </row>
        <row r="516">
          <cell r="A516">
            <v>3.2501000000000002E-2</v>
          </cell>
        </row>
        <row r="517">
          <cell r="A517">
            <v>3.2468999999999998E-2</v>
          </cell>
        </row>
        <row r="518">
          <cell r="A518">
            <v>4.5358999999999997E-2</v>
          </cell>
        </row>
        <row r="519">
          <cell r="A519">
            <v>1.9723999999999998E-2</v>
          </cell>
        </row>
        <row r="520">
          <cell r="A520">
            <v>3.1987000000000002E-2</v>
          </cell>
        </row>
        <row r="521">
          <cell r="A521">
            <v>9.0010000000000003E-3</v>
          </cell>
        </row>
        <row r="522">
          <cell r="A522">
            <v>2.7667000000000001E-2</v>
          </cell>
        </row>
        <row r="523">
          <cell r="A523">
            <v>2.0049999999999998E-2</v>
          </cell>
        </row>
        <row r="524">
          <cell r="A524">
            <v>3.6942999999999997E-2</v>
          </cell>
        </row>
        <row r="525">
          <cell r="A525">
            <v>3.1040000000000002E-2</v>
          </cell>
        </row>
        <row r="526">
          <cell r="A526">
            <v>3.3412999999999998E-2</v>
          </cell>
        </row>
        <row r="527">
          <cell r="A527">
            <v>4.1368000000000002E-2</v>
          </cell>
        </row>
        <row r="528">
          <cell r="A528">
            <v>3.5444000000000003E-2</v>
          </cell>
        </row>
        <row r="529">
          <cell r="A529">
            <v>1.333E-2</v>
          </cell>
        </row>
        <row r="530">
          <cell r="A530">
            <v>2.2282E-2</v>
          </cell>
        </row>
        <row r="531">
          <cell r="A531">
            <v>3.8746000000000003E-2</v>
          </cell>
        </row>
        <row r="532">
          <cell r="A532">
            <v>2.8417999999999999E-2</v>
          </cell>
        </row>
        <row r="533">
          <cell r="A533">
            <v>1.1684E-2</v>
          </cell>
        </row>
        <row r="534">
          <cell r="A534">
            <v>3.4701000000000003E-2</v>
          </cell>
        </row>
        <row r="535">
          <cell r="A535">
            <v>2.7883999999999999E-2</v>
          </cell>
        </row>
        <row r="536">
          <cell r="A536">
            <v>1.5343000000000001E-2</v>
          </cell>
        </row>
        <row r="537">
          <cell r="A537">
            <v>1.3602E-2</v>
          </cell>
        </row>
        <row r="538">
          <cell r="A538">
            <v>2.4464E-2</v>
          </cell>
        </row>
        <row r="539">
          <cell r="A539">
            <v>1.3564E-2</v>
          </cell>
        </row>
        <row r="540">
          <cell r="A540">
            <v>3.2488999999999997E-2</v>
          </cell>
        </row>
        <row r="541">
          <cell r="A541">
            <v>2.3722E-2</v>
          </cell>
        </row>
        <row r="542">
          <cell r="A542">
            <v>1.5878E-2</v>
          </cell>
        </row>
        <row r="543">
          <cell r="A543">
            <v>1.5207E-2</v>
          </cell>
        </row>
        <row r="544">
          <cell r="A544">
            <v>2.4374E-2</v>
          </cell>
        </row>
        <row r="545">
          <cell r="A545">
            <v>3.1275999999999998E-2</v>
          </cell>
        </row>
        <row r="546">
          <cell r="A546">
            <v>1.7410999999999999E-2</v>
          </cell>
        </row>
        <row r="547">
          <cell r="A547">
            <v>1.4808E-2</v>
          </cell>
        </row>
        <row r="548">
          <cell r="A548">
            <v>2.6547999999999999E-2</v>
          </cell>
        </row>
        <row r="549">
          <cell r="A549">
            <v>2.7730999999999999E-2</v>
          </cell>
        </row>
        <row r="550">
          <cell r="A550">
            <v>2.3649E-2</v>
          </cell>
        </row>
        <row r="551">
          <cell r="A551">
            <v>1.6733999999999999E-2</v>
          </cell>
        </row>
        <row r="552">
          <cell r="A552">
            <v>1.6781999999999998E-2</v>
          </cell>
        </row>
        <row r="553">
          <cell r="A553">
            <v>3.3903999999999997E-2</v>
          </cell>
        </row>
        <row r="554">
          <cell r="A554">
            <v>1.9015000000000001E-2</v>
          </cell>
        </row>
        <row r="555">
          <cell r="A555">
            <v>3.1488000000000002E-2</v>
          </cell>
        </row>
        <row r="556">
          <cell r="A556">
            <v>1.2633999999999999E-2</v>
          </cell>
        </row>
        <row r="557">
          <cell r="A557">
            <v>1.5786000000000001E-2</v>
          </cell>
        </row>
        <row r="558">
          <cell r="A558">
            <v>1.3356E-2</v>
          </cell>
        </row>
        <row r="559">
          <cell r="A559">
            <v>1.653E-2</v>
          </cell>
        </row>
        <row r="560">
          <cell r="A560">
            <v>2.9603999999999998E-2</v>
          </cell>
        </row>
        <row r="561">
          <cell r="A561">
            <v>3.5087E-2</v>
          </cell>
        </row>
        <row r="562">
          <cell r="A562">
            <v>3.0550000000000001E-2</v>
          </cell>
        </row>
        <row r="563">
          <cell r="A563">
            <v>1.8024999999999999E-2</v>
          </cell>
        </row>
        <row r="564">
          <cell r="A564">
            <v>2.9398000000000001E-2</v>
          </cell>
        </row>
        <row r="565">
          <cell r="A565">
            <v>2.3858000000000001E-2</v>
          </cell>
        </row>
        <row r="566">
          <cell r="A566">
            <v>2.4628000000000001E-2</v>
          </cell>
        </row>
        <row r="567">
          <cell r="A567">
            <v>9.1870000000000007E-3</v>
          </cell>
        </row>
        <row r="568">
          <cell r="A568">
            <v>1.5556E-2</v>
          </cell>
        </row>
        <row r="569">
          <cell r="A569">
            <v>1.6497000000000001E-2</v>
          </cell>
        </row>
        <row r="570">
          <cell r="A570">
            <v>2.3819E-2</v>
          </cell>
        </row>
        <row r="571">
          <cell r="A571">
            <v>2.9673000000000001E-2</v>
          </cell>
        </row>
        <row r="572">
          <cell r="A572">
            <v>3.0297000000000001E-2</v>
          </cell>
        </row>
        <row r="573">
          <cell r="A573">
            <v>1.1101E-2</v>
          </cell>
        </row>
        <row r="574">
          <cell r="A574">
            <v>1.3082999999999999E-2</v>
          </cell>
        </row>
        <row r="575">
          <cell r="A575">
            <v>2.9249000000000001E-2</v>
          </cell>
        </row>
        <row r="576">
          <cell r="A576">
            <v>2.9092E-2</v>
          </cell>
        </row>
        <row r="577">
          <cell r="A577">
            <v>1.2903E-2</v>
          </cell>
        </row>
        <row r="578">
          <cell r="A578">
            <v>1.5422E-2</v>
          </cell>
        </row>
        <row r="579">
          <cell r="A579">
            <v>2.9316999999999999E-2</v>
          </cell>
        </row>
        <row r="580">
          <cell r="A580">
            <v>2.1009E-2</v>
          </cell>
        </row>
        <row r="581">
          <cell r="A581">
            <v>3.0204999999999999E-2</v>
          </cell>
        </row>
        <row r="582">
          <cell r="A582">
            <v>2.2381999999999999E-2</v>
          </cell>
        </row>
        <row r="583">
          <cell r="A583">
            <v>2.7319E-2</v>
          </cell>
        </row>
        <row r="584">
          <cell r="A584">
            <v>1.7412E-2</v>
          </cell>
        </row>
        <row r="585">
          <cell r="A585">
            <v>2.3326E-2</v>
          </cell>
        </row>
        <row r="586">
          <cell r="A586">
            <v>3.4233E-2</v>
          </cell>
        </row>
        <row r="587">
          <cell r="A587">
            <v>1.3233E-2</v>
          </cell>
        </row>
        <row r="588">
          <cell r="A588">
            <v>2.9731E-2</v>
          </cell>
        </row>
        <row r="589">
          <cell r="A589">
            <v>3.1777E-2</v>
          </cell>
        </row>
        <row r="590">
          <cell r="A590">
            <v>3.7064E-2</v>
          </cell>
        </row>
        <row r="591">
          <cell r="A591">
            <v>2.0930000000000001E-2</v>
          </cell>
        </row>
        <row r="592">
          <cell r="A592">
            <v>1.2357E-2</v>
          </cell>
        </row>
        <row r="593">
          <cell r="A593">
            <v>2.8405E-2</v>
          </cell>
        </row>
        <row r="594">
          <cell r="A594">
            <v>3.4033000000000001E-2</v>
          </cell>
        </row>
        <row r="595">
          <cell r="A595">
            <v>2.8004000000000001E-2</v>
          </cell>
        </row>
        <row r="596">
          <cell r="A596">
            <v>3.7381999999999999E-2</v>
          </cell>
        </row>
        <row r="597">
          <cell r="A597">
            <v>4.3485999999999997E-2</v>
          </cell>
        </row>
        <row r="598">
          <cell r="A598">
            <v>2.1683000000000001E-2</v>
          </cell>
        </row>
        <row r="599">
          <cell r="A599">
            <v>2.7334000000000001E-2</v>
          </cell>
        </row>
        <row r="600">
          <cell r="A600">
            <v>2.6381999999999999E-2</v>
          </cell>
        </row>
        <row r="601">
          <cell r="A601">
            <v>2.9500999999999999E-2</v>
          </cell>
        </row>
        <row r="602">
          <cell r="A602">
            <v>1.5186E-2</v>
          </cell>
        </row>
        <row r="603">
          <cell r="A603">
            <v>1.7614999999999999E-2</v>
          </cell>
        </row>
        <row r="604">
          <cell r="A604">
            <v>2.3768999999999998E-2</v>
          </cell>
        </row>
        <row r="605">
          <cell r="A605">
            <v>2.1356E-2</v>
          </cell>
        </row>
        <row r="606">
          <cell r="A606">
            <v>1.2564000000000001E-2</v>
          </cell>
        </row>
        <row r="607">
          <cell r="A607">
            <v>1.9984999999999999E-2</v>
          </cell>
        </row>
        <row r="608">
          <cell r="A608">
            <v>2.5780000000000001E-2</v>
          </cell>
        </row>
        <row r="609">
          <cell r="A609">
            <v>3.9288999999999998E-2</v>
          </cell>
        </row>
        <row r="610">
          <cell r="A610">
            <v>1.7153000000000002E-2</v>
          </cell>
        </row>
        <row r="611">
          <cell r="A611">
            <v>2.2051999999999999E-2</v>
          </cell>
        </row>
        <row r="612">
          <cell r="A612">
            <v>3.1432000000000002E-2</v>
          </cell>
        </row>
        <row r="613">
          <cell r="A613">
            <v>1.5228999999999999E-2</v>
          </cell>
        </row>
        <row r="614">
          <cell r="A614">
            <v>1.5566E-2</v>
          </cell>
        </row>
        <row r="615">
          <cell r="A615">
            <v>2.3817999999999999E-2</v>
          </cell>
        </row>
        <row r="616">
          <cell r="A616">
            <v>2.1915E-2</v>
          </cell>
        </row>
        <row r="617">
          <cell r="A617">
            <v>3.0133E-2</v>
          </cell>
        </row>
        <row r="618">
          <cell r="A618">
            <v>2.1409999999999998E-2</v>
          </cell>
        </row>
        <row r="619">
          <cell r="A619">
            <v>2.8605999999999999E-2</v>
          </cell>
        </row>
        <row r="620">
          <cell r="A620">
            <v>2.9271999999999999E-2</v>
          </cell>
        </row>
        <row r="621">
          <cell r="A621">
            <v>1.3978000000000001E-2</v>
          </cell>
        </row>
        <row r="622">
          <cell r="A622">
            <v>1.9521E-2</v>
          </cell>
        </row>
        <row r="623">
          <cell r="A623">
            <v>3.8892999999999997E-2</v>
          </cell>
        </row>
        <row r="624">
          <cell r="A624">
            <v>3.1566999999999998E-2</v>
          </cell>
        </row>
        <row r="625">
          <cell r="A625">
            <v>1.2566000000000001E-2</v>
          </cell>
        </row>
        <row r="626">
          <cell r="A626">
            <v>1.1913999999999999E-2</v>
          </cell>
        </row>
        <row r="627">
          <cell r="A627">
            <v>2.5381999999999998E-2</v>
          </cell>
        </row>
        <row r="628">
          <cell r="A628">
            <v>1.7763999999999999E-2</v>
          </cell>
        </row>
        <row r="629">
          <cell r="A629">
            <v>2.6061000000000001E-2</v>
          </cell>
        </row>
        <row r="630">
          <cell r="A630">
            <v>2.9405000000000001E-2</v>
          </cell>
        </row>
        <row r="631">
          <cell r="A631">
            <v>1.8925999999999998E-2</v>
          </cell>
        </row>
        <row r="632">
          <cell r="A632">
            <v>2.2759000000000001E-2</v>
          </cell>
        </row>
        <row r="633">
          <cell r="A633">
            <v>2.9654E-2</v>
          </cell>
        </row>
        <row r="634">
          <cell r="A634">
            <v>2.1486000000000002E-2</v>
          </cell>
        </row>
        <row r="635">
          <cell r="A635">
            <v>2.23E-2</v>
          </cell>
        </row>
        <row r="636">
          <cell r="A636">
            <v>1.3823999999999999E-2</v>
          </cell>
        </row>
        <row r="637">
          <cell r="A637">
            <v>2.4441000000000001E-2</v>
          </cell>
        </row>
        <row r="638">
          <cell r="A638">
            <v>1.7066000000000001E-2</v>
          </cell>
        </row>
        <row r="639">
          <cell r="A639">
            <v>2.5127E-2</v>
          </cell>
        </row>
        <row r="640">
          <cell r="A640">
            <v>3.3000000000000002E-2</v>
          </cell>
        </row>
        <row r="641">
          <cell r="A641">
            <v>3.2448999999999999E-2</v>
          </cell>
        </row>
        <row r="642">
          <cell r="A642">
            <v>2.0575E-2</v>
          </cell>
        </row>
        <row r="643">
          <cell r="A643">
            <v>3.168E-2</v>
          </cell>
        </row>
        <row r="644">
          <cell r="A644">
            <v>6.1609999999999998E-3</v>
          </cell>
        </row>
        <row r="645">
          <cell r="A645">
            <v>2.3619999999999999E-2</v>
          </cell>
        </row>
        <row r="646">
          <cell r="A646">
            <v>1.6944000000000001E-2</v>
          </cell>
        </row>
        <row r="647">
          <cell r="A647">
            <v>1.7571E-2</v>
          </cell>
        </row>
        <row r="648">
          <cell r="A648">
            <v>2.7826E-2</v>
          </cell>
        </row>
        <row r="649">
          <cell r="A649">
            <v>2.6197999999999999E-2</v>
          </cell>
        </row>
        <row r="650">
          <cell r="A650">
            <v>1.4196E-2</v>
          </cell>
        </row>
        <row r="651">
          <cell r="A651">
            <v>1.4555999999999999E-2</v>
          </cell>
        </row>
        <row r="652">
          <cell r="A652">
            <v>2.6564999999999998E-2</v>
          </cell>
        </row>
        <row r="653">
          <cell r="A653">
            <v>2.0077999999999999E-2</v>
          </cell>
        </row>
        <row r="654">
          <cell r="A654">
            <v>1.1730000000000001E-2</v>
          </cell>
        </row>
        <row r="655">
          <cell r="A655">
            <v>1.4716E-2</v>
          </cell>
        </row>
        <row r="656">
          <cell r="A656">
            <v>3.2229000000000001E-2</v>
          </cell>
        </row>
        <row r="657">
          <cell r="A657">
            <v>1.4541999999999999E-2</v>
          </cell>
        </row>
        <row r="658">
          <cell r="A658">
            <v>1.0592000000000001E-2</v>
          </cell>
        </row>
        <row r="659">
          <cell r="A659">
            <v>2.6991000000000001E-2</v>
          </cell>
        </row>
        <row r="660">
          <cell r="A660">
            <v>1.4309000000000001E-2</v>
          </cell>
        </row>
        <row r="661">
          <cell r="A661">
            <v>1.8615E-2</v>
          </cell>
        </row>
        <row r="662">
          <cell r="A662">
            <v>1.4442E-2</v>
          </cell>
        </row>
        <row r="663">
          <cell r="A663">
            <v>3.6499999999999998E-2</v>
          </cell>
        </row>
        <row r="664">
          <cell r="A664">
            <v>1.2626E-2</v>
          </cell>
        </row>
        <row r="665">
          <cell r="A665">
            <v>2.7403E-2</v>
          </cell>
        </row>
        <row r="666">
          <cell r="A666">
            <v>3.5687000000000003E-2</v>
          </cell>
        </row>
        <row r="667">
          <cell r="A667">
            <v>3.4755000000000001E-2</v>
          </cell>
        </row>
        <row r="668">
          <cell r="A668">
            <v>1.4399E-2</v>
          </cell>
        </row>
        <row r="669">
          <cell r="A669">
            <v>1.3573999999999999E-2</v>
          </cell>
        </row>
        <row r="670">
          <cell r="A670">
            <v>2.2401000000000001E-2</v>
          </cell>
        </row>
        <row r="671">
          <cell r="A671">
            <v>2.6877000000000002E-2</v>
          </cell>
        </row>
        <row r="672">
          <cell r="A672">
            <v>2.1044E-2</v>
          </cell>
        </row>
        <row r="673">
          <cell r="A673">
            <v>3.1789999999999999E-2</v>
          </cell>
        </row>
        <row r="674">
          <cell r="A674">
            <v>3.2661999999999997E-2</v>
          </cell>
        </row>
        <row r="675">
          <cell r="A675">
            <v>1.3180000000000001E-2</v>
          </cell>
        </row>
        <row r="676">
          <cell r="A676">
            <v>2.2259999999999999E-2</v>
          </cell>
        </row>
        <row r="677">
          <cell r="A677">
            <v>2.3156E-2</v>
          </cell>
        </row>
        <row r="678">
          <cell r="A678">
            <v>3.1858999999999998E-2</v>
          </cell>
        </row>
        <row r="679">
          <cell r="A679">
            <v>2.4580000000000001E-2</v>
          </cell>
        </row>
        <row r="680">
          <cell r="A680">
            <v>1.2468E-2</v>
          </cell>
        </row>
        <row r="681">
          <cell r="A681">
            <v>2.9794999999999999E-2</v>
          </cell>
        </row>
        <row r="682">
          <cell r="A682">
            <v>2.9163999999999999E-2</v>
          </cell>
        </row>
        <row r="683">
          <cell r="A683">
            <v>1.78E-2</v>
          </cell>
        </row>
        <row r="684">
          <cell r="A684">
            <v>1.8505000000000001E-2</v>
          </cell>
        </row>
        <row r="685">
          <cell r="A685">
            <v>2.7015999999999998E-2</v>
          </cell>
        </row>
        <row r="686">
          <cell r="A686">
            <v>3.1553999999999999E-2</v>
          </cell>
        </row>
        <row r="687">
          <cell r="A687">
            <v>1.9650000000000001E-2</v>
          </cell>
        </row>
        <row r="688">
          <cell r="A688">
            <v>1.3268E-2</v>
          </cell>
        </row>
        <row r="689">
          <cell r="A689">
            <v>2.4178999999999999E-2</v>
          </cell>
        </row>
        <row r="690">
          <cell r="A690">
            <v>2.5225999999999998E-2</v>
          </cell>
        </row>
        <row r="691">
          <cell r="A691">
            <v>1.4259000000000001E-2</v>
          </cell>
        </row>
        <row r="692">
          <cell r="A692">
            <v>1.4746E-2</v>
          </cell>
        </row>
        <row r="693">
          <cell r="A693">
            <v>1.511E-2</v>
          </cell>
        </row>
        <row r="694">
          <cell r="A694">
            <v>2.2679999999999999E-2</v>
          </cell>
        </row>
        <row r="695">
          <cell r="A695">
            <v>2.7827000000000001E-2</v>
          </cell>
        </row>
        <row r="696">
          <cell r="A696">
            <v>2.2173999999999999E-2</v>
          </cell>
        </row>
        <row r="697">
          <cell r="A697">
            <v>2.9345E-2</v>
          </cell>
        </row>
        <row r="698">
          <cell r="A698">
            <v>2.7397000000000001E-2</v>
          </cell>
        </row>
        <row r="699">
          <cell r="A699">
            <v>1.5841000000000001E-2</v>
          </cell>
        </row>
        <row r="700">
          <cell r="A700">
            <v>2.0184000000000001E-2</v>
          </cell>
        </row>
        <row r="701">
          <cell r="A701">
            <v>3.6205000000000001E-2</v>
          </cell>
        </row>
        <row r="702">
          <cell r="A702">
            <v>7.8659999999999997E-3</v>
          </cell>
        </row>
        <row r="703">
          <cell r="A703">
            <v>1.3369000000000001E-2</v>
          </cell>
        </row>
        <row r="704">
          <cell r="A704">
            <v>3.4063999999999997E-2</v>
          </cell>
        </row>
        <row r="705">
          <cell r="A705">
            <v>3.4744999999999998E-2</v>
          </cell>
        </row>
        <row r="706">
          <cell r="A706">
            <v>2.6969E-2</v>
          </cell>
        </row>
        <row r="707">
          <cell r="A707">
            <v>2.2277000000000002E-2</v>
          </cell>
        </row>
        <row r="708">
          <cell r="A708">
            <v>4.1813999999999997E-2</v>
          </cell>
        </row>
        <row r="709">
          <cell r="A709">
            <v>2.5746999999999999E-2</v>
          </cell>
        </row>
        <row r="710">
          <cell r="A710">
            <v>6.0639999999999999E-3</v>
          </cell>
        </row>
        <row r="711">
          <cell r="A711">
            <v>2.0423E-2</v>
          </cell>
        </row>
        <row r="712">
          <cell r="A712">
            <v>2.2141999999999998E-2</v>
          </cell>
        </row>
        <row r="713">
          <cell r="A713">
            <v>2.9957000000000001E-2</v>
          </cell>
        </row>
        <row r="714">
          <cell r="A714">
            <v>1.5571E-2</v>
          </cell>
        </row>
        <row r="715">
          <cell r="A715">
            <v>1.3162999999999999E-2</v>
          </cell>
        </row>
        <row r="716">
          <cell r="A716">
            <v>1.1920999999999999E-2</v>
          </cell>
        </row>
        <row r="717">
          <cell r="A717">
            <v>2.7174E-2</v>
          </cell>
        </row>
        <row r="718">
          <cell r="A718">
            <v>3.1614999999999997E-2</v>
          </cell>
        </row>
        <row r="719">
          <cell r="A719">
            <v>1.2402E-2</v>
          </cell>
        </row>
        <row r="720">
          <cell r="A720">
            <v>3.3945999999999997E-2</v>
          </cell>
        </row>
        <row r="721">
          <cell r="A721">
            <v>3.2908E-2</v>
          </cell>
        </row>
        <row r="722">
          <cell r="A722">
            <v>3.2927999999999999E-2</v>
          </cell>
        </row>
        <row r="723">
          <cell r="A723">
            <v>2.3050999999999999E-2</v>
          </cell>
        </row>
        <row r="724">
          <cell r="A724">
            <v>2.7366999999999999E-2</v>
          </cell>
        </row>
        <row r="725">
          <cell r="A725">
            <v>2.4379000000000001E-2</v>
          </cell>
        </row>
        <row r="726">
          <cell r="A726">
            <v>1.5224E-2</v>
          </cell>
        </row>
        <row r="727">
          <cell r="A727">
            <v>2.9766000000000001E-2</v>
          </cell>
        </row>
        <row r="728">
          <cell r="A728">
            <v>3.9293000000000002E-2</v>
          </cell>
        </row>
        <row r="729">
          <cell r="A729">
            <v>1.7711000000000001E-2</v>
          </cell>
        </row>
        <row r="730">
          <cell r="A730">
            <v>1.3370999999999999E-2</v>
          </cell>
        </row>
        <row r="731">
          <cell r="A731">
            <v>2.4537E-2</v>
          </cell>
        </row>
        <row r="732">
          <cell r="A732">
            <v>2.2554999999999999E-2</v>
          </cell>
        </row>
        <row r="733">
          <cell r="A733">
            <v>2.9656999999999999E-2</v>
          </cell>
        </row>
        <row r="734">
          <cell r="A734">
            <v>8.5500000000000003E-3</v>
          </cell>
        </row>
        <row r="735">
          <cell r="A735">
            <v>2.895E-2</v>
          </cell>
        </row>
        <row r="736">
          <cell r="A736">
            <v>2.6905999999999999E-2</v>
          </cell>
        </row>
        <row r="737">
          <cell r="A737">
            <v>1.5865000000000001E-2</v>
          </cell>
        </row>
        <row r="738">
          <cell r="A738">
            <v>4.1993000000000003E-2</v>
          </cell>
        </row>
        <row r="739">
          <cell r="A739">
            <v>2.1828E-2</v>
          </cell>
        </row>
        <row r="740">
          <cell r="A740">
            <v>3.1163E-2</v>
          </cell>
        </row>
        <row r="741">
          <cell r="A741">
            <v>1.5518000000000001E-2</v>
          </cell>
        </row>
        <row r="742">
          <cell r="A742">
            <v>2.2941E-2</v>
          </cell>
        </row>
        <row r="743">
          <cell r="A743">
            <v>1.3698999999999999E-2</v>
          </cell>
        </row>
        <row r="744">
          <cell r="A744">
            <v>2.4948000000000001E-2</v>
          </cell>
        </row>
        <row r="745">
          <cell r="A745">
            <v>3.0526000000000001E-2</v>
          </cell>
        </row>
        <row r="746">
          <cell r="A746">
            <v>1.6830999999999999E-2</v>
          </cell>
        </row>
        <row r="747">
          <cell r="A747">
            <v>1.8370999999999998E-2</v>
          </cell>
        </row>
        <row r="748">
          <cell r="A748">
            <v>3.0483E-2</v>
          </cell>
        </row>
        <row r="749">
          <cell r="A749">
            <v>1.0824E-2</v>
          </cell>
        </row>
        <row r="750">
          <cell r="A750">
            <v>8.1530000000000005E-3</v>
          </cell>
        </row>
        <row r="751">
          <cell r="A751">
            <v>1.5609E-2</v>
          </cell>
        </row>
        <row r="752">
          <cell r="A752">
            <v>2.9498E-2</v>
          </cell>
        </row>
        <row r="753">
          <cell r="A753">
            <v>3.2052999999999998E-2</v>
          </cell>
        </row>
        <row r="754">
          <cell r="A754">
            <v>2.7057000000000001E-2</v>
          </cell>
        </row>
        <row r="755">
          <cell r="A755">
            <v>1.5813000000000001E-2</v>
          </cell>
        </row>
        <row r="756">
          <cell r="A756">
            <v>2.6518E-2</v>
          </cell>
        </row>
        <row r="757">
          <cell r="A757">
            <v>1.8457999999999999E-2</v>
          </cell>
        </row>
        <row r="758">
          <cell r="A758">
            <v>2.0667999999999999E-2</v>
          </cell>
        </row>
        <row r="759">
          <cell r="A759">
            <v>1.6416E-2</v>
          </cell>
        </row>
        <row r="760">
          <cell r="A760">
            <v>1.2184E-2</v>
          </cell>
        </row>
        <row r="761">
          <cell r="A761">
            <v>3.0790999999999999E-2</v>
          </cell>
        </row>
        <row r="762">
          <cell r="A762">
            <v>1.3651999999999999E-2</v>
          </cell>
        </row>
        <row r="763">
          <cell r="A763">
            <v>2.7650999999999998E-2</v>
          </cell>
        </row>
        <row r="764">
          <cell r="A764">
            <v>2.1874000000000001E-2</v>
          </cell>
        </row>
        <row r="765">
          <cell r="A765">
            <v>2.6044000000000001E-2</v>
          </cell>
        </row>
        <row r="766">
          <cell r="A766">
            <v>2.7178999999999998E-2</v>
          </cell>
        </row>
        <row r="767">
          <cell r="A767">
            <v>3.2828999999999997E-2</v>
          </cell>
        </row>
        <row r="768">
          <cell r="A768">
            <v>1.5973999999999999E-2</v>
          </cell>
        </row>
        <row r="769">
          <cell r="A769">
            <v>4.1371999999999999E-2</v>
          </cell>
        </row>
        <row r="770">
          <cell r="A770">
            <v>1.4706E-2</v>
          </cell>
        </row>
        <row r="771">
          <cell r="A771">
            <v>1.3450999999999999E-2</v>
          </cell>
        </row>
        <row r="772">
          <cell r="A772">
            <v>2.5916000000000002E-2</v>
          </cell>
        </row>
        <row r="773">
          <cell r="A773">
            <v>2.8787E-2</v>
          </cell>
        </row>
        <row r="774">
          <cell r="A774">
            <v>2.1391E-2</v>
          </cell>
        </row>
        <row r="775">
          <cell r="A775">
            <v>2.5624000000000001E-2</v>
          </cell>
        </row>
        <row r="776">
          <cell r="A776">
            <v>2.7394000000000002E-2</v>
          </cell>
        </row>
        <row r="777">
          <cell r="A777">
            <v>2.8001000000000002E-2</v>
          </cell>
        </row>
        <row r="778">
          <cell r="A778">
            <v>3.0169999999999999E-2</v>
          </cell>
        </row>
        <row r="779">
          <cell r="A779">
            <v>1.3179E-2</v>
          </cell>
        </row>
        <row r="780">
          <cell r="A780">
            <v>2.8989999999999998E-2</v>
          </cell>
        </row>
        <row r="781">
          <cell r="A781">
            <v>1.4858E-2</v>
          </cell>
        </row>
        <row r="782">
          <cell r="A782">
            <v>3.2346E-2</v>
          </cell>
        </row>
        <row r="783">
          <cell r="A783">
            <v>1.4952E-2</v>
          </cell>
        </row>
        <row r="784">
          <cell r="A784">
            <v>2.0523E-2</v>
          </cell>
        </row>
        <row r="785">
          <cell r="A785">
            <v>2.4084000000000001E-2</v>
          </cell>
        </row>
        <row r="786">
          <cell r="A786">
            <v>2.7847E-2</v>
          </cell>
        </row>
        <row r="787">
          <cell r="A787">
            <v>1.4466E-2</v>
          </cell>
        </row>
        <row r="788">
          <cell r="A788">
            <v>1.5642E-2</v>
          </cell>
        </row>
        <row r="789">
          <cell r="A789">
            <v>1.8164E-2</v>
          </cell>
        </row>
        <row r="790">
          <cell r="A790">
            <v>3.2238000000000003E-2</v>
          </cell>
        </row>
        <row r="791">
          <cell r="A791">
            <v>2.9538999999999999E-2</v>
          </cell>
        </row>
        <row r="792">
          <cell r="A792">
            <v>1.4923000000000001E-2</v>
          </cell>
        </row>
        <row r="793">
          <cell r="A793">
            <v>1.2508E-2</v>
          </cell>
        </row>
        <row r="794">
          <cell r="A794">
            <v>3.4964000000000002E-2</v>
          </cell>
        </row>
        <row r="795">
          <cell r="A795">
            <v>1.5626000000000001E-2</v>
          </cell>
        </row>
        <row r="796">
          <cell r="A796">
            <v>1.8478999999999999E-2</v>
          </cell>
        </row>
        <row r="797">
          <cell r="A797">
            <v>1.9399E-2</v>
          </cell>
        </row>
        <row r="798">
          <cell r="A798">
            <v>2.7023999999999999E-2</v>
          </cell>
        </row>
        <row r="799">
          <cell r="A799">
            <v>3.0911000000000001E-2</v>
          </cell>
        </row>
        <row r="800">
          <cell r="A800">
            <v>1.8662999999999999E-2</v>
          </cell>
        </row>
        <row r="801">
          <cell r="A801">
            <v>2.0351000000000001E-2</v>
          </cell>
        </row>
        <row r="802">
          <cell r="A802">
            <v>2.5166000000000001E-2</v>
          </cell>
        </row>
        <row r="803">
          <cell r="A803">
            <v>3.1729E-2</v>
          </cell>
        </row>
        <row r="804">
          <cell r="A804">
            <v>3.6318999999999997E-2</v>
          </cell>
        </row>
        <row r="805">
          <cell r="A805">
            <v>3.2024999999999998E-2</v>
          </cell>
        </row>
        <row r="806">
          <cell r="A806">
            <v>1.3280999999999999E-2</v>
          </cell>
        </row>
        <row r="807">
          <cell r="A807">
            <v>1.6029000000000002E-2</v>
          </cell>
        </row>
        <row r="808">
          <cell r="A808">
            <v>2.3625E-2</v>
          </cell>
        </row>
        <row r="809">
          <cell r="A809">
            <v>2.7334000000000001E-2</v>
          </cell>
        </row>
        <row r="810">
          <cell r="A810">
            <v>1.5939999999999999E-2</v>
          </cell>
        </row>
        <row r="811">
          <cell r="A811">
            <v>2.5855E-2</v>
          </cell>
        </row>
        <row r="812">
          <cell r="A812">
            <v>1.5121000000000001E-2</v>
          </cell>
        </row>
        <row r="813">
          <cell r="A813">
            <v>2.8629999999999999E-2</v>
          </cell>
        </row>
        <row r="814">
          <cell r="A814">
            <v>3.005E-2</v>
          </cell>
        </row>
        <row r="815">
          <cell r="A815">
            <v>1.1427E-2</v>
          </cell>
        </row>
        <row r="816">
          <cell r="A816">
            <v>1.7899999999999999E-2</v>
          </cell>
        </row>
        <row r="817">
          <cell r="A817">
            <v>2.3706999999999999E-2</v>
          </cell>
        </row>
        <row r="818">
          <cell r="A818">
            <v>1.0127000000000001E-2</v>
          </cell>
        </row>
        <row r="819">
          <cell r="A819">
            <v>1.8197000000000001E-2</v>
          </cell>
        </row>
        <row r="820">
          <cell r="A820">
            <v>1.5848999999999999E-2</v>
          </cell>
        </row>
        <row r="821">
          <cell r="A821">
            <v>2.682E-2</v>
          </cell>
        </row>
        <row r="822">
          <cell r="A822">
            <v>2.0514000000000001E-2</v>
          </cell>
        </row>
        <row r="823">
          <cell r="A823">
            <v>1.244E-2</v>
          </cell>
        </row>
        <row r="824">
          <cell r="A824">
            <v>1.396E-2</v>
          </cell>
        </row>
        <row r="825">
          <cell r="A825">
            <v>1.6958000000000001E-2</v>
          </cell>
        </row>
        <row r="826">
          <cell r="A826">
            <v>3.4014999999999997E-2</v>
          </cell>
        </row>
        <row r="827">
          <cell r="A827">
            <v>2.6617999999999999E-2</v>
          </cell>
        </row>
        <row r="828">
          <cell r="A828">
            <v>1.5521E-2</v>
          </cell>
        </row>
        <row r="829">
          <cell r="A829">
            <v>2.1229999999999999E-2</v>
          </cell>
        </row>
        <row r="830">
          <cell r="A830">
            <v>2.6551999999999999E-2</v>
          </cell>
        </row>
        <row r="831">
          <cell r="A831">
            <v>2.7011E-2</v>
          </cell>
        </row>
        <row r="832">
          <cell r="A832">
            <v>8.1329999999999996E-3</v>
          </cell>
        </row>
        <row r="833">
          <cell r="A833">
            <v>1.6812000000000001E-2</v>
          </cell>
        </row>
        <row r="834">
          <cell r="A834">
            <v>1.7461000000000001E-2</v>
          </cell>
        </row>
        <row r="835">
          <cell r="A835">
            <v>3.9182000000000002E-2</v>
          </cell>
        </row>
        <row r="836">
          <cell r="A836">
            <v>1.1658999999999999E-2</v>
          </cell>
        </row>
        <row r="837">
          <cell r="A837">
            <v>1.6650000000000002E-2</v>
          </cell>
        </row>
        <row r="838">
          <cell r="A838">
            <v>1.7270000000000001E-2</v>
          </cell>
        </row>
        <row r="839">
          <cell r="A839">
            <v>4.1345E-2</v>
          </cell>
        </row>
        <row r="840">
          <cell r="A840">
            <v>3.1531000000000003E-2</v>
          </cell>
        </row>
        <row r="841">
          <cell r="A841">
            <v>2.1094999999999999E-2</v>
          </cell>
        </row>
        <row r="842">
          <cell r="A842">
            <v>2.5475999999999999E-2</v>
          </cell>
        </row>
        <row r="843">
          <cell r="A843">
            <v>5.8630000000000002E-3</v>
          </cell>
        </row>
        <row r="844">
          <cell r="A844">
            <v>2.7875E-2</v>
          </cell>
        </row>
        <row r="845">
          <cell r="A845">
            <v>3.8269999999999998E-2</v>
          </cell>
        </row>
        <row r="846">
          <cell r="A846">
            <v>1.1455999999999999E-2</v>
          </cell>
        </row>
        <row r="847">
          <cell r="A847">
            <v>1.9401000000000002E-2</v>
          </cell>
        </row>
        <row r="848">
          <cell r="A848">
            <v>2.4160000000000001E-2</v>
          </cell>
        </row>
        <row r="849">
          <cell r="A849">
            <v>3.3711999999999999E-2</v>
          </cell>
        </row>
        <row r="850">
          <cell r="A850">
            <v>6.9890000000000004E-3</v>
          </cell>
        </row>
        <row r="851">
          <cell r="A851">
            <v>2.3570000000000001E-2</v>
          </cell>
        </row>
        <row r="852">
          <cell r="A852">
            <v>1.4168E-2</v>
          </cell>
        </row>
        <row r="853">
          <cell r="A853">
            <v>2.9874999999999999E-2</v>
          </cell>
        </row>
        <row r="854">
          <cell r="A854">
            <v>1.3292999999999999E-2</v>
          </cell>
        </row>
        <row r="855">
          <cell r="A855">
            <v>2.8187E-2</v>
          </cell>
        </row>
        <row r="856">
          <cell r="A856">
            <v>3.2246999999999998E-2</v>
          </cell>
        </row>
        <row r="857">
          <cell r="A857">
            <v>2.5777000000000001E-2</v>
          </cell>
        </row>
        <row r="858">
          <cell r="A858">
            <v>2.5828E-2</v>
          </cell>
        </row>
        <row r="859">
          <cell r="A859">
            <v>3.3008000000000003E-2</v>
          </cell>
        </row>
        <row r="860">
          <cell r="A860">
            <v>2.9271999999999999E-2</v>
          </cell>
        </row>
        <row r="861">
          <cell r="A861">
            <v>1.3762999999999999E-2</v>
          </cell>
        </row>
        <row r="862">
          <cell r="A862">
            <v>1.5713000000000001E-2</v>
          </cell>
        </row>
        <row r="863">
          <cell r="A863">
            <v>2.9083999999999999E-2</v>
          </cell>
        </row>
        <row r="864">
          <cell r="A864">
            <v>1.2518E-2</v>
          </cell>
        </row>
        <row r="865">
          <cell r="A865">
            <v>1.9542E-2</v>
          </cell>
        </row>
        <row r="866">
          <cell r="A866">
            <v>3.5212E-2</v>
          </cell>
        </row>
        <row r="867">
          <cell r="A867">
            <v>1.8605E-2</v>
          </cell>
        </row>
        <row r="868">
          <cell r="A868">
            <v>2.6251E-2</v>
          </cell>
        </row>
        <row r="869">
          <cell r="A869">
            <v>2.8878000000000001E-2</v>
          </cell>
        </row>
        <row r="870">
          <cell r="A870">
            <v>1.7881000000000001E-2</v>
          </cell>
        </row>
        <row r="871">
          <cell r="A871">
            <v>1.9941E-2</v>
          </cell>
        </row>
        <row r="872">
          <cell r="A872">
            <v>2.8613E-2</v>
          </cell>
        </row>
        <row r="873">
          <cell r="A873">
            <v>1.3854999999999999E-2</v>
          </cell>
        </row>
        <row r="874">
          <cell r="A874">
            <v>1.3058999999999999E-2</v>
          </cell>
        </row>
        <row r="875">
          <cell r="A875">
            <v>2.4861000000000001E-2</v>
          </cell>
        </row>
        <row r="876">
          <cell r="A876">
            <v>1.0115000000000001E-2</v>
          </cell>
        </row>
        <row r="877">
          <cell r="A877">
            <v>1.4249E-2</v>
          </cell>
        </row>
        <row r="878">
          <cell r="A878">
            <v>2.6476E-2</v>
          </cell>
        </row>
        <row r="879">
          <cell r="A879">
            <v>3.3803E-2</v>
          </cell>
        </row>
        <row r="880">
          <cell r="A880">
            <v>2.3895E-2</v>
          </cell>
        </row>
        <row r="881">
          <cell r="A881">
            <v>2.3418999999999999E-2</v>
          </cell>
        </row>
        <row r="882">
          <cell r="A882">
            <v>2.6733E-2</v>
          </cell>
        </row>
        <row r="883">
          <cell r="A883">
            <v>1.2732E-2</v>
          </cell>
        </row>
        <row r="884">
          <cell r="A884">
            <v>6.9680000000000002E-3</v>
          </cell>
        </row>
        <row r="885">
          <cell r="A885">
            <v>1.2333E-2</v>
          </cell>
        </row>
        <row r="886">
          <cell r="A886">
            <v>1.9449999999999999E-2</v>
          </cell>
        </row>
        <row r="887">
          <cell r="A887">
            <v>1.1544E-2</v>
          </cell>
        </row>
        <row r="888">
          <cell r="A888">
            <v>2.1801999999999998E-2</v>
          </cell>
        </row>
        <row r="889">
          <cell r="A889">
            <v>2.6710999999999999E-2</v>
          </cell>
        </row>
        <row r="890">
          <cell r="A890">
            <v>2.3470000000000001E-2</v>
          </cell>
        </row>
        <row r="891">
          <cell r="A891">
            <v>3.1175999999999999E-2</v>
          </cell>
        </row>
        <row r="892">
          <cell r="A892">
            <v>1.1793E-2</v>
          </cell>
        </row>
        <row r="893">
          <cell r="A893">
            <v>2.0381E-2</v>
          </cell>
        </row>
        <row r="894">
          <cell r="A894">
            <v>2.1153999999999999E-2</v>
          </cell>
        </row>
        <row r="895">
          <cell r="A895">
            <v>2.6731999999999999E-2</v>
          </cell>
        </row>
        <row r="896">
          <cell r="A896">
            <v>2.5943000000000001E-2</v>
          </cell>
        </row>
        <row r="897">
          <cell r="A897">
            <v>3.5534999999999997E-2</v>
          </cell>
        </row>
        <row r="898">
          <cell r="A898">
            <v>1.1701E-2</v>
          </cell>
        </row>
        <row r="899">
          <cell r="A899">
            <v>2.562E-2</v>
          </cell>
        </row>
        <row r="900">
          <cell r="A900">
            <v>1.5793000000000001E-2</v>
          </cell>
        </row>
        <row r="901">
          <cell r="A901">
            <v>2.1447999999999998E-2</v>
          </cell>
        </row>
        <row r="902">
          <cell r="A902">
            <v>2.8587999999999999E-2</v>
          </cell>
        </row>
        <row r="903">
          <cell r="A903">
            <v>3.0047000000000001E-2</v>
          </cell>
        </row>
        <row r="904">
          <cell r="A904">
            <v>1.3616E-2</v>
          </cell>
        </row>
        <row r="905">
          <cell r="A905">
            <v>2.1767999999999999E-2</v>
          </cell>
        </row>
        <row r="906">
          <cell r="A906">
            <v>2.2429999999999999E-2</v>
          </cell>
        </row>
        <row r="907">
          <cell r="A907">
            <v>1.9297999999999999E-2</v>
          </cell>
        </row>
        <row r="908">
          <cell r="A908">
            <v>3.3805000000000002E-2</v>
          </cell>
        </row>
        <row r="909">
          <cell r="A909">
            <v>2.6984000000000001E-2</v>
          </cell>
        </row>
        <row r="910">
          <cell r="A910">
            <v>6.4859999999999996E-3</v>
          </cell>
        </row>
        <row r="911">
          <cell r="A911">
            <v>1.0917E-2</v>
          </cell>
        </row>
        <row r="912">
          <cell r="A912">
            <v>2.0885000000000001E-2</v>
          </cell>
        </row>
        <row r="913">
          <cell r="A913">
            <v>1.6437E-2</v>
          </cell>
        </row>
        <row r="914">
          <cell r="A914">
            <v>1.9366000000000001E-2</v>
          </cell>
        </row>
        <row r="915">
          <cell r="A915">
            <v>3.3271000000000002E-2</v>
          </cell>
        </row>
        <row r="916">
          <cell r="A916">
            <v>1.1625E-2</v>
          </cell>
        </row>
        <row r="917">
          <cell r="A917">
            <v>2.4378E-2</v>
          </cell>
        </row>
        <row r="918">
          <cell r="A918">
            <v>1.9266999999999999E-2</v>
          </cell>
        </row>
        <row r="919">
          <cell r="A919">
            <v>2.4833999999999998E-2</v>
          </cell>
        </row>
        <row r="920">
          <cell r="A920">
            <v>3.3341000000000003E-2</v>
          </cell>
        </row>
        <row r="921">
          <cell r="A921">
            <v>2.3289000000000001E-2</v>
          </cell>
        </row>
        <row r="922">
          <cell r="A922">
            <v>1.4095999999999999E-2</v>
          </cell>
        </row>
        <row r="923">
          <cell r="A923">
            <v>2.3782999999999999E-2</v>
          </cell>
        </row>
        <row r="924">
          <cell r="A924">
            <v>8.7150000000000005E-3</v>
          </cell>
        </row>
        <row r="925">
          <cell r="A925">
            <v>2.0818E-2</v>
          </cell>
        </row>
        <row r="926">
          <cell r="A926">
            <v>3.1841000000000001E-2</v>
          </cell>
        </row>
        <row r="927">
          <cell r="A927">
            <v>1.9275E-2</v>
          </cell>
        </row>
        <row r="928">
          <cell r="A928">
            <v>2.5166999999999998E-2</v>
          </cell>
        </row>
        <row r="929">
          <cell r="A929">
            <v>3.9253000000000003E-2</v>
          </cell>
        </row>
        <row r="930">
          <cell r="A930">
            <v>9.8709999999999996E-3</v>
          </cell>
        </row>
        <row r="931">
          <cell r="A931">
            <v>1.2466E-2</v>
          </cell>
        </row>
        <row r="932">
          <cell r="A932">
            <v>2.6598E-2</v>
          </cell>
        </row>
        <row r="933">
          <cell r="A933">
            <v>3.2707E-2</v>
          </cell>
        </row>
        <row r="934">
          <cell r="A934">
            <v>1.6558E-2</v>
          </cell>
        </row>
        <row r="935">
          <cell r="A935">
            <v>1.8133E-2</v>
          </cell>
        </row>
        <row r="936">
          <cell r="A936">
            <v>1.2840000000000001E-2</v>
          </cell>
        </row>
        <row r="937">
          <cell r="A937">
            <v>1.9487000000000001E-2</v>
          </cell>
        </row>
        <row r="938">
          <cell r="A938">
            <v>2.7608000000000001E-2</v>
          </cell>
        </row>
        <row r="939">
          <cell r="A939">
            <v>2.0327000000000001E-2</v>
          </cell>
        </row>
        <row r="940">
          <cell r="A940">
            <v>2.8055E-2</v>
          </cell>
        </row>
        <row r="941">
          <cell r="A941">
            <v>2.5312999999999999E-2</v>
          </cell>
        </row>
        <row r="942">
          <cell r="A942">
            <v>7.1989999999999997E-3</v>
          </cell>
        </row>
        <row r="943">
          <cell r="A943">
            <v>1.2598E-2</v>
          </cell>
        </row>
        <row r="944">
          <cell r="A944">
            <v>1.4220999999999999E-2</v>
          </cell>
        </row>
        <row r="945">
          <cell r="A945">
            <v>3.1968000000000003E-2</v>
          </cell>
        </row>
        <row r="946">
          <cell r="A946">
            <v>2.5943999999999998E-2</v>
          </cell>
        </row>
        <row r="947">
          <cell r="A947">
            <v>2.0760000000000001E-2</v>
          </cell>
        </row>
        <row r="948">
          <cell r="A948">
            <v>2.3049E-2</v>
          </cell>
        </row>
        <row r="949">
          <cell r="A949">
            <v>2.4104E-2</v>
          </cell>
        </row>
        <row r="950">
          <cell r="A950">
            <v>3.2266999999999997E-2</v>
          </cell>
        </row>
        <row r="951">
          <cell r="A951">
            <v>3.4332000000000001E-2</v>
          </cell>
        </row>
        <row r="952">
          <cell r="A952">
            <v>1.4031999999999999E-2</v>
          </cell>
        </row>
        <row r="953">
          <cell r="A953">
            <v>2.2512000000000001E-2</v>
          </cell>
        </row>
        <row r="954">
          <cell r="A954">
            <v>1.7644E-2</v>
          </cell>
        </row>
        <row r="955">
          <cell r="A955">
            <v>2.6341E-2</v>
          </cell>
        </row>
        <row r="956">
          <cell r="A956">
            <v>9.0910000000000001E-3</v>
          </cell>
        </row>
        <row r="957">
          <cell r="A957">
            <v>1.4109E-2</v>
          </cell>
        </row>
        <row r="958">
          <cell r="A958">
            <v>2.4490999999999999E-2</v>
          </cell>
        </row>
        <row r="959">
          <cell r="A959">
            <v>8.9569999999999997E-3</v>
          </cell>
        </row>
        <row r="960">
          <cell r="A960">
            <v>2.4867E-2</v>
          </cell>
        </row>
        <row r="961">
          <cell r="A961">
            <v>1.5193999999999999E-2</v>
          </cell>
        </row>
        <row r="962">
          <cell r="A962">
            <v>1.6423E-2</v>
          </cell>
        </row>
        <row r="963">
          <cell r="A963">
            <v>2.2134000000000001E-2</v>
          </cell>
        </row>
        <row r="964">
          <cell r="A964">
            <v>1.1081000000000001E-2</v>
          </cell>
        </row>
        <row r="965">
          <cell r="A965">
            <v>2.3311999999999999E-2</v>
          </cell>
        </row>
        <row r="966">
          <cell r="A966">
            <v>2.6540000000000001E-2</v>
          </cell>
        </row>
        <row r="967">
          <cell r="A967">
            <v>1.6441000000000001E-2</v>
          </cell>
        </row>
        <row r="968">
          <cell r="A968">
            <v>2.4143000000000001E-2</v>
          </cell>
        </row>
        <row r="969">
          <cell r="A969">
            <v>1.2477E-2</v>
          </cell>
        </row>
        <row r="970">
          <cell r="A970">
            <v>2.8174000000000001E-2</v>
          </cell>
        </row>
        <row r="971">
          <cell r="A971">
            <v>1.3169999999999999E-2</v>
          </cell>
        </row>
        <row r="972">
          <cell r="A972">
            <v>1.7051E-2</v>
          </cell>
        </row>
        <row r="973">
          <cell r="A973">
            <v>2.5527000000000001E-2</v>
          </cell>
        </row>
        <row r="974">
          <cell r="A974">
            <v>6.7780000000000002E-3</v>
          </cell>
        </row>
        <row r="975">
          <cell r="A975">
            <v>2.1533E-2</v>
          </cell>
        </row>
        <row r="976">
          <cell r="A976">
            <v>2.7831999999999999E-2</v>
          </cell>
        </row>
        <row r="977">
          <cell r="A977">
            <v>1.8720000000000001E-2</v>
          </cell>
        </row>
        <row r="978">
          <cell r="A978">
            <v>3.1297999999999999E-2</v>
          </cell>
        </row>
        <row r="979">
          <cell r="A979">
            <v>1.7694000000000001E-2</v>
          </cell>
        </row>
        <row r="980">
          <cell r="A980">
            <v>2.9318E-2</v>
          </cell>
        </row>
        <row r="981">
          <cell r="A981">
            <v>1.5624000000000001E-2</v>
          </cell>
        </row>
        <row r="982">
          <cell r="A982">
            <v>2.7438000000000001E-2</v>
          </cell>
        </row>
        <row r="983">
          <cell r="A983">
            <v>1.9174E-2</v>
          </cell>
        </row>
        <row r="984">
          <cell r="A984">
            <v>2.6488999999999999E-2</v>
          </cell>
        </row>
        <row r="985">
          <cell r="A985">
            <v>2.1683999999999998E-2</v>
          </cell>
        </row>
        <row r="986">
          <cell r="A986">
            <v>2.3009000000000002E-2</v>
          </cell>
        </row>
        <row r="987">
          <cell r="A987">
            <v>2.6799E-2</v>
          </cell>
        </row>
        <row r="988">
          <cell r="A988">
            <v>1.3783E-2</v>
          </cell>
        </row>
        <row r="989">
          <cell r="A989">
            <v>2.1156999999999999E-2</v>
          </cell>
        </row>
        <row r="990">
          <cell r="A990">
            <v>2.2988999999999999E-2</v>
          </cell>
        </row>
        <row r="991">
          <cell r="A991">
            <v>2.3179999999999999E-2</v>
          </cell>
        </row>
        <row r="992">
          <cell r="A992">
            <v>1.9976000000000001E-2</v>
          </cell>
        </row>
        <row r="993">
          <cell r="A993">
            <v>2.3924000000000001E-2</v>
          </cell>
        </row>
        <row r="994">
          <cell r="A994">
            <v>2.5114999999999998E-2</v>
          </cell>
        </row>
        <row r="995">
          <cell r="A995">
            <v>3.1215E-2</v>
          </cell>
        </row>
        <row r="996">
          <cell r="A996">
            <v>1.8145999999999999E-2</v>
          </cell>
        </row>
        <row r="997">
          <cell r="A997">
            <v>2.2016000000000001E-2</v>
          </cell>
        </row>
        <row r="998">
          <cell r="A998">
            <v>2.4997999999999999E-2</v>
          </cell>
        </row>
        <row r="999">
          <cell r="A999">
            <v>1.9425000000000001E-2</v>
          </cell>
        </row>
        <row r="1000">
          <cell r="A1000">
            <v>1.5502999999999999E-2</v>
          </cell>
        </row>
        <row r="1001">
          <cell r="A1001">
            <v>1.8096000000000001E-2</v>
          </cell>
        </row>
        <row r="1002">
          <cell r="A1002">
            <v>1.8752999999999999E-2</v>
          </cell>
        </row>
        <row r="1003">
          <cell r="A1003">
            <v>1.9961E-2</v>
          </cell>
        </row>
        <row r="1004">
          <cell r="A1004">
            <v>2.3956000000000002E-2</v>
          </cell>
        </row>
        <row r="1005">
          <cell r="A1005">
            <v>2.5100000000000001E-2</v>
          </cell>
        </row>
        <row r="1006">
          <cell r="A1006">
            <v>3.3076000000000001E-2</v>
          </cell>
        </row>
        <row r="1007">
          <cell r="A1007">
            <v>1.2338E-2</v>
          </cell>
        </row>
        <row r="1008">
          <cell r="A1008">
            <v>3.4122E-2</v>
          </cell>
        </row>
        <row r="1009">
          <cell r="A1009">
            <v>1.5188999999999999E-2</v>
          </cell>
        </row>
        <row r="1010">
          <cell r="A1010">
            <v>7.2100000000000003E-3</v>
          </cell>
        </row>
        <row r="1011">
          <cell r="A1011">
            <v>1.7367E-2</v>
          </cell>
        </row>
        <row r="1012">
          <cell r="A1012">
            <v>2.3424E-2</v>
          </cell>
        </row>
        <row r="1013">
          <cell r="A1013">
            <v>2.6447999999999999E-2</v>
          </cell>
        </row>
        <row r="1014">
          <cell r="A1014">
            <v>2.8582E-2</v>
          </cell>
        </row>
        <row r="1015">
          <cell r="A1015">
            <v>2.2845000000000001E-2</v>
          </cell>
        </row>
        <row r="1016">
          <cell r="A1016">
            <v>2.3163E-2</v>
          </cell>
        </row>
        <row r="1017">
          <cell r="A1017">
            <v>2.8986999999999999E-2</v>
          </cell>
        </row>
        <row r="1018">
          <cell r="A1018">
            <v>1.4898E-2</v>
          </cell>
        </row>
        <row r="1019">
          <cell r="A1019">
            <v>2.2138000000000001E-2</v>
          </cell>
        </row>
        <row r="1020">
          <cell r="A1020">
            <v>2.7775999999999999E-2</v>
          </cell>
        </row>
        <row r="1021">
          <cell r="A1021">
            <v>2.4334999999999999E-2</v>
          </cell>
        </row>
        <row r="1022">
          <cell r="A1022">
            <v>3.0238000000000001E-2</v>
          </cell>
        </row>
        <row r="1023">
          <cell r="A1023">
            <v>9.0320000000000001E-3</v>
          </cell>
        </row>
        <row r="1024">
          <cell r="A1024">
            <v>2.461E-2</v>
          </cell>
        </row>
        <row r="1025">
          <cell r="A1025">
            <v>7.9129999999999999E-3</v>
          </cell>
        </row>
        <row r="1026">
          <cell r="A1026">
            <v>2.1708000000000002E-2</v>
          </cell>
        </row>
        <row r="1027">
          <cell r="A1027">
            <v>2.3281E-2</v>
          </cell>
        </row>
        <row r="1028">
          <cell r="A1028">
            <v>6.6530000000000001E-3</v>
          </cell>
        </row>
        <row r="1029">
          <cell r="A1029">
            <v>1.1525000000000001E-2</v>
          </cell>
        </row>
        <row r="1030">
          <cell r="A1030">
            <v>2.4767000000000001E-2</v>
          </cell>
        </row>
        <row r="1031">
          <cell r="A1031">
            <v>2.9481E-2</v>
          </cell>
        </row>
        <row r="1032">
          <cell r="A1032">
            <v>3.1460000000000002E-2</v>
          </cell>
        </row>
        <row r="1033">
          <cell r="A1033">
            <v>1.2413E-2</v>
          </cell>
        </row>
        <row r="1034">
          <cell r="A1034">
            <v>1.4942E-2</v>
          </cell>
        </row>
        <row r="1035">
          <cell r="A1035">
            <v>1.7746999999999999E-2</v>
          </cell>
        </row>
        <row r="1036">
          <cell r="A1036">
            <v>2.4701000000000001E-2</v>
          </cell>
        </row>
        <row r="1037">
          <cell r="A1037">
            <v>2.8403000000000001E-2</v>
          </cell>
        </row>
        <row r="1038">
          <cell r="A1038">
            <v>2.5822999999999999E-2</v>
          </cell>
        </row>
        <row r="1039">
          <cell r="A1039">
            <v>3.0116E-2</v>
          </cell>
        </row>
        <row r="1040">
          <cell r="A1040">
            <v>3.2043000000000002E-2</v>
          </cell>
        </row>
        <row r="1041">
          <cell r="A1041">
            <v>9.3679999999999996E-3</v>
          </cell>
        </row>
        <row r="1042">
          <cell r="A1042">
            <v>1.9296000000000001E-2</v>
          </cell>
        </row>
        <row r="1043">
          <cell r="A1043">
            <v>2.6875E-2</v>
          </cell>
        </row>
        <row r="1044">
          <cell r="A1044">
            <v>1.8041000000000001E-2</v>
          </cell>
        </row>
        <row r="1045">
          <cell r="A1045">
            <v>2.5055000000000001E-2</v>
          </cell>
        </row>
        <row r="1046">
          <cell r="A1046">
            <v>2.7591000000000001E-2</v>
          </cell>
        </row>
        <row r="1047">
          <cell r="A1047">
            <v>1.7044E-2</v>
          </cell>
        </row>
        <row r="1048">
          <cell r="A1048">
            <v>2.9158E-2</v>
          </cell>
        </row>
        <row r="1049">
          <cell r="A1049">
            <v>1.1254999999999999E-2</v>
          </cell>
        </row>
        <row r="1050">
          <cell r="A1050">
            <v>1.7025999999999999E-2</v>
          </cell>
        </row>
        <row r="1051">
          <cell r="A1051">
            <v>1.3063E-2</v>
          </cell>
        </row>
        <row r="1052">
          <cell r="A1052">
            <v>1.9175999999999999E-2</v>
          </cell>
        </row>
        <row r="1053">
          <cell r="A1053">
            <v>2.1208999999999999E-2</v>
          </cell>
        </row>
        <row r="1054">
          <cell r="A1054">
            <v>1.3691999999999999E-2</v>
          </cell>
        </row>
        <row r="1055">
          <cell r="A1055">
            <v>2.2504E-2</v>
          </cell>
        </row>
        <row r="1056">
          <cell r="A1056">
            <v>2.3324000000000001E-2</v>
          </cell>
        </row>
        <row r="1057">
          <cell r="A1057">
            <v>2.4856E-2</v>
          </cell>
        </row>
        <row r="1058">
          <cell r="A1058">
            <v>6.0860000000000003E-3</v>
          </cell>
        </row>
        <row r="1059">
          <cell r="A1059">
            <v>1.7037E-2</v>
          </cell>
        </row>
        <row r="1060">
          <cell r="A1060">
            <v>2.2558000000000002E-2</v>
          </cell>
        </row>
        <row r="1061">
          <cell r="A1061">
            <v>2.9020000000000001E-2</v>
          </cell>
        </row>
        <row r="1062">
          <cell r="A1062">
            <v>1.7912999999999998E-2</v>
          </cell>
        </row>
        <row r="1063">
          <cell r="A1063">
            <v>2.4951999999999998E-2</v>
          </cell>
        </row>
        <row r="1064">
          <cell r="A1064">
            <v>3.6145999999999998E-2</v>
          </cell>
        </row>
        <row r="1065">
          <cell r="A1065">
            <v>2.5149999999999999E-2</v>
          </cell>
        </row>
        <row r="1066">
          <cell r="A1066">
            <v>2.8074000000000002E-2</v>
          </cell>
        </row>
        <row r="1067">
          <cell r="A1067">
            <v>2.3852999999999999E-2</v>
          </cell>
        </row>
        <row r="1068">
          <cell r="A1068">
            <v>6.9480000000000002E-3</v>
          </cell>
        </row>
        <row r="1069">
          <cell r="A1069">
            <v>1.5207999999999999E-2</v>
          </cell>
        </row>
        <row r="1070">
          <cell r="A1070">
            <v>2.8558E-2</v>
          </cell>
        </row>
        <row r="1071">
          <cell r="A1071">
            <v>3.0294999999999999E-2</v>
          </cell>
        </row>
        <row r="1072">
          <cell r="A1072">
            <v>1.1370999999999999E-2</v>
          </cell>
        </row>
        <row r="1073">
          <cell r="A1073">
            <v>1.7142999999999999E-2</v>
          </cell>
        </row>
        <row r="1074">
          <cell r="A1074">
            <v>1.8352E-2</v>
          </cell>
        </row>
        <row r="1075">
          <cell r="A1075">
            <v>1.7417999999999999E-2</v>
          </cell>
        </row>
        <row r="1076">
          <cell r="A1076">
            <v>2.2682000000000001E-2</v>
          </cell>
        </row>
        <row r="1077">
          <cell r="A1077">
            <v>2.2522E-2</v>
          </cell>
        </row>
        <row r="1078">
          <cell r="A1078">
            <v>2.4742E-2</v>
          </cell>
        </row>
        <row r="1079">
          <cell r="A1079">
            <v>2.971E-2</v>
          </cell>
        </row>
        <row r="1080">
          <cell r="A1080">
            <v>3.6617999999999998E-2</v>
          </cell>
        </row>
        <row r="1081">
          <cell r="A1081">
            <v>1.4678E-2</v>
          </cell>
        </row>
        <row r="1082">
          <cell r="A1082">
            <v>2.2602000000000001E-2</v>
          </cell>
        </row>
        <row r="1083">
          <cell r="A1083">
            <v>2.5170999999999999E-2</v>
          </cell>
        </row>
        <row r="1084">
          <cell r="A1084">
            <v>2.6991999999999999E-2</v>
          </cell>
        </row>
        <row r="1085">
          <cell r="A1085">
            <v>3.0700000000000002E-2</v>
          </cell>
        </row>
        <row r="1086">
          <cell r="A1086">
            <v>2.3564999999999999E-2</v>
          </cell>
        </row>
        <row r="1087">
          <cell r="A1087">
            <v>1.4794E-2</v>
          </cell>
        </row>
        <row r="1088">
          <cell r="A1088">
            <v>2.6013000000000001E-2</v>
          </cell>
        </row>
        <row r="1089">
          <cell r="A1089">
            <v>1.1618E-2</v>
          </cell>
        </row>
        <row r="1090">
          <cell r="A1090">
            <v>2.6773000000000002E-2</v>
          </cell>
        </row>
        <row r="1091">
          <cell r="A1091">
            <v>1.1384E-2</v>
          </cell>
        </row>
        <row r="1092">
          <cell r="A1092">
            <v>2.1677999999999999E-2</v>
          </cell>
        </row>
        <row r="1093">
          <cell r="A1093">
            <v>2.5871000000000002E-2</v>
          </cell>
        </row>
        <row r="1094">
          <cell r="A1094">
            <v>1.9307999999999999E-2</v>
          </cell>
        </row>
        <row r="1095">
          <cell r="A1095">
            <v>1.9479E-2</v>
          </cell>
        </row>
        <row r="1096">
          <cell r="A1096">
            <v>1.469E-2</v>
          </cell>
        </row>
        <row r="1097">
          <cell r="A1097">
            <v>1.4929E-2</v>
          </cell>
        </row>
        <row r="1098">
          <cell r="A1098">
            <v>1.6885000000000001E-2</v>
          </cell>
        </row>
        <row r="1099">
          <cell r="A1099">
            <v>2.0114E-2</v>
          </cell>
        </row>
        <row r="1100">
          <cell r="A1100">
            <v>2.4257999999999998E-2</v>
          </cell>
        </row>
        <row r="1101">
          <cell r="A1101">
            <v>6.927E-3</v>
          </cell>
        </row>
        <row r="1102">
          <cell r="A1102">
            <v>1.6472000000000001E-2</v>
          </cell>
        </row>
        <row r="1103">
          <cell r="A1103">
            <v>2.2669999999999999E-2</v>
          </cell>
        </row>
        <row r="1104">
          <cell r="A1104">
            <v>2.6099000000000001E-2</v>
          </cell>
        </row>
        <row r="1105">
          <cell r="A1105">
            <v>2.7283999999999999E-2</v>
          </cell>
        </row>
        <row r="1106">
          <cell r="A1106">
            <v>1.5535999999999999E-2</v>
          </cell>
        </row>
        <row r="1107">
          <cell r="A1107">
            <v>2.2780999999999999E-2</v>
          </cell>
        </row>
        <row r="1108">
          <cell r="A1108">
            <v>2.3647000000000001E-2</v>
          </cell>
        </row>
        <row r="1109">
          <cell r="A1109">
            <v>2.3973999999999999E-2</v>
          </cell>
        </row>
        <row r="1110">
          <cell r="A1110">
            <v>1.3757999999999999E-2</v>
          </cell>
        </row>
        <row r="1111">
          <cell r="A1111">
            <v>1.8867999999999999E-2</v>
          </cell>
        </row>
        <row r="1112">
          <cell r="A1112">
            <v>2.2232999999999999E-2</v>
          </cell>
        </row>
        <row r="1113">
          <cell r="A1113">
            <v>2.1179E-2</v>
          </cell>
        </row>
        <row r="1114">
          <cell r="A1114">
            <v>2.4719999999999999E-2</v>
          </cell>
        </row>
        <row r="1115">
          <cell r="A1115">
            <v>6.999E-3</v>
          </cell>
        </row>
        <row r="1116">
          <cell r="A1116">
            <v>2.7149E-2</v>
          </cell>
        </row>
        <row r="1117">
          <cell r="A1117">
            <v>3.1175999999999999E-2</v>
          </cell>
        </row>
        <row r="1118">
          <cell r="A1118">
            <v>8.2039999999999995E-3</v>
          </cell>
        </row>
        <row r="1119">
          <cell r="A1119">
            <v>2.7536000000000001E-2</v>
          </cell>
        </row>
        <row r="1120">
          <cell r="A1120">
            <v>7.7400000000000004E-3</v>
          </cell>
        </row>
        <row r="1121">
          <cell r="A1121">
            <v>1.5458E-2</v>
          </cell>
        </row>
        <row r="1122">
          <cell r="A1122">
            <v>1.8897000000000001E-2</v>
          </cell>
        </row>
        <row r="1123">
          <cell r="A1123">
            <v>2.5193E-2</v>
          </cell>
        </row>
        <row r="1124">
          <cell r="A1124">
            <v>1.3268E-2</v>
          </cell>
        </row>
        <row r="1125">
          <cell r="A1125">
            <v>8.3059999999999991E-3</v>
          </cell>
        </row>
        <row r="1126">
          <cell r="A1126">
            <v>1.6181999999999998E-2</v>
          </cell>
        </row>
        <row r="1127">
          <cell r="A1127">
            <v>1.7611999999999999E-2</v>
          </cell>
        </row>
        <row r="1128">
          <cell r="A1128">
            <v>1.8473E-2</v>
          </cell>
        </row>
        <row r="1129">
          <cell r="A1129">
            <v>2.2813E-2</v>
          </cell>
        </row>
        <row r="1130">
          <cell r="A1130">
            <v>2.5644E-2</v>
          </cell>
        </row>
        <row r="1131">
          <cell r="A1131">
            <v>1.5114000000000001E-2</v>
          </cell>
        </row>
        <row r="1132">
          <cell r="A1132">
            <v>1.6636000000000001E-2</v>
          </cell>
        </row>
        <row r="1133">
          <cell r="A1133">
            <v>1.9397000000000001E-2</v>
          </cell>
        </row>
        <row r="1134">
          <cell r="A1134">
            <v>1.3054E-2</v>
          </cell>
        </row>
        <row r="1135">
          <cell r="A1135">
            <v>1.7083999999999998E-2</v>
          </cell>
        </row>
        <row r="1136">
          <cell r="A1136">
            <v>1.5028E-2</v>
          </cell>
        </row>
        <row r="1137">
          <cell r="A1137">
            <v>2.3248000000000001E-2</v>
          </cell>
        </row>
        <row r="1138">
          <cell r="A1138">
            <v>2.8358000000000001E-2</v>
          </cell>
        </row>
        <row r="1139">
          <cell r="A1139">
            <v>1.9372E-2</v>
          </cell>
        </row>
        <row r="1140">
          <cell r="A1140">
            <v>1.7815999999999999E-2</v>
          </cell>
        </row>
        <row r="1141">
          <cell r="A1141">
            <v>2.0129999999999999E-2</v>
          </cell>
        </row>
        <row r="1142">
          <cell r="A1142">
            <v>3.3975999999999999E-2</v>
          </cell>
        </row>
        <row r="1143">
          <cell r="A1143">
            <v>1.6303999999999999E-2</v>
          </cell>
        </row>
        <row r="1144">
          <cell r="A1144">
            <v>1.8828000000000001E-2</v>
          </cell>
        </row>
        <row r="1145">
          <cell r="A1145">
            <v>1.7208000000000001E-2</v>
          </cell>
        </row>
        <row r="1146">
          <cell r="A1146">
            <v>1.7888999999999999E-2</v>
          </cell>
        </row>
        <row r="1147">
          <cell r="A1147">
            <v>2.9034999999999998E-2</v>
          </cell>
        </row>
        <row r="1148">
          <cell r="A1148">
            <v>1.9855000000000001E-2</v>
          </cell>
        </row>
        <row r="1149">
          <cell r="A1149">
            <v>2.4729000000000001E-2</v>
          </cell>
        </row>
        <row r="1150">
          <cell r="A1150">
            <v>2.8534E-2</v>
          </cell>
        </row>
        <row r="1151">
          <cell r="A1151">
            <v>1.7159000000000001E-2</v>
          </cell>
        </row>
        <row r="1152">
          <cell r="A1152">
            <v>2.8407999999999999E-2</v>
          </cell>
        </row>
        <row r="1153">
          <cell r="A1153">
            <v>3.2995999999999998E-2</v>
          </cell>
        </row>
        <row r="1154">
          <cell r="A1154">
            <v>2.9287000000000001E-2</v>
          </cell>
        </row>
        <row r="1155">
          <cell r="A1155">
            <v>1.5428000000000001E-2</v>
          </cell>
        </row>
        <row r="1156">
          <cell r="A1156">
            <v>1.6011000000000001E-2</v>
          </cell>
        </row>
        <row r="1157">
          <cell r="A1157">
            <v>2.4511999999999999E-2</v>
          </cell>
        </row>
        <row r="1158">
          <cell r="A1158">
            <v>2.6540999999999999E-2</v>
          </cell>
        </row>
        <row r="1159">
          <cell r="A1159">
            <v>8.6700000000000006E-3</v>
          </cell>
        </row>
        <row r="1160">
          <cell r="A1160">
            <v>2.9892999999999999E-2</v>
          </cell>
        </row>
        <row r="1161">
          <cell r="A1161">
            <v>1.1362000000000001E-2</v>
          </cell>
        </row>
        <row r="1162">
          <cell r="A1162">
            <v>1.9887999999999999E-2</v>
          </cell>
        </row>
        <row r="1163">
          <cell r="A1163">
            <v>2.4622000000000002E-2</v>
          </cell>
        </row>
        <row r="1164">
          <cell r="A1164">
            <v>2.9902000000000001E-2</v>
          </cell>
        </row>
        <row r="1165">
          <cell r="A1165">
            <v>1.0083999999999999E-2</v>
          </cell>
        </row>
        <row r="1166">
          <cell r="A1166">
            <v>1.4180999999999999E-2</v>
          </cell>
        </row>
        <row r="1167">
          <cell r="A1167">
            <v>2.3452000000000001E-2</v>
          </cell>
        </row>
        <row r="1168">
          <cell r="A1168">
            <v>3.2056000000000001E-2</v>
          </cell>
        </row>
        <row r="1169">
          <cell r="A1169">
            <v>3.5339000000000002E-2</v>
          </cell>
        </row>
        <row r="1170">
          <cell r="A1170">
            <v>1.549E-2</v>
          </cell>
        </row>
        <row r="1171">
          <cell r="A1171">
            <v>2.1607000000000001E-2</v>
          </cell>
        </row>
        <row r="1172">
          <cell r="A1172">
            <v>2.9829999999999999E-2</v>
          </cell>
        </row>
        <row r="1173">
          <cell r="A1173">
            <v>3.6655E-2</v>
          </cell>
        </row>
        <row r="1174">
          <cell r="A1174">
            <v>1.9127999999999999E-2</v>
          </cell>
        </row>
        <row r="1175">
          <cell r="A1175">
            <v>1.3391999999999999E-2</v>
          </cell>
        </row>
        <row r="1176">
          <cell r="A1176">
            <v>1.6063000000000001E-2</v>
          </cell>
        </row>
        <row r="1177">
          <cell r="A1177">
            <v>2.2253999999999999E-2</v>
          </cell>
        </row>
        <row r="1178">
          <cell r="A1178">
            <v>8.6910000000000008E-3</v>
          </cell>
        </row>
        <row r="1179">
          <cell r="A1179">
            <v>9.103E-3</v>
          </cell>
        </row>
        <row r="1180">
          <cell r="A1180">
            <v>1.9553000000000001E-2</v>
          </cell>
        </row>
        <row r="1181">
          <cell r="A1181">
            <v>1.3239000000000001E-2</v>
          </cell>
        </row>
        <row r="1182">
          <cell r="A1182">
            <v>2.0622000000000001E-2</v>
          </cell>
        </row>
        <row r="1183">
          <cell r="A1183">
            <v>6.9940000000000002E-3</v>
          </cell>
        </row>
        <row r="1184">
          <cell r="A1184">
            <v>1.6143000000000001E-2</v>
          </cell>
        </row>
        <row r="1185">
          <cell r="A1185">
            <v>1.7999999999999999E-2</v>
          </cell>
        </row>
        <row r="1186">
          <cell r="A1186">
            <v>2.8830999999999999E-2</v>
          </cell>
        </row>
        <row r="1187">
          <cell r="A1187">
            <v>2.1100000000000001E-2</v>
          </cell>
        </row>
        <row r="1188">
          <cell r="A1188">
            <v>3.2131E-2</v>
          </cell>
        </row>
        <row r="1189">
          <cell r="A1189">
            <v>7.3270000000000002E-3</v>
          </cell>
        </row>
        <row r="1190">
          <cell r="A1190">
            <v>1.9078000000000001E-2</v>
          </cell>
        </row>
        <row r="1191">
          <cell r="A1191">
            <v>3.2467999999999997E-2</v>
          </cell>
        </row>
        <row r="1192">
          <cell r="A1192">
            <v>1.6822E-2</v>
          </cell>
        </row>
        <row r="1193">
          <cell r="A1193">
            <v>1.8068000000000001E-2</v>
          </cell>
        </row>
        <row r="1194">
          <cell r="A1194">
            <v>2.2061999999999998E-2</v>
          </cell>
        </row>
        <row r="1195">
          <cell r="A1195">
            <v>2.215E-2</v>
          </cell>
        </row>
        <row r="1196">
          <cell r="A1196">
            <v>5.2859999999999999E-3</v>
          </cell>
        </row>
        <row r="1197">
          <cell r="A1197">
            <v>1.2439E-2</v>
          </cell>
        </row>
        <row r="1198">
          <cell r="A1198">
            <v>2.6710999999999999E-2</v>
          </cell>
        </row>
        <row r="1199">
          <cell r="A1199">
            <v>2.7293999999999999E-2</v>
          </cell>
        </row>
        <row r="1200">
          <cell r="A1200">
            <v>2.9128999999999999E-2</v>
          </cell>
        </row>
        <row r="1201">
          <cell r="A1201">
            <v>3.2530999999999997E-2</v>
          </cell>
        </row>
        <row r="1202">
          <cell r="A1202">
            <v>1.3696E-2</v>
          </cell>
        </row>
        <row r="1203">
          <cell r="A1203">
            <v>2.4799999999999999E-2</v>
          </cell>
        </row>
        <row r="1204">
          <cell r="A1204">
            <v>2.6846999999999999E-2</v>
          </cell>
        </row>
        <row r="1205">
          <cell r="A1205">
            <v>2.7116000000000001E-2</v>
          </cell>
        </row>
        <row r="1206">
          <cell r="A1206">
            <v>1.8369E-2</v>
          </cell>
        </row>
        <row r="1207">
          <cell r="A1207">
            <v>8.8929999999999999E-3</v>
          </cell>
        </row>
        <row r="1208">
          <cell r="A1208">
            <v>1.6596E-2</v>
          </cell>
        </row>
        <row r="1209">
          <cell r="A1209">
            <v>2.0478E-2</v>
          </cell>
        </row>
        <row r="1210">
          <cell r="A1210">
            <v>2.1061E-2</v>
          </cell>
        </row>
        <row r="1211">
          <cell r="A1211">
            <v>2.4216999999999999E-2</v>
          </cell>
        </row>
        <row r="1212">
          <cell r="A1212">
            <v>3.2321000000000003E-2</v>
          </cell>
        </row>
        <row r="1213">
          <cell r="A1213">
            <v>1.1939E-2</v>
          </cell>
        </row>
        <row r="1214">
          <cell r="A1214">
            <v>1.222E-2</v>
          </cell>
        </row>
        <row r="1215">
          <cell r="A1215">
            <v>6.1599999999999997E-3</v>
          </cell>
        </row>
        <row r="1216">
          <cell r="A1216">
            <v>1.235E-2</v>
          </cell>
        </row>
        <row r="1217">
          <cell r="A1217">
            <v>1.1665E-2</v>
          </cell>
        </row>
        <row r="1218">
          <cell r="A1218">
            <v>2.4813999999999999E-2</v>
          </cell>
        </row>
        <row r="1219">
          <cell r="A1219">
            <v>2.2054000000000001E-2</v>
          </cell>
        </row>
        <row r="1220">
          <cell r="A1220">
            <v>3.2441999999999999E-2</v>
          </cell>
        </row>
        <row r="1221">
          <cell r="A1221">
            <v>1.9196000000000001E-2</v>
          </cell>
        </row>
        <row r="1222">
          <cell r="A1222">
            <v>2.0048E-2</v>
          </cell>
        </row>
        <row r="1223">
          <cell r="A1223">
            <v>2.181E-2</v>
          </cell>
        </row>
        <row r="1224">
          <cell r="A1224">
            <v>2.5971999999999999E-2</v>
          </cell>
        </row>
        <row r="1225">
          <cell r="A1225">
            <v>2.8482E-2</v>
          </cell>
        </row>
        <row r="1226">
          <cell r="A1226">
            <v>1.932E-2</v>
          </cell>
        </row>
        <row r="1227">
          <cell r="A1227">
            <v>2.4534E-2</v>
          </cell>
        </row>
        <row r="1228">
          <cell r="A1228">
            <v>1.6704E-2</v>
          </cell>
        </row>
        <row r="1229">
          <cell r="A1229">
            <v>2.3195E-2</v>
          </cell>
        </row>
        <row r="1230">
          <cell r="A1230">
            <v>2.8042000000000001E-2</v>
          </cell>
        </row>
        <row r="1231">
          <cell r="A1231">
            <v>5.483E-3</v>
          </cell>
        </row>
        <row r="1232">
          <cell r="A1232">
            <v>9.1520000000000004E-3</v>
          </cell>
        </row>
        <row r="1233">
          <cell r="A1233">
            <v>1.6219000000000001E-2</v>
          </cell>
        </row>
        <row r="1234">
          <cell r="A1234">
            <v>2.4052E-2</v>
          </cell>
        </row>
        <row r="1235">
          <cell r="A1235">
            <v>2.4206999999999999E-2</v>
          </cell>
        </row>
        <row r="1236">
          <cell r="A1236">
            <v>6.6620000000000004E-3</v>
          </cell>
        </row>
        <row r="1237">
          <cell r="A1237">
            <v>1.7798000000000001E-2</v>
          </cell>
        </row>
        <row r="1238">
          <cell r="A1238">
            <v>3.6038000000000001E-2</v>
          </cell>
        </row>
        <row r="1239">
          <cell r="A1239">
            <v>1.1957000000000001E-2</v>
          </cell>
        </row>
        <row r="1240">
          <cell r="A1240">
            <v>1.4114E-2</v>
          </cell>
        </row>
        <row r="1241">
          <cell r="A1241">
            <v>1.7680999999999999E-2</v>
          </cell>
        </row>
        <row r="1242">
          <cell r="A1242">
            <v>2.5155E-2</v>
          </cell>
        </row>
        <row r="1243">
          <cell r="A1243">
            <v>2.9638000000000001E-2</v>
          </cell>
        </row>
        <row r="1244">
          <cell r="A1244">
            <v>1.5237000000000001E-2</v>
          </cell>
        </row>
        <row r="1245">
          <cell r="A1245">
            <v>1.5681E-2</v>
          </cell>
        </row>
        <row r="1246">
          <cell r="A1246">
            <v>1.8287000000000001E-2</v>
          </cell>
        </row>
        <row r="1247">
          <cell r="A1247">
            <v>2.4111E-2</v>
          </cell>
        </row>
        <row r="1248">
          <cell r="A1248">
            <v>2.5659000000000001E-2</v>
          </cell>
        </row>
        <row r="1249">
          <cell r="A1249">
            <v>3.1210999999999999E-2</v>
          </cell>
        </row>
        <row r="1250">
          <cell r="A1250">
            <v>1.4135999999999999E-2</v>
          </cell>
        </row>
        <row r="1251">
          <cell r="A1251">
            <v>2.2744E-2</v>
          </cell>
        </row>
        <row r="1252">
          <cell r="A1252">
            <v>2.6360000000000001E-2</v>
          </cell>
        </row>
        <row r="1253">
          <cell r="A1253">
            <v>1.7906999999999999E-2</v>
          </cell>
        </row>
        <row r="1254">
          <cell r="A1254">
            <v>2.2164E-2</v>
          </cell>
        </row>
        <row r="1255">
          <cell r="A1255">
            <v>2.2875E-2</v>
          </cell>
        </row>
        <row r="1256">
          <cell r="A1256">
            <v>2.7913E-2</v>
          </cell>
        </row>
        <row r="1257">
          <cell r="A1257">
            <v>2.5592E-2</v>
          </cell>
        </row>
        <row r="1258">
          <cell r="A1258">
            <v>2.7522999999999999E-2</v>
          </cell>
        </row>
        <row r="1259">
          <cell r="A1259">
            <v>5.9519999999999998E-3</v>
          </cell>
        </row>
        <row r="1260">
          <cell r="A1260">
            <v>1.1301E-2</v>
          </cell>
        </row>
        <row r="1261">
          <cell r="A1261">
            <v>1.3525000000000001E-2</v>
          </cell>
        </row>
        <row r="1262">
          <cell r="A1262">
            <v>2.1191999999999999E-2</v>
          </cell>
        </row>
        <row r="1263">
          <cell r="A1263">
            <v>2.6442E-2</v>
          </cell>
        </row>
        <row r="1264">
          <cell r="A1264">
            <v>2.8185999999999999E-2</v>
          </cell>
        </row>
        <row r="1265">
          <cell r="A1265">
            <v>1.3962E-2</v>
          </cell>
        </row>
        <row r="1266">
          <cell r="A1266">
            <v>1.7270000000000001E-2</v>
          </cell>
        </row>
        <row r="1267">
          <cell r="A1267">
            <v>2.4587999999999999E-2</v>
          </cell>
        </row>
        <row r="1268">
          <cell r="A1268">
            <v>3.5145000000000003E-2</v>
          </cell>
        </row>
        <row r="1269">
          <cell r="A1269">
            <v>6.7010000000000004E-3</v>
          </cell>
        </row>
        <row r="1270">
          <cell r="A1270">
            <v>2.4614E-2</v>
          </cell>
        </row>
        <row r="1271">
          <cell r="A1271">
            <v>2.4875999999999999E-2</v>
          </cell>
        </row>
        <row r="1272">
          <cell r="A1272">
            <v>1.8704999999999999E-2</v>
          </cell>
        </row>
        <row r="1273">
          <cell r="A1273">
            <v>2.3401000000000002E-2</v>
          </cell>
        </row>
        <row r="1274">
          <cell r="A1274">
            <v>7.0190000000000001E-3</v>
          </cell>
        </row>
        <row r="1275">
          <cell r="A1275">
            <v>1.2148000000000001E-2</v>
          </cell>
        </row>
        <row r="1276">
          <cell r="A1276">
            <v>1.7239999999999998E-2</v>
          </cell>
        </row>
        <row r="1277">
          <cell r="A1277">
            <v>2.2366E-2</v>
          </cell>
        </row>
        <row r="1278">
          <cell r="A1278">
            <v>5.1190000000000003E-3</v>
          </cell>
        </row>
        <row r="1279">
          <cell r="A1279">
            <v>2.0587000000000001E-2</v>
          </cell>
        </row>
        <row r="1280">
          <cell r="A1280">
            <v>2.3535E-2</v>
          </cell>
        </row>
        <row r="1281">
          <cell r="A1281">
            <v>3.5143000000000001E-2</v>
          </cell>
        </row>
        <row r="1282">
          <cell r="A1282">
            <v>6.9210000000000001E-3</v>
          </cell>
        </row>
        <row r="1283">
          <cell r="A1283">
            <v>1.6364E-2</v>
          </cell>
        </row>
        <row r="1284">
          <cell r="A1284">
            <v>2.4490000000000001E-2</v>
          </cell>
        </row>
        <row r="1285">
          <cell r="A1285">
            <v>2.6020000000000001E-2</v>
          </cell>
        </row>
        <row r="1286">
          <cell r="A1286">
            <v>6.8999999999999999E-3</v>
          </cell>
        </row>
        <row r="1287">
          <cell r="A1287">
            <v>2.2703999999999998E-2</v>
          </cell>
        </row>
        <row r="1288">
          <cell r="A1288">
            <v>2.9735000000000001E-2</v>
          </cell>
        </row>
        <row r="1289">
          <cell r="A1289">
            <v>6.1789999999999996E-3</v>
          </cell>
        </row>
        <row r="1290">
          <cell r="A1290">
            <v>1.8525E-2</v>
          </cell>
        </row>
        <row r="1291">
          <cell r="A1291">
            <v>2.3095000000000001E-2</v>
          </cell>
        </row>
        <row r="1292">
          <cell r="A1292">
            <v>1.9532000000000001E-2</v>
          </cell>
        </row>
        <row r="1293">
          <cell r="A1293">
            <v>2.8246E-2</v>
          </cell>
        </row>
        <row r="1294">
          <cell r="A1294">
            <v>1.8474000000000001E-2</v>
          </cell>
        </row>
        <row r="1295">
          <cell r="A1295">
            <v>6.5539999999999999E-3</v>
          </cell>
        </row>
        <row r="1296">
          <cell r="A1296">
            <v>1.3561999999999999E-2</v>
          </cell>
        </row>
        <row r="1297">
          <cell r="A1297">
            <v>2.9699E-2</v>
          </cell>
        </row>
        <row r="1298">
          <cell r="A1298">
            <v>2.5222999999999999E-2</v>
          </cell>
        </row>
        <row r="1299">
          <cell r="A1299">
            <v>1.0834999999999999E-2</v>
          </cell>
        </row>
        <row r="1300">
          <cell r="A1300">
            <v>1.9238999999999999E-2</v>
          </cell>
        </row>
        <row r="1301">
          <cell r="A1301">
            <v>2.2596999999999999E-2</v>
          </cell>
        </row>
        <row r="1302">
          <cell r="A1302">
            <v>2.8731E-2</v>
          </cell>
        </row>
        <row r="1303">
          <cell r="A1303">
            <v>2.3276999999999999E-2</v>
          </cell>
        </row>
        <row r="1304">
          <cell r="A1304">
            <v>2.4452000000000002E-2</v>
          </cell>
        </row>
        <row r="1305">
          <cell r="A1305">
            <v>1.1117E-2</v>
          </cell>
        </row>
        <row r="1306">
          <cell r="A1306">
            <v>2.2477E-2</v>
          </cell>
        </row>
        <row r="1307">
          <cell r="A1307">
            <v>2.3821999999999999E-2</v>
          </cell>
        </row>
        <row r="1308">
          <cell r="A1308">
            <v>1.141E-2</v>
          </cell>
        </row>
        <row r="1309">
          <cell r="A1309">
            <v>1.9848999999999999E-2</v>
          </cell>
        </row>
        <row r="1310">
          <cell r="A1310">
            <v>2.9746999999999999E-2</v>
          </cell>
        </row>
        <row r="1311">
          <cell r="A1311">
            <v>2.477E-2</v>
          </cell>
        </row>
        <row r="1312">
          <cell r="A1312">
            <v>2.5125999999999999E-2</v>
          </cell>
        </row>
        <row r="1313">
          <cell r="A1313">
            <v>2.6209E-2</v>
          </cell>
        </row>
        <row r="1314">
          <cell r="A1314">
            <v>1.1107000000000001E-2</v>
          </cell>
        </row>
        <row r="1315">
          <cell r="A1315">
            <v>1.5191E-2</v>
          </cell>
        </row>
        <row r="1316">
          <cell r="A1316">
            <v>2.0670000000000001E-2</v>
          </cell>
        </row>
        <row r="1317">
          <cell r="A1317">
            <v>2.1693E-2</v>
          </cell>
        </row>
        <row r="1318">
          <cell r="A1318">
            <v>2.4695000000000002E-2</v>
          </cell>
        </row>
        <row r="1319">
          <cell r="A1319">
            <v>1.3135000000000001E-2</v>
          </cell>
        </row>
        <row r="1320">
          <cell r="A1320">
            <v>1.7963E-2</v>
          </cell>
        </row>
        <row r="1321">
          <cell r="A1321">
            <v>2.8639000000000001E-2</v>
          </cell>
        </row>
        <row r="1322">
          <cell r="A1322">
            <v>1.8380000000000001E-2</v>
          </cell>
        </row>
        <row r="1323">
          <cell r="A1323">
            <v>2.3497000000000001E-2</v>
          </cell>
        </row>
        <row r="1324">
          <cell r="A1324">
            <v>2.6107999999999999E-2</v>
          </cell>
        </row>
        <row r="1325">
          <cell r="A1325">
            <v>1.2333E-2</v>
          </cell>
        </row>
        <row r="1326">
          <cell r="A1326">
            <v>9.9710000000000007E-3</v>
          </cell>
        </row>
        <row r="1327">
          <cell r="A1327">
            <v>2.3605000000000001E-2</v>
          </cell>
        </row>
        <row r="1328">
          <cell r="A1328">
            <v>3.1491999999999999E-2</v>
          </cell>
        </row>
        <row r="1329">
          <cell r="A1329">
            <v>1.4126E-2</v>
          </cell>
        </row>
        <row r="1330">
          <cell r="A1330">
            <v>2.4794E-2</v>
          </cell>
        </row>
        <row r="1331">
          <cell r="A1331">
            <v>2.1344999999999999E-2</v>
          </cell>
        </row>
        <row r="1332">
          <cell r="A1332">
            <v>1.2685999999999999E-2</v>
          </cell>
        </row>
        <row r="1333">
          <cell r="A1333">
            <v>1.436E-2</v>
          </cell>
        </row>
        <row r="1334">
          <cell r="A1334">
            <v>1.7776E-2</v>
          </cell>
        </row>
        <row r="1335">
          <cell r="A1335">
            <v>2.2672999999999999E-2</v>
          </cell>
        </row>
        <row r="1336">
          <cell r="A1336">
            <v>2.281E-2</v>
          </cell>
        </row>
        <row r="1337">
          <cell r="A1337">
            <v>2.8773E-2</v>
          </cell>
        </row>
        <row r="1338">
          <cell r="A1338">
            <v>2.5575000000000001E-2</v>
          </cell>
        </row>
        <row r="1339">
          <cell r="A1339">
            <v>1.6771000000000001E-2</v>
          </cell>
        </row>
        <row r="1340">
          <cell r="A1340">
            <v>1.8391999999999999E-2</v>
          </cell>
        </row>
        <row r="1341">
          <cell r="A1341">
            <v>2.479E-2</v>
          </cell>
        </row>
        <row r="1342">
          <cell r="A1342">
            <v>1.7468999999999998E-2</v>
          </cell>
        </row>
        <row r="1343">
          <cell r="A1343">
            <v>2.2981000000000001E-2</v>
          </cell>
        </row>
        <row r="1344">
          <cell r="A1344">
            <v>2.4570000000000002E-2</v>
          </cell>
        </row>
        <row r="1345">
          <cell r="A1345">
            <v>2.5571E-2</v>
          </cell>
        </row>
        <row r="1346">
          <cell r="A1346">
            <v>2.8583999999999998E-2</v>
          </cell>
        </row>
        <row r="1347">
          <cell r="A1347">
            <v>1.4914999999999999E-2</v>
          </cell>
        </row>
        <row r="1348">
          <cell r="A1348">
            <v>1.1861999999999999E-2</v>
          </cell>
        </row>
        <row r="1349">
          <cell r="A1349">
            <v>2.7143E-2</v>
          </cell>
        </row>
        <row r="1350">
          <cell r="A1350">
            <v>1.3726E-2</v>
          </cell>
        </row>
        <row r="1351">
          <cell r="A1351">
            <v>1.6899999999999998E-2</v>
          </cell>
        </row>
        <row r="1352">
          <cell r="A1352">
            <v>3.1784E-2</v>
          </cell>
        </row>
        <row r="1353">
          <cell r="A1353">
            <v>1.5441E-2</v>
          </cell>
        </row>
        <row r="1354">
          <cell r="A1354">
            <v>2.2377999999999999E-2</v>
          </cell>
        </row>
        <row r="1355">
          <cell r="A1355">
            <v>2.3588000000000001E-2</v>
          </cell>
        </row>
        <row r="1356">
          <cell r="A1356">
            <v>6.9259999999999999E-3</v>
          </cell>
        </row>
        <row r="1357">
          <cell r="A1357">
            <v>1.6025000000000001E-2</v>
          </cell>
        </row>
        <row r="1358">
          <cell r="A1358">
            <v>2.0756E-2</v>
          </cell>
        </row>
        <row r="1359">
          <cell r="A1359">
            <v>2.7503E-2</v>
          </cell>
        </row>
        <row r="1360">
          <cell r="A1360">
            <v>1.0543E-2</v>
          </cell>
        </row>
        <row r="1361">
          <cell r="A1361">
            <v>7.3509999999999999E-3</v>
          </cell>
        </row>
        <row r="1362">
          <cell r="A1362">
            <v>1.5923E-2</v>
          </cell>
        </row>
        <row r="1363">
          <cell r="A1363">
            <v>1.9556E-2</v>
          </cell>
        </row>
        <row r="1364">
          <cell r="A1364">
            <v>2.1368999999999999E-2</v>
          </cell>
        </row>
        <row r="1365">
          <cell r="A1365">
            <v>2.4029999999999999E-2</v>
          </cell>
        </row>
        <row r="1366">
          <cell r="A1366">
            <v>2.5432E-2</v>
          </cell>
        </row>
        <row r="1367">
          <cell r="A1367">
            <v>2.5558000000000001E-2</v>
          </cell>
        </row>
        <row r="1368">
          <cell r="A1368">
            <v>2.4761999999999999E-2</v>
          </cell>
        </row>
        <row r="1369">
          <cell r="A1369">
            <v>1.1393E-2</v>
          </cell>
        </row>
        <row r="1370">
          <cell r="A1370">
            <v>1.3943000000000001E-2</v>
          </cell>
        </row>
        <row r="1371">
          <cell r="A1371">
            <v>1.5640999999999999E-2</v>
          </cell>
        </row>
        <row r="1372">
          <cell r="A1372">
            <v>2.0577999999999999E-2</v>
          </cell>
        </row>
        <row r="1373">
          <cell r="A1373">
            <v>2.2720000000000001E-2</v>
          </cell>
        </row>
        <row r="1374">
          <cell r="A1374">
            <v>2.5925E-2</v>
          </cell>
        </row>
        <row r="1375">
          <cell r="A1375">
            <v>2.7373999999999999E-2</v>
          </cell>
        </row>
        <row r="1376">
          <cell r="A1376">
            <v>3.4245999999999999E-2</v>
          </cell>
        </row>
        <row r="1377">
          <cell r="A1377">
            <v>2.6209E-2</v>
          </cell>
        </row>
        <row r="1378">
          <cell r="A1378">
            <v>2.6907E-2</v>
          </cell>
        </row>
        <row r="1379">
          <cell r="A1379">
            <v>3.0508E-2</v>
          </cell>
        </row>
        <row r="1380">
          <cell r="A1380">
            <v>1.3140000000000001E-2</v>
          </cell>
        </row>
        <row r="1381">
          <cell r="A1381">
            <v>1.4508999999999999E-2</v>
          </cell>
        </row>
        <row r="1382">
          <cell r="A1382">
            <v>1.7559000000000002E-2</v>
          </cell>
        </row>
        <row r="1383">
          <cell r="A1383">
            <v>1.7797E-2</v>
          </cell>
        </row>
        <row r="1384">
          <cell r="A1384">
            <v>2.4997999999999999E-2</v>
          </cell>
        </row>
        <row r="1385">
          <cell r="A1385">
            <v>1.6289999999999999E-2</v>
          </cell>
        </row>
        <row r="1386">
          <cell r="A1386">
            <v>2.4885999999999998E-2</v>
          </cell>
        </row>
        <row r="1387">
          <cell r="A1387">
            <v>2.9221E-2</v>
          </cell>
        </row>
        <row r="1388">
          <cell r="A1388">
            <v>1.6723999999999999E-2</v>
          </cell>
        </row>
        <row r="1389">
          <cell r="A1389">
            <v>1.7797E-2</v>
          </cell>
        </row>
        <row r="1390">
          <cell r="A1390">
            <v>1.6614E-2</v>
          </cell>
        </row>
        <row r="1391">
          <cell r="A1391">
            <v>2.7189999999999999E-2</v>
          </cell>
        </row>
        <row r="1392">
          <cell r="A1392">
            <v>5.3350000000000003E-3</v>
          </cell>
        </row>
        <row r="1393">
          <cell r="A1393">
            <v>1.2319999999999999E-2</v>
          </cell>
        </row>
        <row r="1394">
          <cell r="A1394">
            <v>2.3899E-2</v>
          </cell>
        </row>
        <row r="1395">
          <cell r="A1395">
            <v>1.7059999999999999E-2</v>
          </cell>
        </row>
        <row r="1396">
          <cell r="A1396">
            <v>1.8478999999999999E-2</v>
          </cell>
        </row>
        <row r="1397">
          <cell r="A1397">
            <v>1.9036000000000001E-2</v>
          </cell>
        </row>
        <row r="1398">
          <cell r="A1398">
            <v>2.1579999999999998E-2</v>
          </cell>
        </row>
        <row r="1399">
          <cell r="A1399">
            <v>2.2804999999999999E-2</v>
          </cell>
        </row>
        <row r="1400">
          <cell r="A1400">
            <v>2.0424000000000001E-2</v>
          </cell>
        </row>
        <row r="1401">
          <cell r="A1401">
            <v>1.5758000000000001E-2</v>
          </cell>
        </row>
        <row r="1402">
          <cell r="A1402">
            <v>2.6370000000000001E-2</v>
          </cell>
        </row>
        <row r="1403">
          <cell r="A1403">
            <v>3.1186999999999999E-2</v>
          </cell>
        </row>
        <row r="1404">
          <cell r="A1404">
            <v>2.7571999999999999E-2</v>
          </cell>
        </row>
        <row r="1405">
          <cell r="A1405">
            <v>1.6781999999999998E-2</v>
          </cell>
        </row>
        <row r="1406">
          <cell r="A1406">
            <v>2.4060000000000002E-2</v>
          </cell>
        </row>
        <row r="1407">
          <cell r="A1407">
            <v>1.4617E-2</v>
          </cell>
        </row>
        <row r="1408">
          <cell r="A1408">
            <v>1.8109E-2</v>
          </cell>
        </row>
        <row r="1409">
          <cell r="A1409">
            <v>2.4368000000000001E-2</v>
          </cell>
        </row>
        <row r="1410">
          <cell r="A1410">
            <v>1.9983999999999998E-2</v>
          </cell>
        </row>
        <row r="1411">
          <cell r="A1411">
            <v>2.4024E-2</v>
          </cell>
        </row>
        <row r="1412">
          <cell r="A1412">
            <v>8.0579999999999992E-3</v>
          </cell>
        </row>
        <row r="1413">
          <cell r="A1413">
            <v>2.0251999999999999E-2</v>
          </cell>
        </row>
        <row r="1414">
          <cell r="A1414">
            <v>1.7349E-2</v>
          </cell>
        </row>
        <row r="1415">
          <cell r="A1415">
            <v>2.7390999999999999E-2</v>
          </cell>
        </row>
        <row r="1416">
          <cell r="A1416">
            <v>2.2263000000000002E-2</v>
          </cell>
        </row>
        <row r="1417">
          <cell r="A1417">
            <v>2.8117E-2</v>
          </cell>
        </row>
        <row r="1418">
          <cell r="A1418">
            <v>1.4678999999999999E-2</v>
          </cell>
        </row>
        <row r="1419">
          <cell r="A1419">
            <v>2.2502000000000001E-2</v>
          </cell>
        </row>
        <row r="1420">
          <cell r="A1420">
            <v>1.0905E-2</v>
          </cell>
        </row>
        <row r="1421">
          <cell r="A1421">
            <v>1.6471E-2</v>
          </cell>
        </row>
        <row r="1422">
          <cell r="A1422">
            <v>2.7373999999999999E-2</v>
          </cell>
        </row>
        <row r="1423">
          <cell r="A1423">
            <v>1.3358999999999999E-2</v>
          </cell>
        </row>
        <row r="1424">
          <cell r="A1424">
            <v>2.1434000000000002E-2</v>
          </cell>
        </row>
        <row r="1425">
          <cell r="A1425">
            <v>2.2505000000000001E-2</v>
          </cell>
        </row>
        <row r="1426">
          <cell r="A1426">
            <v>2.2606999999999999E-2</v>
          </cell>
        </row>
        <row r="1427">
          <cell r="A1427">
            <v>2.6002000000000001E-2</v>
          </cell>
        </row>
        <row r="1428">
          <cell r="A1428">
            <v>1.2559000000000001E-2</v>
          </cell>
        </row>
        <row r="1429">
          <cell r="A1429">
            <v>1.4093E-2</v>
          </cell>
        </row>
        <row r="1430">
          <cell r="A1430">
            <v>1.5678999999999998E-2</v>
          </cell>
        </row>
        <row r="1431">
          <cell r="A1431">
            <v>2.6582000000000001E-2</v>
          </cell>
        </row>
        <row r="1432">
          <cell r="A1432">
            <v>1.042E-2</v>
          </cell>
        </row>
        <row r="1433">
          <cell r="A1433">
            <v>1.7240999999999999E-2</v>
          </cell>
        </row>
        <row r="1434">
          <cell r="A1434">
            <v>2.3779999999999999E-2</v>
          </cell>
        </row>
        <row r="1435">
          <cell r="A1435">
            <v>2.4662E-2</v>
          </cell>
        </row>
        <row r="1436">
          <cell r="A1436">
            <v>2.6187999999999999E-2</v>
          </cell>
        </row>
        <row r="1437">
          <cell r="A1437">
            <v>2.4105000000000001E-2</v>
          </cell>
        </row>
        <row r="1438">
          <cell r="A1438">
            <v>2.2700999999999999E-2</v>
          </cell>
        </row>
        <row r="1439">
          <cell r="A1439">
            <v>2.4003E-2</v>
          </cell>
        </row>
        <row r="1440">
          <cell r="A1440">
            <v>1.5692000000000001E-2</v>
          </cell>
        </row>
        <row r="1441">
          <cell r="A1441">
            <v>2.3175999999999999E-2</v>
          </cell>
        </row>
        <row r="1442">
          <cell r="A1442">
            <v>1.5103999999999999E-2</v>
          </cell>
        </row>
        <row r="1443">
          <cell r="A1443">
            <v>1.1338000000000001E-2</v>
          </cell>
        </row>
        <row r="1444">
          <cell r="A1444">
            <v>1.5232000000000001E-2</v>
          </cell>
        </row>
        <row r="1445">
          <cell r="A1445">
            <v>1.6173E-2</v>
          </cell>
        </row>
        <row r="1446">
          <cell r="A1446">
            <v>2.9862E-2</v>
          </cell>
        </row>
        <row r="1447">
          <cell r="A1447">
            <v>1.542E-2</v>
          </cell>
        </row>
        <row r="1448">
          <cell r="A1448">
            <v>2.1718999999999999E-2</v>
          </cell>
        </row>
        <row r="1449">
          <cell r="A1449">
            <v>2.3448E-2</v>
          </cell>
        </row>
        <row r="1450">
          <cell r="A1450">
            <v>2.6387000000000001E-2</v>
          </cell>
        </row>
        <row r="1451">
          <cell r="A1451">
            <v>7.2020000000000001E-3</v>
          </cell>
        </row>
        <row r="1452">
          <cell r="A1452">
            <v>2.5467E-2</v>
          </cell>
        </row>
        <row r="1453">
          <cell r="A1453">
            <v>2.2713000000000001E-2</v>
          </cell>
        </row>
        <row r="1454">
          <cell r="A1454">
            <v>1.2813E-2</v>
          </cell>
        </row>
        <row r="1455">
          <cell r="A1455">
            <v>1.8291999999999999E-2</v>
          </cell>
        </row>
        <row r="1456">
          <cell r="A1456">
            <v>2.1066999999999999E-2</v>
          </cell>
        </row>
        <row r="1457">
          <cell r="A1457">
            <v>1.1113E-2</v>
          </cell>
        </row>
        <row r="1458">
          <cell r="A1458">
            <v>1.119E-2</v>
          </cell>
        </row>
        <row r="1459">
          <cell r="A1459">
            <v>1.4808E-2</v>
          </cell>
        </row>
        <row r="1460">
          <cell r="A1460">
            <v>2.1552000000000002E-2</v>
          </cell>
        </row>
        <row r="1461">
          <cell r="A1461">
            <v>2.6117999999999999E-2</v>
          </cell>
        </row>
        <row r="1462">
          <cell r="A1462">
            <v>2.7668999999999999E-2</v>
          </cell>
        </row>
        <row r="1463">
          <cell r="A1463">
            <v>1.7114000000000001E-2</v>
          </cell>
        </row>
        <row r="1464">
          <cell r="A1464">
            <v>1.8629E-2</v>
          </cell>
        </row>
        <row r="1465">
          <cell r="A1465">
            <v>2.1756999999999999E-2</v>
          </cell>
        </row>
        <row r="1466">
          <cell r="A1466">
            <v>2.5604999999999999E-2</v>
          </cell>
        </row>
        <row r="1467">
          <cell r="A1467">
            <v>2.3998999999999999E-2</v>
          </cell>
        </row>
        <row r="1468">
          <cell r="A1468">
            <v>2.632E-2</v>
          </cell>
        </row>
        <row r="1469">
          <cell r="A1469">
            <v>1.7746000000000001E-2</v>
          </cell>
        </row>
        <row r="1470">
          <cell r="A1470">
            <v>1.3317000000000001E-2</v>
          </cell>
        </row>
        <row r="1471">
          <cell r="A1471">
            <v>1.6548E-2</v>
          </cell>
        </row>
        <row r="1472">
          <cell r="A1472">
            <v>2.2013000000000001E-2</v>
          </cell>
        </row>
        <row r="1473">
          <cell r="A1473">
            <v>1.1462E-2</v>
          </cell>
        </row>
        <row r="1474">
          <cell r="A1474">
            <v>1.2518E-2</v>
          </cell>
        </row>
        <row r="1475">
          <cell r="A1475">
            <v>1.5578E-2</v>
          </cell>
        </row>
        <row r="1476">
          <cell r="A1476">
            <v>1.7145000000000001E-2</v>
          </cell>
        </row>
        <row r="1477">
          <cell r="A1477">
            <v>2.5026E-2</v>
          </cell>
        </row>
        <row r="1478">
          <cell r="A1478">
            <v>3.0065000000000001E-2</v>
          </cell>
        </row>
        <row r="1479">
          <cell r="A1479">
            <v>1.0076999999999999E-2</v>
          </cell>
        </row>
        <row r="1480">
          <cell r="A1480">
            <v>1.4997999999999999E-2</v>
          </cell>
        </row>
        <row r="1481">
          <cell r="A1481">
            <v>2.2296E-2</v>
          </cell>
        </row>
        <row r="1482">
          <cell r="A1482">
            <v>2.24E-2</v>
          </cell>
        </row>
        <row r="1483">
          <cell r="A1483">
            <v>1.4071999999999999E-2</v>
          </cell>
        </row>
        <row r="1484">
          <cell r="A1484">
            <v>1.7874999999999999E-2</v>
          </cell>
        </row>
        <row r="1485">
          <cell r="A1485">
            <v>1.8238000000000001E-2</v>
          </cell>
        </row>
        <row r="1486">
          <cell r="A1486">
            <v>2.6422999999999999E-2</v>
          </cell>
        </row>
        <row r="1487">
          <cell r="A1487">
            <v>1.0005999999999999E-2</v>
          </cell>
        </row>
        <row r="1488">
          <cell r="A1488">
            <v>1.4041E-2</v>
          </cell>
        </row>
        <row r="1489">
          <cell r="A1489">
            <v>1.533E-2</v>
          </cell>
        </row>
        <row r="1490">
          <cell r="A1490">
            <v>1.5703999999999999E-2</v>
          </cell>
        </row>
        <row r="1491">
          <cell r="A1491">
            <v>2.1908E-2</v>
          </cell>
        </row>
        <row r="1492">
          <cell r="A1492">
            <v>2.3081999999999998E-2</v>
          </cell>
        </row>
        <row r="1493">
          <cell r="A1493">
            <v>2.3387999999999999E-2</v>
          </cell>
        </row>
        <row r="1494">
          <cell r="A1494">
            <v>3.1594999999999998E-2</v>
          </cell>
        </row>
        <row r="1495">
          <cell r="A1495">
            <v>3.6233000000000001E-2</v>
          </cell>
        </row>
        <row r="1496">
          <cell r="A1496">
            <v>1.9404999999999999E-2</v>
          </cell>
        </row>
        <row r="1497">
          <cell r="A1497">
            <v>2.0167999999999998E-2</v>
          </cell>
        </row>
        <row r="1498">
          <cell r="A1498">
            <v>9.9010000000000001E-3</v>
          </cell>
        </row>
        <row r="1499">
          <cell r="A1499">
            <v>1.5002E-2</v>
          </cell>
        </row>
        <row r="1500">
          <cell r="A1500">
            <v>1.9459000000000001E-2</v>
          </cell>
        </row>
        <row r="1501">
          <cell r="A1501">
            <v>2.3075999999999999E-2</v>
          </cell>
        </row>
        <row r="1502">
          <cell r="A1502">
            <v>2.7407000000000001E-2</v>
          </cell>
        </row>
        <row r="1503">
          <cell r="A1503">
            <v>1.2278000000000001E-2</v>
          </cell>
        </row>
        <row r="1504">
          <cell r="A1504">
            <v>2.1569000000000001E-2</v>
          </cell>
        </row>
        <row r="1505">
          <cell r="A1505">
            <v>2.264E-2</v>
          </cell>
        </row>
        <row r="1506">
          <cell r="A1506">
            <v>1.6917000000000001E-2</v>
          </cell>
        </row>
        <row r="1507">
          <cell r="A1507">
            <v>2.1621999999999999E-2</v>
          </cell>
        </row>
        <row r="1508">
          <cell r="A1508">
            <v>2.1964000000000001E-2</v>
          </cell>
        </row>
        <row r="1509">
          <cell r="A1509">
            <v>2.3532999999999998E-2</v>
          </cell>
        </row>
        <row r="1510">
          <cell r="A1510">
            <v>1.3901999999999999E-2</v>
          </cell>
        </row>
        <row r="1511">
          <cell r="A1511">
            <v>2.8518999999999999E-2</v>
          </cell>
        </row>
        <row r="1512">
          <cell r="A1512">
            <v>1.2854000000000001E-2</v>
          </cell>
        </row>
        <row r="1513">
          <cell r="A1513">
            <v>2.4229000000000001E-2</v>
          </cell>
        </row>
        <row r="1514">
          <cell r="A1514">
            <v>1.6833999999999998E-2</v>
          </cell>
        </row>
        <row r="1515">
          <cell r="A1515">
            <v>2.3118E-2</v>
          </cell>
        </row>
        <row r="1516">
          <cell r="A1516">
            <v>2.3358E-2</v>
          </cell>
        </row>
        <row r="1517">
          <cell r="A1517">
            <v>1.0003E-2</v>
          </cell>
        </row>
        <row r="1518">
          <cell r="A1518">
            <v>1.2005E-2</v>
          </cell>
        </row>
        <row r="1519">
          <cell r="A1519">
            <v>8.9309999999999997E-3</v>
          </cell>
        </row>
        <row r="1520">
          <cell r="A1520">
            <v>1.7056000000000002E-2</v>
          </cell>
        </row>
        <row r="1521">
          <cell r="A1521">
            <v>1.1032999999999999E-2</v>
          </cell>
        </row>
        <row r="1522">
          <cell r="A1522">
            <v>7.9550000000000003E-3</v>
          </cell>
        </row>
        <row r="1523">
          <cell r="A1523">
            <v>1.4991000000000001E-2</v>
          </cell>
        </row>
        <row r="1524">
          <cell r="A1524">
            <v>1.4572E-2</v>
          </cell>
        </row>
        <row r="1525">
          <cell r="A1525">
            <v>1.7191000000000001E-2</v>
          </cell>
        </row>
        <row r="1526">
          <cell r="A1526">
            <v>1.7391E-2</v>
          </cell>
        </row>
        <row r="1527">
          <cell r="A1527">
            <v>1.8322000000000001E-2</v>
          </cell>
        </row>
        <row r="1528">
          <cell r="A1528">
            <v>2.0528000000000001E-2</v>
          </cell>
        </row>
        <row r="1529">
          <cell r="A1529">
            <v>2.1097000000000001E-2</v>
          </cell>
        </row>
        <row r="1530">
          <cell r="A1530">
            <v>2.1412E-2</v>
          </cell>
        </row>
        <row r="1531">
          <cell r="A1531">
            <v>2.5946E-2</v>
          </cell>
        </row>
        <row r="1532">
          <cell r="A1532">
            <v>3.1606000000000002E-2</v>
          </cell>
        </row>
        <row r="1533">
          <cell r="A1533">
            <v>1.9132E-2</v>
          </cell>
        </row>
        <row r="1534">
          <cell r="A1534">
            <v>2.7945999999999999E-2</v>
          </cell>
        </row>
        <row r="1535">
          <cell r="A1535">
            <v>1.7949E-2</v>
          </cell>
        </row>
        <row r="1536">
          <cell r="A1536">
            <v>1.0710000000000001E-2</v>
          </cell>
        </row>
        <row r="1537">
          <cell r="A1537">
            <v>1.4571000000000001E-2</v>
          </cell>
        </row>
        <row r="1538">
          <cell r="A1538">
            <v>1.6788000000000001E-2</v>
          </cell>
        </row>
        <row r="1539">
          <cell r="A1539">
            <v>2.0480000000000002E-2</v>
          </cell>
        </row>
        <row r="1540">
          <cell r="A1540">
            <v>2.1263000000000001E-2</v>
          </cell>
        </row>
        <row r="1541">
          <cell r="A1541">
            <v>2.1717E-2</v>
          </cell>
        </row>
        <row r="1542">
          <cell r="A1542">
            <v>2.8409E-2</v>
          </cell>
        </row>
        <row r="1543">
          <cell r="A1543">
            <v>1.5391999999999999E-2</v>
          </cell>
        </row>
        <row r="1544">
          <cell r="A1544">
            <v>1.6715000000000001E-2</v>
          </cell>
        </row>
        <row r="1545">
          <cell r="A1545">
            <v>1.721E-2</v>
          </cell>
        </row>
        <row r="1546">
          <cell r="A1546">
            <v>2.0704E-2</v>
          </cell>
        </row>
        <row r="1547">
          <cell r="A1547">
            <v>2.3310999999999998E-2</v>
          </cell>
        </row>
        <row r="1548">
          <cell r="A1548">
            <v>3.5089000000000002E-2</v>
          </cell>
        </row>
        <row r="1549">
          <cell r="A1549">
            <v>2.1183E-2</v>
          </cell>
        </row>
        <row r="1550">
          <cell r="A1550">
            <v>1.4651000000000001E-2</v>
          </cell>
        </row>
        <row r="1551">
          <cell r="A1551">
            <v>2.3278E-2</v>
          </cell>
        </row>
        <row r="1552">
          <cell r="A1552">
            <v>2.4698000000000001E-2</v>
          </cell>
        </row>
        <row r="1553">
          <cell r="A1553">
            <v>3.1690999999999997E-2</v>
          </cell>
        </row>
        <row r="1554">
          <cell r="A1554">
            <v>2.179E-2</v>
          </cell>
        </row>
        <row r="1555">
          <cell r="A1555">
            <v>2.7127999999999999E-2</v>
          </cell>
        </row>
        <row r="1556">
          <cell r="A1556">
            <v>2.0716999999999999E-2</v>
          </cell>
        </row>
        <row r="1557">
          <cell r="A1557">
            <v>2.2970999999999998E-2</v>
          </cell>
        </row>
        <row r="1558">
          <cell r="A1558">
            <v>2.0410999999999999E-2</v>
          </cell>
        </row>
        <row r="1559">
          <cell r="A1559">
            <v>1.048E-2</v>
          </cell>
        </row>
        <row r="1560">
          <cell r="A1560">
            <v>1.8925000000000001E-2</v>
          </cell>
        </row>
        <row r="1561">
          <cell r="A1561">
            <v>1.1906E-2</v>
          </cell>
        </row>
        <row r="1562">
          <cell r="A1562">
            <v>1.0160000000000001E-2</v>
          </cell>
        </row>
        <row r="1563">
          <cell r="A1563">
            <v>1.1273E-2</v>
          </cell>
        </row>
        <row r="1564">
          <cell r="A1564">
            <v>2.5174999999999999E-2</v>
          </cell>
        </row>
        <row r="1565">
          <cell r="A1565">
            <v>2.1246999999999999E-2</v>
          </cell>
        </row>
        <row r="1566">
          <cell r="A1566">
            <v>2.4813000000000002E-2</v>
          </cell>
        </row>
        <row r="1567">
          <cell r="A1567">
            <v>2.4958999999999999E-2</v>
          </cell>
        </row>
        <row r="1568">
          <cell r="A1568">
            <v>6.9899999999999997E-3</v>
          </cell>
        </row>
        <row r="1569">
          <cell r="A1569">
            <v>2.2204999999999999E-2</v>
          </cell>
        </row>
        <row r="1570">
          <cell r="A1570">
            <v>2.2875E-2</v>
          </cell>
        </row>
        <row r="1571">
          <cell r="A1571">
            <v>2.0371E-2</v>
          </cell>
        </row>
        <row r="1572">
          <cell r="A1572">
            <v>2.1582E-2</v>
          </cell>
        </row>
        <row r="1573">
          <cell r="A1573">
            <v>2.0830999999999999E-2</v>
          </cell>
        </row>
        <row r="1574">
          <cell r="A1574">
            <v>2.1287E-2</v>
          </cell>
        </row>
        <row r="1575">
          <cell r="A1575">
            <v>2.1649000000000002E-2</v>
          </cell>
        </row>
        <row r="1576">
          <cell r="A1576">
            <v>2.4294E-2</v>
          </cell>
        </row>
        <row r="1577">
          <cell r="A1577">
            <v>2.8611999999999999E-2</v>
          </cell>
        </row>
        <row r="1578">
          <cell r="A1578">
            <v>7.1209999999999997E-3</v>
          </cell>
        </row>
        <row r="1579">
          <cell r="A1579">
            <v>2.1368999999999999E-2</v>
          </cell>
        </row>
        <row r="1580">
          <cell r="A1580">
            <v>6.391E-3</v>
          </cell>
        </row>
        <row r="1581">
          <cell r="A1581">
            <v>1.2132E-2</v>
          </cell>
        </row>
        <row r="1582">
          <cell r="A1582">
            <v>1.6195000000000001E-2</v>
          </cell>
        </row>
        <row r="1583">
          <cell r="A1583">
            <v>2.5873E-2</v>
          </cell>
        </row>
        <row r="1584">
          <cell r="A1584">
            <v>2.1642999999999999E-2</v>
          </cell>
        </row>
        <row r="1585">
          <cell r="A1585">
            <v>1.4538000000000001E-2</v>
          </cell>
        </row>
        <row r="1586">
          <cell r="A1586">
            <v>1.5272000000000001E-2</v>
          </cell>
        </row>
        <row r="1587">
          <cell r="A1587">
            <v>1.7187000000000001E-2</v>
          </cell>
        </row>
        <row r="1588">
          <cell r="A1588">
            <v>1.0888E-2</v>
          </cell>
        </row>
        <row r="1589">
          <cell r="A1589">
            <v>1.6560999999999999E-2</v>
          </cell>
        </row>
        <row r="1590">
          <cell r="A1590">
            <v>2.1401E-2</v>
          </cell>
        </row>
        <row r="1591">
          <cell r="A1591">
            <v>6.783E-3</v>
          </cell>
        </row>
        <row r="1592">
          <cell r="A1592">
            <v>1.7146000000000002E-2</v>
          </cell>
        </row>
        <row r="1593">
          <cell r="A1593">
            <v>1.4897000000000001E-2</v>
          </cell>
        </row>
        <row r="1594">
          <cell r="A1594">
            <v>2.1104999999999999E-2</v>
          </cell>
        </row>
        <row r="1595">
          <cell r="A1595">
            <v>2.3172000000000002E-2</v>
          </cell>
        </row>
        <row r="1596">
          <cell r="A1596">
            <v>2.7406E-2</v>
          </cell>
        </row>
        <row r="1597">
          <cell r="A1597">
            <v>1.2439E-2</v>
          </cell>
        </row>
        <row r="1598">
          <cell r="A1598">
            <v>2.1916000000000001E-2</v>
          </cell>
        </row>
        <row r="1599">
          <cell r="A1599">
            <v>2.9190000000000001E-2</v>
          </cell>
        </row>
        <row r="1600">
          <cell r="A1600">
            <v>1.0005E-2</v>
          </cell>
        </row>
        <row r="1601">
          <cell r="A1601">
            <v>1.6216000000000001E-2</v>
          </cell>
        </row>
        <row r="1602">
          <cell r="A1602">
            <v>2.3177E-2</v>
          </cell>
        </row>
        <row r="1603">
          <cell r="A1603">
            <v>1.3131E-2</v>
          </cell>
        </row>
        <row r="1604">
          <cell r="A1604">
            <v>1.4630000000000001E-2</v>
          </cell>
        </row>
        <row r="1605">
          <cell r="A1605">
            <v>2.3268E-2</v>
          </cell>
        </row>
        <row r="1606">
          <cell r="A1606">
            <v>2.3777E-2</v>
          </cell>
        </row>
        <row r="1607">
          <cell r="A1607">
            <v>2.1298000000000001E-2</v>
          </cell>
        </row>
        <row r="1608">
          <cell r="A1608">
            <v>2.2911999999999998E-2</v>
          </cell>
        </row>
        <row r="1609">
          <cell r="A1609">
            <v>1.2658000000000001E-2</v>
          </cell>
        </row>
        <row r="1610">
          <cell r="A1610">
            <v>1.5473000000000001E-2</v>
          </cell>
        </row>
        <row r="1611">
          <cell r="A1611">
            <v>2.1600000000000001E-2</v>
          </cell>
        </row>
        <row r="1612">
          <cell r="A1612">
            <v>1.5938000000000001E-2</v>
          </cell>
        </row>
        <row r="1613">
          <cell r="A1613">
            <v>1.9879000000000001E-2</v>
          </cell>
        </row>
        <row r="1614">
          <cell r="A1614">
            <v>6.0549999999999996E-3</v>
          </cell>
        </row>
        <row r="1615">
          <cell r="A1615">
            <v>1.8454000000000002E-2</v>
          </cell>
        </row>
        <row r="1616">
          <cell r="A1616">
            <v>2.2917E-2</v>
          </cell>
        </row>
        <row r="1617">
          <cell r="A1617">
            <v>2.4521999999999999E-2</v>
          </cell>
        </row>
        <row r="1618">
          <cell r="A1618">
            <v>2.7178000000000001E-2</v>
          </cell>
        </row>
        <row r="1619">
          <cell r="A1619">
            <v>1.8491E-2</v>
          </cell>
        </row>
        <row r="1620">
          <cell r="A1620">
            <v>1.9916E-2</v>
          </cell>
        </row>
        <row r="1621">
          <cell r="A1621">
            <v>2.4708000000000001E-2</v>
          </cell>
        </row>
        <row r="1622">
          <cell r="A1622">
            <v>5.5059999999999996E-3</v>
          </cell>
        </row>
        <row r="1623">
          <cell r="A1623">
            <v>9.325E-3</v>
          </cell>
        </row>
        <row r="1624">
          <cell r="A1624">
            <v>1.2534999999999999E-2</v>
          </cell>
        </row>
        <row r="1625">
          <cell r="A1625">
            <v>1.4572999999999999E-2</v>
          </cell>
        </row>
        <row r="1626">
          <cell r="A1626">
            <v>1.8124000000000001E-2</v>
          </cell>
        </row>
        <row r="1627">
          <cell r="A1627">
            <v>2.1096E-2</v>
          </cell>
        </row>
        <row r="1628">
          <cell r="A1628">
            <v>1.546E-2</v>
          </cell>
        </row>
        <row r="1629">
          <cell r="A1629">
            <v>1.3731E-2</v>
          </cell>
        </row>
        <row r="1630">
          <cell r="A1630">
            <v>1.345E-2</v>
          </cell>
        </row>
        <row r="1631">
          <cell r="A1631">
            <v>2.1805999999999999E-2</v>
          </cell>
        </row>
        <row r="1632">
          <cell r="A1632">
            <v>2.6190000000000001E-2</v>
          </cell>
        </row>
        <row r="1633">
          <cell r="A1633">
            <v>1.3114000000000001E-2</v>
          </cell>
        </row>
        <row r="1634">
          <cell r="A1634">
            <v>2.2512000000000001E-2</v>
          </cell>
        </row>
        <row r="1635">
          <cell r="A1635">
            <v>2.2741000000000001E-2</v>
          </cell>
        </row>
        <row r="1636">
          <cell r="A1636">
            <v>2.6376E-2</v>
          </cell>
        </row>
        <row r="1637">
          <cell r="A1637">
            <v>1.1795E-2</v>
          </cell>
        </row>
        <row r="1638">
          <cell r="A1638">
            <v>2.1184999999999999E-2</v>
          </cell>
        </row>
        <row r="1639">
          <cell r="A1639">
            <v>2.2391000000000001E-2</v>
          </cell>
        </row>
        <row r="1640">
          <cell r="A1640">
            <v>2.7827999999999999E-2</v>
          </cell>
        </row>
        <row r="1641">
          <cell r="A1641">
            <v>8.3789999999999993E-3</v>
          </cell>
        </row>
        <row r="1642">
          <cell r="A1642">
            <v>2.6889E-2</v>
          </cell>
        </row>
        <row r="1643">
          <cell r="A1643">
            <v>2.3375E-2</v>
          </cell>
        </row>
        <row r="1644">
          <cell r="A1644">
            <v>2.1124E-2</v>
          </cell>
        </row>
        <row r="1645">
          <cell r="A1645">
            <v>2.3223000000000001E-2</v>
          </cell>
        </row>
        <row r="1646">
          <cell r="A1646">
            <v>2.1607999999999999E-2</v>
          </cell>
        </row>
        <row r="1647">
          <cell r="A1647">
            <v>2.3113999999999999E-2</v>
          </cell>
        </row>
        <row r="1648">
          <cell r="A1648">
            <v>1.2323000000000001E-2</v>
          </cell>
        </row>
        <row r="1649">
          <cell r="A1649">
            <v>1.374E-2</v>
          </cell>
        </row>
        <row r="1650">
          <cell r="A1650">
            <v>2.1632999999999999E-2</v>
          </cell>
        </row>
        <row r="1651">
          <cell r="A1651">
            <v>2.3532000000000001E-2</v>
          </cell>
        </row>
        <row r="1652">
          <cell r="A1652">
            <v>2.7302E-2</v>
          </cell>
        </row>
        <row r="1653">
          <cell r="A1653">
            <v>1.6059E-2</v>
          </cell>
        </row>
        <row r="1654">
          <cell r="A1654">
            <v>2.6363000000000001E-2</v>
          </cell>
        </row>
        <row r="1655">
          <cell r="A1655">
            <v>6.953E-3</v>
          </cell>
        </row>
        <row r="1656">
          <cell r="A1656">
            <v>1.4201999999999999E-2</v>
          </cell>
        </row>
        <row r="1657">
          <cell r="A1657">
            <v>2.2671E-2</v>
          </cell>
        </row>
        <row r="1658">
          <cell r="A1658">
            <v>1.1227000000000001E-2</v>
          </cell>
        </row>
        <row r="1659">
          <cell r="A1659">
            <v>1.8523000000000001E-2</v>
          </cell>
        </row>
        <row r="1660">
          <cell r="A1660">
            <v>2.383E-2</v>
          </cell>
        </row>
        <row r="1661">
          <cell r="A1661">
            <v>2.4705000000000001E-2</v>
          </cell>
        </row>
        <row r="1662">
          <cell r="A1662">
            <v>2.8243999999999998E-2</v>
          </cell>
        </row>
        <row r="1663">
          <cell r="A1663">
            <v>1.0826000000000001E-2</v>
          </cell>
        </row>
        <row r="1664">
          <cell r="A1664">
            <v>1.8637000000000001E-2</v>
          </cell>
        </row>
        <row r="1665">
          <cell r="A1665">
            <v>2.2563E-2</v>
          </cell>
        </row>
        <row r="1666">
          <cell r="A1666">
            <v>1.4085E-2</v>
          </cell>
        </row>
        <row r="1667">
          <cell r="A1667">
            <v>1.536E-2</v>
          </cell>
        </row>
        <row r="1668">
          <cell r="A1668">
            <v>2.6596999999999999E-2</v>
          </cell>
        </row>
        <row r="1669">
          <cell r="A1669">
            <v>8.8739999999999999E-3</v>
          </cell>
        </row>
        <row r="1670">
          <cell r="A1670">
            <v>2.0504999999999999E-2</v>
          </cell>
        </row>
        <row r="1671">
          <cell r="A1671">
            <v>2.0678999999999999E-2</v>
          </cell>
        </row>
        <row r="1672">
          <cell r="A1672">
            <v>3.1050000000000001E-2</v>
          </cell>
        </row>
        <row r="1673">
          <cell r="A1673">
            <v>2.3337E-2</v>
          </cell>
        </row>
        <row r="1674">
          <cell r="A1674">
            <v>1.4012E-2</v>
          </cell>
        </row>
        <row r="1675">
          <cell r="A1675">
            <v>1.5637999999999999E-2</v>
          </cell>
        </row>
        <row r="1676">
          <cell r="A1676">
            <v>1.8859999999999998E-2</v>
          </cell>
        </row>
        <row r="1677">
          <cell r="A1677">
            <v>1.9642E-2</v>
          </cell>
        </row>
        <row r="1678">
          <cell r="A1678">
            <v>2.3163E-2</v>
          </cell>
        </row>
        <row r="1679">
          <cell r="A1679">
            <v>1.4197E-2</v>
          </cell>
        </row>
        <row r="1680">
          <cell r="A1680">
            <v>1.3998999999999999E-2</v>
          </cell>
        </row>
        <row r="1681">
          <cell r="A1681">
            <v>1.6764999999999999E-2</v>
          </cell>
        </row>
        <row r="1682">
          <cell r="A1682">
            <v>1.1036000000000001E-2</v>
          </cell>
        </row>
        <row r="1683">
          <cell r="A1683">
            <v>1.8089000000000001E-2</v>
          </cell>
        </row>
        <row r="1684">
          <cell r="A1684">
            <v>2.0487999999999999E-2</v>
          </cell>
        </row>
        <row r="1685">
          <cell r="A1685">
            <v>2.2405000000000001E-2</v>
          </cell>
        </row>
        <row r="1686">
          <cell r="A1686">
            <v>2.3040999999999999E-2</v>
          </cell>
        </row>
        <row r="1687">
          <cell r="A1687">
            <v>2.4437E-2</v>
          </cell>
        </row>
        <row r="1688">
          <cell r="A1688">
            <v>1.5925999999999999E-2</v>
          </cell>
        </row>
        <row r="1689">
          <cell r="A1689">
            <v>2.5631000000000001E-2</v>
          </cell>
        </row>
        <row r="1690">
          <cell r="A1690">
            <v>2.0274E-2</v>
          </cell>
        </row>
        <row r="1691">
          <cell r="A1691">
            <v>2.0437E-2</v>
          </cell>
        </row>
        <row r="1692">
          <cell r="A1692">
            <v>2.0958999999999998E-2</v>
          </cell>
        </row>
        <row r="1693">
          <cell r="A1693">
            <v>1.2879E-2</v>
          </cell>
        </row>
        <row r="1694">
          <cell r="A1694">
            <v>2.0593E-2</v>
          </cell>
        </row>
        <row r="1695">
          <cell r="A1695">
            <v>2.0622000000000001E-2</v>
          </cell>
        </row>
        <row r="1696">
          <cell r="A1696">
            <v>2.1582E-2</v>
          </cell>
        </row>
        <row r="1697">
          <cell r="A1697">
            <v>2.2870000000000001E-2</v>
          </cell>
        </row>
        <row r="1698">
          <cell r="A1698">
            <v>2.8153000000000001E-2</v>
          </cell>
        </row>
        <row r="1699">
          <cell r="A1699">
            <v>2.2442E-2</v>
          </cell>
        </row>
        <row r="1700">
          <cell r="A1700">
            <v>2.3446000000000002E-2</v>
          </cell>
        </row>
        <row r="1701">
          <cell r="A1701">
            <v>2.3768999999999998E-2</v>
          </cell>
        </row>
        <row r="1702">
          <cell r="A1702">
            <v>2.4402E-2</v>
          </cell>
        </row>
        <row r="1703">
          <cell r="A1703">
            <v>1.0538E-2</v>
          </cell>
        </row>
        <row r="1704">
          <cell r="A1704">
            <v>2.8586E-2</v>
          </cell>
        </row>
        <row r="1705">
          <cell r="A1705">
            <v>1.5779000000000001E-2</v>
          </cell>
        </row>
        <row r="1706">
          <cell r="A1706">
            <v>2.4775999999999999E-2</v>
          </cell>
        </row>
        <row r="1707">
          <cell r="A1707">
            <v>1.5462E-2</v>
          </cell>
        </row>
        <row r="1708">
          <cell r="A1708">
            <v>1.6924000000000002E-2</v>
          </cell>
        </row>
        <row r="1709">
          <cell r="A1709">
            <v>1.7292999999999999E-2</v>
          </cell>
        </row>
        <row r="1710">
          <cell r="A1710">
            <v>2.2395000000000002E-2</v>
          </cell>
        </row>
        <row r="1711">
          <cell r="A1711">
            <v>2.2769000000000001E-2</v>
          </cell>
        </row>
        <row r="1712">
          <cell r="A1712">
            <v>2.6695E-2</v>
          </cell>
        </row>
        <row r="1713">
          <cell r="A1713">
            <v>2.9777000000000001E-2</v>
          </cell>
        </row>
        <row r="1714">
          <cell r="A1714">
            <v>6.0740000000000004E-3</v>
          </cell>
        </row>
        <row r="1715">
          <cell r="A1715">
            <v>1.9380999999999999E-2</v>
          </cell>
        </row>
        <row r="1716">
          <cell r="A1716">
            <v>2.1850000000000001E-2</v>
          </cell>
        </row>
        <row r="1717">
          <cell r="A1717">
            <v>2.3026999999999999E-2</v>
          </cell>
        </row>
        <row r="1718">
          <cell r="A1718">
            <v>2.7793000000000002E-2</v>
          </cell>
        </row>
        <row r="1719">
          <cell r="A1719">
            <v>1.7089E-2</v>
          </cell>
        </row>
        <row r="1720">
          <cell r="A1720">
            <v>2.2950000000000002E-2</v>
          </cell>
        </row>
        <row r="1721">
          <cell r="A1721">
            <v>2.0577999999999999E-2</v>
          </cell>
        </row>
        <row r="1722">
          <cell r="A1722">
            <v>3.1654000000000002E-2</v>
          </cell>
        </row>
        <row r="1723">
          <cell r="A1723">
            <v>1.6794E-2</v>
          </cell>
        </row>
        <row r="1724">
          <cell r="A1724">
            <v>2.2318999999999999E-2</v>
          </cell>
        </row>
        <row r="1725">
          <cell r="A1725">
            <v>2.2360999999999999E-2</v>
          </cell>
        </row>
        <row r="1726">
          <cell r="A1726">
            <v>1.7139000000000001E-2</v>
          </cell>
        </row>
        <row r="1727">
          <cell r="A1727">
            <v>2.4663000000000001E-2</v>
          </cell>
        </row>
        <row r="1728">
          <cell r="A1728">
            <v>1.8076999999999999E-2</v>
          </cell>
        </row>
        <row r="1729">
          <cell r="A1729">
            <v>2.0046000000000001E-2</v>
          </cell>
        </row>
        <row r="1730">
          <cell r="A1730">
            <v>2.1647E-2</v>
          </cell>
        </row>
        <row r="1731">
          <cell r="A1731">
            <v>2.2817E-2</v>
          </cell>
        </row>
        <row r="1732">
          <cell r="A1732">
            <v>3.1615999999999998E-2</v>
          </cell>
        </row>
        <row r="1733">
          <cell r="A1733">
            <v>1.6413000000000001E-2</v>
          </cell>
        </row>
        <row r="1734">
          <cell r="A1734">
            <v>5.2040000000000003E-3</v>
          </cell>
        </row>
        <row r="1735">
          <cell r="A1735">
            <v>2.4403000000000001E-2</v>
          </cell>
        </row>
        <row r="1736">
          <cell r="A1736">
            <v>2.4884E-2</v>
          </cell>
        </row>
        <row r="1737">
          <cell r="A1737">
            <v>2.5905999999999998E-2</v>
          </cell>
        </row>
        <row r="1738">
          <cell r="A1738">
            <v>2.8625999999999999E-2</v>
          </cell>
        </row>
        <row r="1739">
          <cell r="A1739">
            <v>2.0528000000000001E-2</v>
          </cell>
        </row>
        <row r="1740">
          <cell r="A1740">
            <v>2.0296000000000002E-2</v>
          </cell>
        </row>
        <row r="1741">
          <cell r="A1741">
            <v>2.4944999999999998E-2</v>
          </cell>
        </row>
        <row r="1742">
          <cell r="A1742">
            <v>2.0601999999999999E-2</v>
          </cell>
        </row>
        <row r="1743">
          <cell r="A1743">
            <v>1.4862E-2</v>
          </cell>
        </row>
        <row r="1744">
          <cell r="A1744">
            <v>1.9199999999999998E-2</v>
          </cell>
        </row>
        <row r="1745">
          <cell r="A1745">
            <v>2.0206999999999999E-2</v>
          </cell>
        </row>
        <row r="1746">
          <cell r="A1746">
            <v>2.4382000000000001E-2</v>
          </cell>
        </row>
        <row r="1747">
          <cell r="A1747">
            <v>2.5111000000000001E-2</v>
          </cell>
        </row>
        <row r="1748">
          <cell r="A1748">
            <v>2.7730999999999999E-2</v>
          </cell>
        </row>
        <row r="1749">
          <cell r="A1749">
            <v>2.1128000000000001E-2</v>
          </cell>
        </row>
        <row r="1750">
          <cell r="A1750">
            <v>1.2433E-2</v>
          </cell>
        </row>
        <row r="1751">
          <cell r="A1751">
            <v>1.4987E-2</v>
          </cell>
        </row>
        <row r="1752">
          <cell r="A1752">
            <v>2.2745999999999999E-2</v>
          </cell>
        </row>
        <row r="1753">
          <cell r="A1753">
            <v>2.4049000000000001E-2</v>
          </cell>
        </row>
        <row r="1754">
          <cell r="A1754">
            <v>2.8676E-2</v>
          </cell>
        </row>
        <row r="1755">
          <cell r="A1755">
            <v>1.9295E-2</v>
          </cell>
        </row>
        <row r="1756">
          <cell r="A1756">
            <v>2.9638999999999999E-2</v>
          </cell>
        </row>
        <row r="1757">
          <cell r="A1757">
            <v>1.5911000000000002E-2</v>
          </cell>
        </row>
        <row r="1758">
          <cell r="A1758">
            <v>2.3612000000000001E-2</v>
          </cell>
        </row>
        <row r="1759">
          <cell r="A1759">
            <v>1.9945000000000001E-2</v>
          </cell>
        </row>
        <row r="1760">
          <cell r="A1760">
            <v>2.5389999999999999E-2</v>
          </cell>
        </row>
        <row r="1761">
          <cell r="A1761">
            <v>2.5611999999999999E-2</v>
          </cell>
        </row>
        <row r="1762">
          <cell r="A1762">
            <v>2.6828000000000001E-2</v>
          </cell>
        </row>
        <row r="1763">
          <cell r="A1763">
            <v>1.9858000000000001E-2</v>
          </cell>
        </row>
        <row r="1764">
          <cell r="A1764">
            <v>2.1687999999999999E-2</v>
          </cell>
        </row>
        <row r="1765">
          <cell r="A1765">
            <v>2.2360000000000001E-2</v>
          </cell>
        </row>
        <row r="1766">
          <cell r="A1766">
            <v>2.4249E-2</v>
          </cell>
        </row>
        <row r="1767">
          <cell r="A1767">
            <v>5.7250000000000001E-3</v>
          </cell>
        </row>
        <row r="1768">
          <cell r="A1768">
            <v>2.0823999999999999E-2</v>
          </cell>
        </row>
        <row r="1769">
          <cell r="A1769">
            <v>2.3334000000000001E-2</v>
          </cell>
        </row>
        <row r="1770">
          <cell r="A1770">
            <v>2.9609E-2</v>
          </cell>
        </row>
        <row r="1771">
          <cell r="A1771">
            <v>1.5323E-2</v>
          </cell>
        </row>
        <row r="1772">
          <cell r="A1772">
            <v>2.6844E-2</v>
          </cell>
        </row>
        <row r="1773">
          <cell r="A1773">
            <v>5.1939999999999998E-3</v>
          </cell>
        </row>
        <row r="1774">
          <cell r="A1774">
            <v>1.0186000000000001E-2</v>
          </cell>
        </row>
        <row r="1775">
          <cell r="A1775">
            <v>1.8064E-2</v>
          </cell>
        </row>
        <row r="1776">
          <cell r="A1776">
            <v>1.9486E-2</v>
          </cell>
        </row>
        <row r="1777">
          <cell r="A1777">
            <v>2.0230000000000001E-2</v>
          </cell>
        </row>
        <row r="1778">
          <cell r="A1778">
            <v>2.1073000000000001E-2</v>
          </cell>
        </row>
        <row r="1779">
          <cell r="A1779">
            <v>2.6041999999999999E-2</v>
          </cell>
        </row>
        <row r="1780">
          <cell r="A1780">
            <v>1.9538E-2</v>
          </cell>
        </row>
        <row r="1781">
          <cell r="A1781">
            <v>2.1956E-2</v>
          </cell>
        </row>
        <row r="1782">
          <cell r="A1782">
            <v>2.2928E-2</v>
          </cell>
        </row>
        <row r="1783">
          <cell r="A1783">
            <v>2.6068000000000001E-2</v>
          </cell>
        </row>
        <row r="1784">
          <cell r="A1784">
            <v>2.7407999999999998E-2</v>
          </cell>
        </row>
        <row r="1785">
          <cell r="A1785">
            <v>1.5443E-2</v>
          </cell>
        </row>
        <row r="1786">
          <cell r="A1786">
            <v>2.2334E-2</v>
          </cell>
        </row>
        <row r="1787">
          <cell r="A1787">
            <v>7.2129999999999998E-3</v>
          </cell>
        </row>
        <row r="1788">
          <cell r="A1788">
            <v>1.9257E-2</v>
          </cell>
        </row>
        <row r="1789">
          <cell r="A1789">
            <v>2.4058E-2</v>
          </cell>
        </row>
        <row r="1790">
          <cell r="A1790">
            <v>1.0194E-2</v>
          </cell>
        </row>
        <row r="1791">
          <cell r="A1791">
            <v>2.3205E-2</v>
          </cell>
        </row>
        <row r="1792">
          <cell r="A1792">
            <v>6.1650000000000003E-3</v>
          </cell>
        </row>
        <row r="1793">
          <cell r="A1793">
            <v>1.9234999999999999E-2</v>
          </cell>
        </row>
        <row r="1794">
          <cell r="A1794">
            <v>1.8360999999999999E-2</v>
          </cell>
        </row>
        <row r="1795">
          <cell r="A1795">
            <v>2.0660999999999999E-2</v>
          </cell>
        </row>
        <row r="1796">
          <cell r="A1796">
            <v>1.5171E-2</v>
          </cell>
        </row>
        <row r="1797">
          <cell r="A1797">
            <v>2.1557E-2</v>
          </cell>
        </row>
        <row r="1798">
          <cell r="A1798">
            <v>2.7823000000000001E-2</v>
          </cell>
        </row>
        <row r="1799">
          <cell r="A1799">
            <v>1.1133000000000001E-2</v>
          </cell>
        </row>
        <row r="1800">
          <cell r="A1800">
            <v>1.3861E-2</v>
          </cell>
        </row>
        <row r="1801">
          <cell r="A1801">
            <v>1.4761E-2</v>
          </cell>
        </row>
        <row r="1802">
          <cell r="A1802">
            <v>1.8308999999999999E-2</v>
          </cell>
        </row>
        <row r="1803">
          <cell r="A1803">
            <v>2.1728999999999998E-2</v>
          </cell>
        </row>
        <row r="1804">
          <cell r="A1804">
            <v>1.2343E-2</v>
          </cell>
        </row>
        <row r="1805">
          <cell r="A1805">
            <v>1.4156999999999999E-2</v>
          </cell>
        </row>
        <row r="1806">
          <cell r="A1806">
            <v>2.9239000000000001E-2</v>
          </cell>
        </row>
        <row r="1807">
          <cell r="A1807">
            <v>1.9189999999999999E-2</v>
          </cell>
        </row>
        <row r="1808">
          <cell r="A1808">
            <v>2.3458E-2</v>
          </cell>
        </row>
        <row r="1809">
          <cell r="A1809">
            <v>5.9300000000000004E-3</v>
          </cell>
        </row>
        <row r="1810">
          <cell r="A1810">
            <v>1.975E-2</v>
          </cell>
        </row>
        <row r="1811">
          <cell r="A1811">
            <v>1.3413E-2</v>
          </cell>
        </row>
        <row r="1812">
          <cell r="A1812">
            <v>2.1708999999999999E-2</v>
          </cell>
        </row>
        <row r="1813">
          <cell r="A1813">
            <v>2.23E-2</v>
          </cell>
        </row>
        <row r="1814">
          <cell r="A1814">
            <v>2.2852999999999998E-2</v>
          </cell>
        </row>
        <row r="1815">
          <cell r="A1815">
            <v>2.3266999999999999E-2</v>
          </cell>
        </row>
        <row r="1816">
          <cell r="A1816">
            <v>2.4368999999999998E-2</v>
          </cell>
        </row>
        <row r="1817">
          <cell r="A1817">
            <v>1.4362E-2</v>
          </cell>
        </row>
        <row r="1818">
          <cell r="A1818">
            <v>2.1679E-2</v>
          </cell>
        </row>
        <row r="1819">
          <cell r="A1819">
            <v>2.0837999999999999E-2</v>
          </cell>
        </row>
        <row r="1820">
          <cell r="A1820">
            <v>2.2782E-2</v>
          </cell>
        </row>
        <row r="1821">
          <cell r="A1821">
            <v>1.7409000000000001E-2</v>
          </cell>
        </row>
        <row r="1822">
          <cell r="A1822">
            <v>1.2148000000000001E-2</v>
          </cell>
        </row>
        <row r="1823">
          <cell r="A1823">
            <v>2.1399000000000001E-2</v>
          </cell>
        </row>
        <row r="1824">
          <cell r="A1824">
            <v>2.6646E-2</v>
          </cell>
        </row>
        <row r="1825">
          <cell r="A1825">
            <v>1.8633E-2</v>
          </cell>
        </row>
        <row r="1826">
          <cell r="A1826">
            <v>2.4975000000000001E-2</v>
          </cell>
        </row>
        <row r="1827">
          <cell r="A1827">
            <v>2.699E-2</v>
          </cell>
        </row>
        <row r="1828">
          <cell r="A1828">
            <v>2.9021999999999999E-2</v>
          </cell>
        </row>
        <row r="1829">
          <cell r="A1829">
            <v>1.8581E-2</v>
          </cell>
        </row>
        <row r="1830">
          <cell r="A1830">
            <v>1.9488999999999999E-2</v>
          </cell>
        </row>
        <row r="1831">
          <cell r="A1831">
            <v>2.3245999999999999E-2</v>
          </cell>
        </row>
        <row r="1832">
          <cell r="A1832">
            <v>2.341E-2</v>
          </cell>
        </row>
        <row r="1833">
          <cell r="A1833">
            <v>9.4629999999999992E-3</v>
          </cell>
        </row>
        <row r="1834">
          <cell r="A1834">
            <v>2.2543000000000001E-2</v>
          </cell>
        </row>
        <row r="1835">
          <cell r="A1835">
            <v>2.1964000000000001E-2</v>
          </cell>
        </row>
        <row r="1836">
          <cell r="A1836">
            <v>2.2227E-2</v>
          </cell>
        </row>
        <row r="1837">
          <cell r="A1837">
            <v>1.6131E-2</v>
          </cell>
        </row>
        <row r="1838">
          <cell r="A1838">
            <v>2.0962999999999999E-2</v>
          </cell>
        </row>
        <row r="1839">
          <cell r="A1839">
            <v>1.3009E-2</v>
          </cell>
        </row>
        <row r="1840">
          <cell r="A1840">
            <v>1.6461E-2</v>
          </cell>
        </row>
        <row r="1841">
          <cell r="A1841">
            <v>2.0076E-2</v>
          </cell>
        </row>
        <row r="1842">
          <cell r="A1842">
            <v>2.1009E-2</v>
          </cell>
        </row>
        <row r="1843">
          <cell r="A1843">
            <v>2.3098E-2</v>
          </cell>
        </row>
        <row r="1844">
          <cell r="A1844">
            <v>2.1860000000000001E-2</v>
          </cell>
        </row>
        <row r="1845">
          <cell r="A1845">
            <v>2.5818000000000001E-2</v>
          </cell>
        </row>
        <row r="1846">
          <cell r="A1846">
            <v>2.1086000000000001E-2</v>
          </cell>
        </row>
        <row r="1847">
          <cell r="A1847">
            <v>2.1928E-2</v>
          </cell>
        </row>
        <row r="1848">
          <cell r="A1848">
            <v>2.2737E-2</v>
          </cell>
        </row>
        <row r="1849">
          <cell r="A1849">
            <v>5.6629999999999996E-3</v>
          </cell>
        </row>
        <row r="1850">
          <cell r="A1850">
            <v>1.4710000000000001E-2</v>
          </cell>
        </row>
        <row r="1851">
          <cell r="A1851">
            <v>2.4390999999999999E-2</v>
          </cell>
        </row>
        <row r="1852">
          <cell r="A1852">
            <v>2.6665000000000001E-2</v>
          </cell>
        </row>
        <row r="1853">
          <cell r="A1853">
            <v>2.1198999999999999E-2</v>
          </cell>
        </row>
        <row r="1854">
          <cell r="A1854">
            <v>2.3272999999999999E-2</v>
          </cell>
        </row>
        <row r="1855">
          <cell r="A1855">
            <v>1.9144999999999999E-2</v>
          </cell>
        </row>
        <row r="1856">
          <cell r="A1856">
            <v>6.5859999999999998E-3</v>
          </cell>
        </row>
        <row r="1857">
          <cell r="A1857">
            <v>1.618E-2</v>
          </cell>
        </row>
        <row r="1858">
          <cell r="A1858">
            <v>2.1829000000000001E-2</v>
          </cell>
        </row>
        <row r="1859">
          <cell r="A1859">
            <v>2.6897999999999998E-2</v>
          </cell>
        </row>
        <row r="1860">
          <cell r="A1860">
            <v>2.2634999999999999E-2</v>
          </cell>
        </row>
        <row r="1861">
          <cell r="A1861">
            <v>2.5256000000000001E-2</v>
          </cell>
        </row>
        <row r="1862">
          <cell r="A1862">
            <v>1.4661E-2</v>
          </cell>
        </row>
        <row r="1863">
          <cell r="A1863">
            <v>1.5112E-2</v>
          </cell>
        </row>
        <row r="1864">
          <cell r="A1864">
            <v>2.0639000000000001E-2</v>
          </cell>
        </row>
        <row r="1865">
          <cell r="A1865">
            <v>2.9881000000000001E-2</v>
          </cell>
        </row>
        <row r="1866">
          <cell r="A1866">
            <v>1.3295E-2</v>
          </cell>
        </row>
        <row r="1867">
          <cell r="A1867">
            <v>1.9141999999999999E-2</v>
          </cell>
        </row>
        <row r="1868">
          <cell r="A1868">
            <v>2.5479999999999999E-2</v>
          </cell>
        </row>
        <row r="1869">
          <cell r="A1869">
            <v>5.4850000000000003E-3</v>
          </cell>
        </row>
        <row r="1870">
          <cell r="A1870">
            <v>1.8831000000000001E-2</v>
          </cell>
        </row>
        <row r="1871">
          <cell r="A1871">
            <v>1.9796000000000001E-2</v>
          </cell>
        </row>
        <row r="1872">
          <cell r="A1872">
            <v>9.7640000000000001E-3</v>
          </cell>
        </row>
        <row r="1873">
          <cell r="A1873">
            <v>1.0277E-2</v>
          </cell>
        </row>
        <row r="1874">
          <cell r="A1874">
            <v>1.2030000000000001E-2</v>
          </cell>
        </row>
        <row r="1875">
          <cell r="A1875">
            <v>1.6138E-2</v>
          </cell>
        </row>
        <row r="1876">
          <cell r="A1876">
            <v>1.7316000000000002E-2</v>
          </cell>
        </row>
        <row r="1877">
          <cell r="A1877">
            <v>2.3598000000000001E-2</v>
          </cell>
        </row>
        <row r="1878">
          <cell r="A1878">
            <v>2.4771999999999999E-2</v>
          </cell>
        </row>
        <row r="1879">
          <cell r="A1879">
            <v>2.4797E-2</v>
          </cell>
        </row>
        <row r="1880">
          <cell r="A1880">
            <v>5.777E-3</v>
          </cell>
        </row>
        <row r="1881">
          <cell r="A1881">
            <v>2.6113000000000001E-2</v>
          </cell>
        </row>
        <row r="1882">
          <cell r="A1882">
            <v>2.7643999999999998E-2</v>
          </cell>
        </row>
        <row r="1883">
          <cell r="A1883">
            <v>1.5504E-2</v>
          </cell>
        </row>
        <row r="1884">
          <cell r="A1884">
            <v>1.9257E-2</v>
          </cell>
        </row>
        <row r="1885">
          <cell r="A1885">
            <v>2.3619000000000001E-2</v>
          </cell>
        </row>
        <row r="1886">
          <cell r="A1886">
            <v>1.7243000000000001E-2</v>
          </cell>
        </row>
        <row r="1887">
          <cell r="A1887">
            <v>2.0667999999999999E-2</v>
          </cell>
        </row>
        <row r="1888">
          <cell r="A1888">
            <v>1.9112000000000001E-2</v>
          </cell>
        </row>
        <row r="1889">
          <cell r="A1889">
            <v>2.0795999999999999E-2</v>
          </cell>
        </row>
        <row r="1890">
          <cell r="A1890">
            <v>2.2058999999999999E-2</v>
          </cell>
        </row>
        <row r="1891">
          <cell r="A1891">
            <v>1.7950000000000001E-2</v>
          </cell>
        </row>
        <row r="1892">
          <cell r="A1892">
            <v>2.1021999999999999E-2</v>
          </cell>
        </row>
        <row r="1893">
          <cell r="A1893">
            <v>2.0553999999999999E-2</v>
          </cell>
        </row>
        <row r="1894">
          <cell r="A1894">
            <v>2.1236000000000001E-2</v>
          </cell>
        </row>
        <row r="1895">
          <cell r="A1895">
            <v>1.4628E-2</v>
          </cell>
        </row>
        <row r="1896">
          <cell r="A1896">
            <v>1.9192000000000001E-2</v>
          </cell>
        </row>
        <row r="1897">
          <cell r="A1897">
            <v>2.1045999999999999E-2</v>
          </cell>
        </row>
        <row r="1898">
          <cell r="A1898">
            <v>2.2542E-2</v>
          </cell>
        </row>
        <row r="1899">
          <cell r="A1899">
            <v>4.6600000000000001E-3</v>
          </cell>
        </row>
        <row r="1900">
          <cell r="A1900">
            <v>1.5375E-2</v>
          </cell>
        </row>
        <row r="1901">
          <cell r="A1901">
            <v>1.5438E-2</v>
          </cell>
        </row>
        <row r="1902">
          <cell r="A1902">
            <v>2.0400999999999999E-2</v>
          </cell>
        </row>
        <row r="1903">
          <cell r="A1903">
            <v>1.1631000000000001E-2</v>
          </cell>
        </row>
        <row r="1904">
          <cell r="A1904">
            <v>1.9519000000000002E-2</v>
          </cell>
        </row>
        <row r="1905">
          <cell r="A1905">
            <v>1.1606E-2</v>
          </cell>
        </row>
        <row r="1906">
          <cell r="A1906">
            <v>1.9945000000000001E-2</v>
          </cell>
        </row>
        <row r="1907">
          <cell r="A1907">
            <v>2.0625999999999999E-2</v>
          </cell>
        </row>
        <row r="1908">
          <cell r="A1908">
            <v>4.7939999999999997E-3</v>
          </cell>
        </row>
        <row r="1909">
          <cell r="A1909">
            <v>8.8129999999999997E-3</v>
          </cell>
        </row>
        <row r="1910">
          <cell r="A1910">
            <v>1.7725999999999999E-2</v>
          </cell>
        </row>
        <row r="1911">
          <cell r="A1911">
            <v>2.2190999999999999E-2</v>
          </cell>
        </row>
        <row r="1912">
          <cell r="A1912">
            <v>1.617E-2</v>
          </cell>
        </row>
        <row r="1913">
          <cell r="A1913">
            <v>1.8345E-2</v>
          </cell>
        </row>
        <row r="1914">
          <cell r="A1914">
            <v>2.1658E-2</v>
          </cell>
        </row>
        <row r="1915">
          <cell r="A1915">
            <v>2.4038E-2</v>
          </cell>
        </row>
        <row r="1916">
          <cell r="A1916">
            <v>1.7212000000000002E-2</v>
          </cell>
        </row>
        <row r="1917">
          <cell r="A1917">
            <v>2.0629000000000002E-2</v>
          </cell>
        </row>
        <row r="1918">
          <cell r="A1918">
            <v>2.7275000000000001E-2</v>
          </cell>
        </row>
        <row r="1919">
          <cell r="A1919">
            <v>5.078E-3</v>
          </cell>
        </row>
        <row r="1920">
          <cell r="A1920">
            <v>1.9198E-2</v>
          </cell>
        </row>
        <row r="1921">
          <cell r="A1921">
            <v>1.3665E-2</v>
          </cell>
        </row>
        <row r="1922">
          <cell r="A1922">
            <v>1.8200999999999998E-2</v>
          </cell>
        </row>
        <row r="1923">
          <cell r="A1923">
            <v>2.0701000000000001E-2</v>
          </cell>
        </row>
        <row r="1924">
          <cell r="A1924">
            <v>1.7340000000000001E-2</v>
          </cell>
        </row>
        <row r="1925">
          <cell r="A1925">
            <v>1.7815999999999999E-2</v>
          </cell>
        </row>
        <row r="1926">
          <cell r="A1926">
            <v>1.8967999999999999E-2</v>
          </cell>
        </row>
        <row r="1927">
          <cell r="A1927">
            <v>2.2105E-2</v>
          </cell>
        </row>
        <row r="1928">
          <cell r="A1928">
            <v>2.2284999999999999E-2</v>
          </cell>
        </row>
        <row r="1929">
          <cell r="A1929">
            <v>1.9408999999999999E-2</v>
          </cell>
        </row>
        <row r="1930">
          <cell r="A1930">
            <v>2.3692000000000001E-2</v>
          </cell>
        </row>
        <row r="1931">
          <cell r="A1931">
            <v>1.6573999999999998E-2</v>
          </cell>
        </row>
        <row r="1932">
          <cell r="A1932">
            <v>2.767E-2</v>
          </cell>
        </row>
        <row r="1933">
          <cell r="A1933">
            <v>3.1026999999999999E-2</v>
          </cell>
        </row>
        <row r="1934">
          <cell r="A1934">
            <v>2.0694000000000001E-2</v>
          </cell>
        </row>
        <row r="1935">
          <cell r="A1935">
            <v>1.8454999999999999E-2</v>
          </cell>
        </row>
        <row r="1936">
          <cell r="A1936">
            <v>2.1044E-2</v>
          </cell>
        </row>
        <row r="1937">
          <cell r="A1937">
            <v>1.2702E-2</v>
          </cell>
        </row>
        <row r="1938">
          <cell r="A1938">
            <v>2.078E-2</v>
          </cell>
        </row>
        <row r="1939">
          <cell r="A1939">
            <v>2.1444000000000001E-2</v>
          </cell>
        </row>
        <row r="1940">
          <cell r="A1940">
            <v>2.1748E-2</v>
          </cell>
        </row>
        <row r="1941">
          <cell r="A1941">
            <v>1.7343000000000001E-2</v>
          </cell>
        </row>
        <row r="1942">
          <cell r="A1942">
            <v>2.0929E-2</v>
          </cell>
        </row>
        <row r="1943">
          <cell r="A1943">
            <v>2.4405E-2</v>
          </cell>
        </row>
        <row r="1944">
          <cell r="A1944">
            <v>1.5975E-2</v>
          </cell>
        </row>
        <row r="1945">
          <cell r="A1945">
            <v>2.239E-2</v>
          </cell>
        </row>
        <row r="1946">
          <cell r="A1946">
            <v>2.6891999999999999E-2</v>
          </cell>
        </row>
        <row r="1947">
          <cell r="A1947">
            <v>1.3808000000000001E-2</v>
          </cell>
        </row>
        <row r="1948">
          <cell r="A1948">
            <v>1.6098999999999999E-2</v>
          </cell>
        </row>
        <row r="1949">
          <cell r="A1949">
            <v>1.8571000000000001E-2</v>
          </cell>
        </row>
        <row r="1950">
          <cell r="A1950">
            <v>1.1246000000000001E-2</v>
          </cell>
        </row>
        <row r="1951">
          <cell r="A1951">
            <v>2.0559999999999998E-2</v>
          </cell>
        </row>
        <row r="1952">
          <cell r="A1952">
            <v>2.5819000000000002E-2</v>
          </cell>
        </row>
        <row r="1953">
          <cell r="A1953">
            <v>2.5884000000000001E-2</v>
          </cell>
        </row>
        <row r="1954">
          <cell r="A1954">
            <v>1.9685000000000001E-2</v>
          </cell>
        </row>
        <row r="1955">
          <cell r="A1955">
            <v>2.1748E-2</v>
          </cell>
        </row>
        <row r="1956">
          <cell r="A1956">
            <v>1.2945999999999999E-2</v>
          </cell>
        </row>
        <row r="1957">
          <cell r="A1957">
            <v>2.1461999999999998E-2</v>
          </cell>
        </row>
        <row r="1958">
          <cell r="A1958">
            <v>2.6568999999999999E-2</v>
          </cell>
        </row>
        <row r="1959">
          <cell r="A1959">
            <v>2.0951000000000001E-2</v>
          </cell>
        </row>
        <row r="1960">
          <cell r="A1960">
            <v>2.7480000000000001E-2</v>
          </cell>
        </row>
        <row r="1961">
          <cell r="A1961">
            <v>1.7652999999999999E-2</v>
          </cell>
        </row>
        <row r="1962">
          <cell r="A1962">
            <v>1.2068000000000001E-2</v>
          </cell>
        </row>
        <row r="1963">
          <cell r="A1963">
            <v>2.0702999999999999E-2</v>
          </cell>
        </row>
        <row r="1964">
          <cell r="A1964">
            <v>2.0634E-2</v>
          </cell>
        </row>
        <row r="1965">
          <cell r="A1965">
            <v>2.2630999999999998E-2</v>
          </cell>
        </row>
        <row r="1966">
          <cell r="A1966">
            <v>2.5225000000000001E-2</v>
          </cell>
        </row>
        <row r="1967">
          <cell r="A1967">
            <v>2.6015E-2</v>
          </cell>
        </row>
        <row r="1968">
          <cell r="A1968">
            <v>1.3639E-2</v>
          </cell>
        </row>
        <row r="1969">
          <cell r="A1969">
            <v>2.2575999999999999E-2</v>
          </cell>
        </row>
        <row r="1970">
          <cell r="A1970">
            <v>2.4367E-2</v>
          </cell>
        </row>
        <row r="1971">
          <cell r="A1971">
            <v>1.8201999999999999E-2</v>
          </cell>
        </row>
        <row r="1972">
          <cell r="A1972">
            <v>1.8435E-2</v>
          </cell>
        </row>
        <row r="1973">
          <cell r="A1973">
            <v>1.9886999999999998E-2</v>
          </cell>
        </row>
        <row r="1974">
          <cell r="A1974">
            <v>2.2279E-2</v>
          </cell>
        </row>
        <row r="1975">
          <cell r="A1975">
            <v>2.6016999999999998E-2</v>
          </cell>
        </row>
        <row r="1976">
          <cell r="A1976">
            <v>2.6283999999999998E-2</v>
          </cell>
        </row>
        <row r="1977">
          <cell r="A1977">
            <v>1.9345999999999999E-2</v>
          </cell>
        </row>
        <row r="1978">
          <cell r="A1978">
            <v>1.4083E-2</v>
          </cell>
        </row>
        <row r="1979">
          <cell r="A1979">
            <v>2.1516E-2</v>
          </cell>
        </row>
        <row r="1980">
          <cell r="A1980">
            <v>2.1950000000000001E-2</v>
          </cell>
        </row>
        <row r="1981">
          <cell r="A1981">
            <v>2.2301000000000001E-2</v>
          </cell>
        </row>
        <row r="1982">
          <cell r="A1982">
            <v>2.6804999999999999E-2</v>
          </cell>
        </row>
        <row r="1983">
          <cell r="A1983">
            <v>1.4033E-2</v>
          </cell>
        </row>
        <row r="1984">
          <cell r="A1984">
            <v>1.5436E-2</v>
          </cell>
        </row>
        <row r="1985">
          <cell r="A1985">
            <v>1.7596000000000001E-2</v>
          </cell>
        </row>
        <row r="1986">
          <cell r="A1986">
            <v>2.4886999999999999E-2</v>
          </cell>
        </row>
        <row r="1987">
          <cell r="A1987">
            <v>2.1388000000000001E-2</v>
          </cell>
        </row>
        <row r="1988">
          <cell r="A1988">
            <v>2.4797E-2</v>
          </cell>
        </row>
        <row r="1989">
          <cell r="A1989">
            <v>5.5510000000000004E-3</v>
          </cell>
        </row>
        <row r="1990">
          <cell r="A1990">
            <v>2.01E-2</v>
          </cell>
        </row>
        <row r="1991">
          <cell r="A1991">
            <v>2.2946000000000001E-2</v>
          </cell>
        </row>
        <row r="1992">
          <cell r="A1992">
            <v>2.5568E-2</v>
          </cell>
        </row>
        <row r="1993">
          <cell r="A1993">
            <v>2.6818000000000002E-2</v>
          </cell>
        </row>
        <row r="1994">
          <cell r="A1994">
            <v>2.1753999999999999E-2</v>
          </cell>
        </row>
        <row r="1995">
          <cell r="A1995">
            <v>2.5838E-2</v>
          </cell>
        </row>
        <row r="1996">
          <cell r="A1996">
            <v>1.4805E-2</v>
          </cell>
        </row>
        <row r="1997">
          <cell r="A1997">
            <v>2.2641999999999999E-2</v>
          </cell>
        </row>
        <row r="1998">
          <cell r="A1998">
            <v>1.0545000000000001E-2</v>
          </cell>
        </row>
        <row r="1999">
          <cell r="A1999">
            <v>2.0718E-2</v>
          </cell>
        </row>
        <row r="2000">
          <cell r="A2000">
            <v>2.1514999999999999E-2</v>
          </cell>
        </row>
        <row r="2001">
          <cell r="A2001">
            <v>2.5514999999999999E-2</v>
          </cell>
        </row>
        <row r="2002">
          <cell r="A2002">
            <v>1.3787000000000001E-2</v>
          </cell>
        </row>
        <row r="2003">
          <cell r="A2003">
            <v>2.1288000000000001E-2</v>
          </cell>
        </row>
        <row r="2004">
          <cell r="A2004">
            <v>5.5019999999999999E-3</v>
          </cell>
        </row>
        <row r="2005">
          <cell r="A2005">
            <v>1.9786000000000002E-2</v>
          </cell>
        </row>
        <row r="2006">
          <cell r="A2006">
            <v>2.1240999999999999E-2</v>
          </cell>
        </row>
        <row r="2007">
          <cell r="A2007">
            <v>2.6308000000000002E-2</v>
          </cell>
        </row>
        <row r="2008">
          <cell r="A2008">
            <v>4.3750000000000004E-3</v>
          </cell>
        </row>
        <row r="2009">
          <cell r="A2009">
            <v>1.188E-2</v>
          </cell>
        </row>
        <row r="2010">
          <cell r="A2010">
            <v>2.1170999999999999E-2</v>
          </cell>
        </row>
        <row r="2011">
          <cell r="A2011">
            <v>2.2683999999999999E-2</v>
          </cell>
        </row>
        <row r="2012">
          <cell r="A2012">
            <v>3.0513999999999999E-2</v>
          </cell>
        </row>
        <row r="2013">
          <cell r="A2013">
            <v>1.8699E-2</v>
          </cell>
        </row>
        <row r="2014">
          <cell r="A2014">
            <v>1.9028E-2</v>
          </cell>
        </row>
        <row r="2015">
          <cell r="A2015">
            <v>2.1661E-2</v>
          </cell>
        </row>
        <row r="2016">
          <cell r="A2016">
            <v>1.3934999999999999E-2</v>
          </cell>
        </row>
        <row r="2017">
          <cell r="A2017">
            <v>2.0136000000000001E-2</v>
          </cell>
        </row>
        <row r="2018">
          <cell r="A2018">
            <v>2.1006E-2</v>
          </cell>
        </row>
        <row r="2019">
          <cell r="A2019">
            <v>2.2314000000000001E-2</v>
          </cell>
        </row>
        <row r="2020">
          <cell r="A2020">
            <v>2.2934E-2</v>
          </cell>
        </row>
        <row r="2021">
          <cell r="A2021">
            <v>2.4569000000000001E-2</v>
          </cell>
        </row>
        <row r="2022">
          <cell r="A2022">
            <v>2.6505000000000001E-2</v>
          </cell>
        </row>
        <row r="2023">
          <cell r="A2023">
            <v>2.6634999999999999E-2</v>
          </cell>
        </row>
        <row r="2024">
          <cell r="A2024">
            <v>2.3392E-2</v>
          </cell>
        </row>
        <row r="2025">
          <cell r="A2025">
            <v>1.4206999999999999E-2</v>
          </cell>
        </row>
        <row r="2026">
          <cell r="A2026">
            <v>2.0702999999999999E-2</v>
          </cell>
        </row>
        <row r="2027">
          <cell r="A2027">
            <v>2.0965000000000001E-2</v>
          </cell>
        </row>
        <row r="2028">
          <cell r="A2028">
            <v>2.2426000000000001E-2</v>
          </cell>
        </row>
        <row r="2029">
          <cell r="A2029">
            <v>1.4675000000000001E-2</v>
          </cell>
        </row>
        <row r="2030">
          <cell r="A2030">
            <v>2.0216999999999999E-2</v>
          </cell>
        </row>
        <row r="2031">
          <cell r="A2031">
            <v>2.0465000000000001E-2</v>
          </cell>
        </row>
        <row r="2032">
          <cell r="A2032">
            <v>6.1050000000000002E-3</v>
          </cell>
        </row>
        <row r="2033">
          <cell r="A2033">
            <v>2.4476000000000001E-2</v>
          </cell>
        </row>
        <row r="2034">
          <cell r="A2034">
            <v>3.3328999999999998E-2</v>
          </cell>
        </row>
        <row r="2035">
          <cell r="A2035">
            <v>1.102E-2</v>
          </cell>
        </row>
        <row r="2036">
          <cell r="A2036">
            <v>1.119E-2</v>
          </cell>
        </row>
        <row r="2037">
          <cell r="A2037">
            <v>2.8282999999999999E-2</v>
          </cell>
        </row>
        <row r="2038">
          <cell r="A2038">
            <v>2.1333000000000001E-2</v>
          </cell>
        </row>
        <row r="2039">
          <cell r="A2039">
            <v>2.2768E-2</v>
          </cell>
        </row>
        <row r="2040">
          <cell r="A2040">
            <v>1.4668E-2</v>
          </cell>
        </row>
        <row r="2041">
          <cell r="A2041">
            <v>2.6064E-2</v>
          </cell>
        </row>
        <row r="2042">
          <cell r="A2042">
            <v>4.6309999999999997E-3</v>
          </cell>
        </row>
        <row r="2043">
          <cell r="A2043">
            <v>1.9158999999999999E-2</v>
          </cell>
        </row>
        <row r="2044">
          <cell r="A2044">
            <v>2.6238000000000001E-2</v>
          </cell>
        </row>
        <row r="2045">
          <cell r="A2045">
            <v>1.8723E-2</v>
          </cell>
        </row>
        <row r="2046">
          <cell r="A2046">
            <v>1.6905E-2</v>
          </cell>
        </row>
        <row r="2047">
          <cell r="A2047">
            <v>1.8866999999999998E-2</v>
          </cell>
        </row>
        <row r="2048">
          <cell r="A2048">
            <v>2.0920999999999999E-2</v>
          </cell>
        </row>
        <row r="2049">
          <cell r="A2049">
            <v>1.2919999999999999E-2</v>
          </cell>
        </row>
        <row r="2050">
          <cell r="A2050">
            <v>1.3221E-2</v>
          </cell>
        </row>
        <row r="2051">
          <cell r="A2051">
            <v>2.6055999999999999E-2</v>
          </cell>
        </row>
        <row r="2052">
          <cell r="A2052">
            <v>1.6531000000000001E-2</v>
          </cell>
        </row>
        <row r="2053">
          <cell r="A2053">
            <v>1.9608E-2</v>
          </cell>
        </row>
        <row r="2054">
          <cell r="A2054">
            <v>2.1305999999999999E-2</v>
          </cell>
        </row>
        <row r="2055">
          <cell r="A2055">
            <v>2.2976E-2</v>
          </cell>
        </row>
        <row r="2056">
          <cell r="A2056">
            <v>2.4570000000000002E-2</v>
          </cell>
        </row>
        <row r="2057">
          <cell r="A2057">
            <v>3.1185000000000001E-2</v>
          </cell>
        </row>
        <row r="2058">
          <cell r="A2058">
            <v>1.9616000000000001E-2</v>
          </cell>
        </row>
        <row r="2059">
          <cell r="A2059">
            <v>1.9623000000000002E-2</v>
          </cell>
        </row>
        <row r="2060">
          <cell r="A2060">
            <v>1.9913E-2</v>
          </cell>
        </row>
        <row r="2061">
          <cell r="A2061">
            <v>2.0434999999999998E-2</v>
          </cell>
        </row>
        <row r="2062">
          <cell r="A2062">
            <v>1.9626000000000001E-2</v>
          </cell>
        </row>
        <row r="2063">
          <cell r="A2063">
            <v>2.0514000000000001E-2</v>
          </cell>
        </row>
        <row r="2064">
          <cell r="A2064">
            <v>2.3092999999999999E-2</v>
          </cell>
        </row>
        <row r="2065">
          <cell r="A2065">
            <v>1.5122E-2</v>
          </cell>
        </row>
        <row r="2066">
          <cell r="A2066">
            <v>1.8159000000000002E-2</v>
          </cell>
        </row>
        <row r="2067">
          <cell r="A2067">
            <v>2.0649000000000001E-2</v>
          </cell>
        </row>
        <row r="2068">
          <cell r="A2068">
            <v>2.5295999999999999E-2</v>
          </cell>
        </row>
        <row r="2069">
          <cell r="A2069">
            <v>1.9726E-2</v>
          </cell>
        </row>
        <row r="2070">
          <cell r="A2070">
            <v>2.0750999999999999E-2</v>
          </cell>
        </row>
        <row r="2071">
          <cell r="A2071">
            <v>2.4437E-2</v>
          </cell>
        </row>
        <row r="2072">
          <cell r="A2072">
            <v>2.6290000000000001E-2</v>
          </cell>
        </row>
        <row r="2073">
          <cell r="A2073">
            <v>5.4440000000000001E-3</v>
          </cell>
        </row>
        <row r="2074">
          <cell r="A2074">
            <v>1.4938E-2</v>
          </cell>
        </row>
        <row r="2075">
          <cell r="A2075">
            <v>1.6344999999999998E-2</v>
          </cell>
        </row>
        <row r="2076">
          <cell r="A2076">
            <v>1.7451999999999999E-2</v>
          </cell>
        </row>
        <row r="2077">
          <cell r="A2077">
            <v>2.2502000000000001E-2</v>
          </cell>
        </row>
        <row r="2078">
          <cell r="A2078">
            <v>2.4806000000000002E-2</v>
          </cell>
        </row>
        <row r="2079">
          <cell r="A2079">
            <v>6.3350000000000004E-3</v>
          </cell>
        </row>
        <row r="2080">
          <cell r="A2080">
            <v>1.5841000000000001E-2</v>
          </cell>
        </row>
        <row r="2081">
          <cell r="A2081">
            <v>2.2945E-2</v>
          </cell>
        </row>
        <row r="2082">
          <cell r="A2082">
            <v>1.8297000000000001E-2</v>
          </cell>
        </row>
        <row r="2083">
          <cell r="A2083">
            <v>2.0552000000000001E-2</v>
          </cell>
        </row>
        <row r="2084">
          <cell r="A2084">
            <v>2.1361000000000002E-2</v>
          </cell>
        </row>
        <row r="2085">
          <cell r="A2085">
            <v>2.1559999999999999E-2</v>
          </cell>
        </row>
        <row r="2086">
          <cell r="A2086">
            <v>2.1839999999999998E-2</v>
          </cell>
        </row>
        <row r="2087">
          <cell r="A2087">
            <v>2.2565999999999999E-2</v>
          </cell>
        </row>
        <row r="2088">
          <cell r="A2088">
            <v>1.9442999999999998E-2</v>
          </cell>
        </row>
        <row r="2089">
          <cell r="A2089">
            <v>1.9883999999999999E-2</v>
          </cell>
        </row>
        <row r="2090">
          <cell r="A2090">
            <v>1.6584000000000002E-2</v>
          </cell>
        </row>
        <row r="2091">
          <cell r="A2091">
            <v>2.0060000000000001E-2</v>
          </cell>
        </row>
        <row r="2092">
          <cell r="A2092">
            <v>2.0506E-2</v>
          </cell>
        </row>
        <row r="2093">
          <cell r="A2093">
            <v>2.2571000000000001E-2</v>
          </cell>
        </row>
        <row r="2094">
          <cell r="A2094">
            <v>4.7580000000000001E-3</v>
          </cell>
        </row>
        <row r="2095">
          <cell r="A2095">
            <v>1.4860999999999999E-2</v>
          </cell>
        </row>
        <row r="2096">
          <cell r="A2096">
            <v>2.7140999999999998E-2</v>
          </cell>
        </row>
        <row r="2097">
          <cell r="A2097">
            <v>1.2430999999999999E-2</v>
          </cell>
        </row>
        <row r="2098">
          <cell r="A2098">
            <v>1.6478E-2</v>
          </cell>
        </row>
        <row r="2099">
          <cell r="A2099">
            <v>2.1259E-2</v>
          </cell>
        </row>
        <row r="2100">
          <cell r="A2100">
            <v>1.5403E-2</v>
          </cell>
        </row>
        <row r="2101">
          <cell r="A2101">
            <v>1.6069E-2</v>
          </cell>
        </row>
        <row r="2102">
          <cell r="A2102">
            <v>2.2585999999999998E-2</v>
          </cell>
        </row>
        <row r="2103">
          <cell r="A2103">
            <v>2.1905000000000001E-2</v>
          </cell>
        </row>
        <row r="2104">
          <cell r="A2104">
            <v>2.5368000000000002E-2</v>
          </cell>
        </row>
        <row r="2105">
          <cell r="A2105">
            <v>6.0410000000000004E-3</v>
          </cell>
        </row>
        <row r="2106">
          <cell r="A2106">
            <v>2.0922E-2</v>
          </cell>
        </row>
        <row r="2107">
          <cell r="A2107">
            <v>1.7895999999999999E-2</v>
          </cell>
        </row>
        <row r="2108">
          <cell r="A2108">
            <v>9.1760000000000001E-3</v>
          </cell>
        </row>
        <row r="2109">
          <cell r="A2109">
            <v>1.3579000000000001E-2</v>
          </cell>
        </row>
        <row r="2110">
          <cell r="A2110">
            <v>2.3137999999999999E-2</v>
          </cell>
        </row>
        <row r="2111">
          <cell r="A2111">
            <v>1.9983000000000001E-2</v>
          </cell>
        </row>
        <row r="2112">
          <cell r="A2112">
            <v>5.424E-3</v>
          </cell>
        </row>
        <row r="2113">
          <cell r="A2113">
            <v>1.8953999999999999E-2</v>
          </cell>
        </row>
        <row r="2114">
          <cell r="A2114">
            <v>4.7080000000000004E-3</v>
          </cell>
        </row>
        <row r="2115">
          <cell r="A2115">
            <v>2.051E-2</v>
          </cell>
        </row>
        <row r="2116">
          <cell r="A2116">
            <v>2.1842E-2</v>
          </cell>
        </row>
        <row r="2117">
          <cell r="A2117">
            <v>8.6370000000000006E-3</v>
          </cell>
        </row>
        <row r="2118">
          <cell r="A2118">
            <v>1.9347E-2</v>
          </cell>
        </row>
        <row r="2119">
          <cell r="A2119">
            <v>1.2389000000000001E-2</v>
          </cell>
        </row>
        <row r="2120">
          <cell r="A2120">
            <v>2.2147E-2</v>
          </cell>
        </row>
        <row r="2121">
          <cell r="A2121">
            <v>2.0097E-2</v>
          </cell>
        </row>
        <row r="2122">
          <cell r="A2122">
            <v>2.1777000000000001E-2</v>
          </cell>
        </row>
        <row r="2123">
          <cell r="A2123">
            <v>2.1826000000000002E-2</v>
          </cell>
        </row>
        <row r="2124">
          <cell r="A2124">
            <v>2.4011000000000001E-2</v>
          </cell>
        </row>
        <row r="2125">
          <cell r="A2125">
            <v>2.4795000000000001E-2</v>
          </cell>
        </row>
        <row r="2126">
          <cell r="A2126">
            <v>2.7491999999999999E-2</v>
          </cell>
        </row>
        <row r="2127">
          <cell r="A2127">
            <v>1.8596999999999999E-2</v>
          </cell>
        </row>
        <row r="2128">
          <cell r="A2128">
            <v>1.9172000000000002E-2</v>
          </cell>
        </row>
        <row r="2129">
          <cell r="A2129">
            <v>2.1103E-2</v>
          </cell>
        </row>
        <row r="2130">
          <cell r="A2130">
            <v>1.9262999999999999E-2</v>
          </cell>
        </row>
        <row r="2131">
          <cell r="A2131">
            <v>2.3836E-2</v>
          </cell>
        </row>
        <row r="2132">
          <cell r="A2132">
            <v>2.3952999999999999E-2</v>
          </cell>
        </row>
        <row r="2133">
          <cell r="A2133">
            <v>1.5889E-2</v>
          </cell>
        </row>
        <row r="2134">
          <cell r="A2134">
            <v>1.5897999999999999E-2</v>
          </cell>
        </row>
        <row r="2135">
          <cell r="A2135">
            <v>2.1186E-2</v>
          </cell>
        </row>
        <row r="2136">
          <cell r="A2136">
            <v>2.3220999999999999E-2</v>
          </cell>
        </row>
        <row r="2137">
          <cell r="A2137">
            <v>2.0521000000000001E-2</v>
          </cell>
        </row>
        <row r="2138">
          <cell r="A2138">
            <v>2.0621E-2</v>
          </cell>
        </row>
        <row r="2139">
          <cell r="A2139">
            <v>2.0707E-2</v>
          </cell>
        </row>
        <row r="2140">
          <cell r="A2140">
            <v>2.6329000000000002E-2</v>
          </cell>
        </row>
        <row r="2141">
          <cell r="A2141">
            <v>1.9198E-2</v>
          </cell>
        </row>
        <row r="2142">
          <cell r="A2142">
            <v>2.3747000000000001E-2</v>
          </cell>
        </row>
        <row r="2143">
          <cell r="A2143">
            <v>1.6062E-2</v>
          </cell>
        </row>
        <row r="2144">
          <cell r="A2144">
            <v>1.6178000000000001E-2</v>
          </cell>
        </row>
        <row r="2145">
          <cell r="A2145">
            <v>2.0233999999999999E-2</v>
          </cell>
        </row>
        <row r="2146">
          <cell r="A2146">
            <v>2.3488999999999999E-2</v>
          </cell>
        </row>
        <row r="2147">
          <cell r="A2147">
            <v>1.5991999999999999E-2</v>
          </cell>
        </row>
        <row r="2148">
          <cell r="A2148">
            <v>3.0008E-2</v>
          </cell>
        </row>
        <row r="2149">
          <cell r="A2149">
            <v>1.9616999999999999E-2</v>
          </cell>
        </row>
        <row r="2150">
          <cell r="A2150">
            <v>2.4603E-2</v>
          </cell>
        </row>
        <row r="2151">
          <cell r="A2151">
            <v>2.1155E-2</v>
          </cell>
        </row>
        <row r="2152">
          <cell r="A2152">
            <v>2.4209999999999999E-2</v>
          </cell>
        </row>
        <row r="2153">
          <cell r="A2153">
            <v>1.4694E-2</v>
          </cell>
        </row>
        <row r="2154">
          <cell r="A2154">
            <v>1.8752999999999999E-2</v>
          </cell>
        </row>
        <row r="2155">
          <cell r="A2155">
            <v>2.2203000000000001E-2</v>
          </cell>
        </row>
        <row r="2156">
          <cell r="A2156">
            <v>2.5621999999999999E-2</v>
          </cell>
        </row>
        <row r="2157">
          <cell r="A2157">
            <v>2.4305E-2</v>
          </cell>
        </row>
        <row r="2158">
          <cell r="A2158">
            <v>9.9740000000000002E-3</v>
          </cell>
        </row>
        <row r="2159">
          <cell r="A2159">
            <v>2.0535000000000001E-2</v>
          </cell>
        </row>
        <row r="2160">
          <cell r="A2160">
            <v>1.8754E-2</v>
          </cell>
        </row>
        <row r="2161">
          <cell r="A2161">
            <v>1.9914999999999999E-2</v>
          </cell>
        </row>
        <row r="2162">
          <cell r="A2162">
            <v>1.7742000000000001E-2</v>
          </cell>
        </row>
        <row r="2163">
          <cell r="A2163">
            <v>2.2429000000000001E-2</v>
          </cell>
        </row>
        <row r="2164">
          <cell r="A2164">
            <v>2.4788000000000001E-2</v>
          </cell>
        </row>
        <row r="2165">
          <cell r="A2165">
            <v>1.2139E-2</v>
          </cell>
        </row>
        <row r="2166">
          <cell r="A2166">
            <v>1.9227000000000001E-2</v>
          </cell>
        </row>
        <row r="2167">
          <cell r="A2167">
            <v>2.1094999999999999E-2</v>
          </cell>
        </row>
        <row r="2168">
          <cell r="A2168">
            <v>2.1915E-2</v>
          </cell>
        </row>
        <row r="2169">
          <cell r="A2169">
            <v>2.4518000000000002E-2</v>
          </cell>
        </row>
        <row r="2170">
          <cell r="A2170">
            <v>2.0642000000000001E-2</v>
          </cell>
        </row>
        <row r="2171">
          <cell r="A2171">
            <v>2.1138000000000001E-2</v>
          </cell>
        </row>
        <row r="2172">
          <cell r="A2172">
            <v>2.1315000000000001E-2</v>
          </cell>
        </row>
        <row r="2173">
          <cell r="A2173">
            <v>3.3780999999999999E-2</v>
          </cell>
        </row>
        <row r="2174">
          <cell r="A2174">
            <v>1.2305999999999999E-2</v>
          </cell>
        </row>
        <row r="2175">
          <cell r="A2175">
            <v>1.2715000000000001E-2</v>
          </cell>
        </row>
        <row r="2176">
          <cell r="A2176">
            <v>1.993E-2</v>
          </cell>
        </row>
        <row r="2177">
          <cell r="A2177">
            <v>2.0711E-2</v>
          </cell>
        </row>
        <row r="2178">
          <cell r="A2178">
            <v>2.0830999999999999E-2</v>
          </cell>
        </row>
        <row r="2179">
          <cell r="A2179">
            <v>2.2346000000000001E-2</v>
          </cell>
        </row>
        <row r="2180">
          <cell r="A2180">
            <v>1.8987E-2</v>
          </cell>
        </row>
        <row r="2181">
          <cell r="A2181">
            <v>2.5451999999999999E-2</v>
          </cell>
        </row>
        <row r="2182">
          <cell r="A2182">
            <v>1.1416000000000001E-2</v>
          </cell>
        </row>
        <row r="2183">
          <cell r="A2183">
            <v>1.4812000000000001E-2</v>
          </cell>
        </row>
        <row r="2184">
          <cell r="A2184">
            <v>1.7163999999999999E-2</v>
          </cell>
        </row>
        <row r="2185">
          <cell r="A2185">
            <v>2.1972999999999999E-2</v>
          </cell>
        </row>
        <row r="2186">
          <cell r="A2186">
            <v>1.9174E-2</v>
          </cell>
        </row>
        <row r="2187">
          <cell r="A2187">
            <v>2.1174999999999999E-2</v>
          </cell>
        </row>
        <row r="2188">
          <cell r="A2188">
            <v>2.3106000000000002E-2</v>
          </cell>
        </row>
        <row r="2189">
          <cell r="A2189">
            <v>9.0849999999999993E-3</v>
          </cell>
        </row>
        <row r="2190">
          <cell r="A2190">
            <v>1.9741000000000002E-2</v>
          </cell>
        </row>
        <row r="2191">
          <cell r="A2191">
            <v>2.0216999999999999E-2</v>
          </cell>
        </row>
        <row r="2192">
          <cell r="A2192">
            <v>2.1691999999999999E-2</v>
          </cell>
        </row>
        <row r="2193">
          <cell r="A2193">
            <v>1.9515000000000001E-2</v>
          </cell>
        </row>
        <row r="2194">
          <cell r="A2194">
            <v>1.9864E-2</v>
          </cell>
        </row>
        <row r="2195">
          <cell r="A2195">
            <v>1.9911000000000002E-2</v>
          </cell>
        </row>
        <row r="2196">
          <cell r="A2196">
            <v>1.7783E-2</v>
          </cell>
        </row>
        <row r="2197">
          <cell r="A2197">
            <v>1.8941E-2</v>
          </cell>
        </row>
        <row r="2198">
          <cell r="A2198">
            <v>2.7029000000000001E-2</v>
          </cell>
        </row>
        <row r="2199">
          <cell r="A2199">
            <v>1.9452000000000001E-2</v>
          </cell>
        </row>
        <row r="2200">
          <cell r="A2200">
            <v>1.5351E-2</v>
          </cell>
        </row>
        <row r="2201">
          <cell r="A2201">
            <v>2.0407000000000002E-2</v>
          </cell>
        </row>
        <row r="2202">
          <cell r="A2202">
            <v>1.3827000000000001E-2</v>
          </cell>
        </row>
        <row r="2203">
          <cell r="A2203">
            <v>1.9418999999999999E-2</v>
          </cell>
        </row>
        <row r="2204">
          <cell r="A2204">
            <v>2.1839999999999998E-2</v>
          </cell>
        </row>
        <row r="2205">
          <cell r="A2205">
            <v>2.6168E-2</v>
          </cell>
        </row>
        <row r="2206">
          <cell r="A2206">
            <v>1.9612000000000001E-2</v>
          </cell>
        </row>
        <row r="2207">
          <cell r="A2207">
            <v>2.0434000000000001E-2</v>
          </cell>
        </row>
        <row r="2208">
          <cell r="A2208">
            <v>1.3368E-2</v>
          </cell>
        </row>
        <row r="2209">
          <cell r="A2209">
            <v>1.9788E-2</v>
          </cell>
        </row>
        <row r="2210">
          <cell r="A2210">
            <v>2.2387000000000001E-2</v>
          </cell>
        </row>
        <row r="2211">
          <cell r="A2211">
            <v>2.2657E-2</v>
          </cell>
        </row>
        <row r="2212">
          <cell r="A2212">
            <v>1.924E-2</v>
          </cell>
        </row>
        <row r="2213">
          <cell r="A2213">
            <v>2.0934999999999999E-2</v>
          </cell>
        </row>
        <row r="2214">
          <cell r="A2214">
            <v>2.2467999999999998E-2</v>
          </cell>
        </row>
        <row r="2215">
          <cell r="A2215">
            <v>1.9515000000000001E-2</v>
          </cell>
        </row>
        <row r="2216">
          <cell r="A2216">
            <v>1.9736E-2</v>
          </cell>
        </row>
        <row r="2217">
          <cell r="A2217">
            <v>2.0097E-2</v>
          </cell>
        </row>
        <row r="2218">
          <cell r="A2218">
            <v>2.2483E-2</v>
          </cell>
        </row>
        <row r="2219">
          <cell r="A2219">
            <v>2.4153999999999998E-2</v>
          </cell>
        </row>
        <row r="2220">
          <cell r="A2220">
            <v>2.2256999999999999E-2</v>
          </cell>
        </row>
        <row r="2221">
          <cell r="A2221">
            <v>2.2872E-2</v>
          </cell>
        </row>
        <row r="2222">
          <cell r="A2222">
            <v>1.9016999999999999E-2</v>
          </cell>
        </row>
        <row r="2223">
          <cell r="A2223">
            <v>2.5486000000000002E-2</v>
          </cell>
        </row>
        <row r="2224">
          <cell r="A2224">
            <v>1.2096000000000001E-2</v>
          </cell>
        </row>
        <row r="2225">
          <cell r="A2225">
            <v>1.4992E-2</v>
          </cell>
        </row>
        <row r="2226">
          <cell r="A2226">
            <v>1.7118999999999999E-2</v>
          </cell>
        </row>
        <row r="2227">
          <cell r="A2227">
            <v>1.5668999999999999E-2</v>
          </cell>
        </row>
        <row r="2228">
          <cell r="A2228">
            <v>2.2145000000000001E-2</v>
          </cell>
        </row>
        <row r="2229">
          <cell r="A2229">
            <v>2.6653E-2</v>
          </cell>
        </row>
        <row r="2230">
          <cell r="A2230">
            <v>1.5806000000000001E-2</v>
          </cell>
        </row>
        <row r="2231">
          <cell r="A2231">
            <v>1.8381999999999999E-2</v>
          </cell>
        </row>
        <row r="2232">
          <cell r="A2232">
            <v>2.1186E-2</v>
          </cell>
        </row>
        <row r="2233">
          <cell r="A2233">
            <v>2.1637E-2</v>
          </cell>
        </row>
        <row r="2234">
          <cell r="A2234">
            <v>2.8472999999999998E-2</v>
          </cell>
        </row>
        <row r="2235">
          <cell r="A2235">
            <v>2.0976999999999999E-2</v>
          </cell>
        </row>
        <row r="2236">
          <cell r="A2236">
            <v>1.41E-2</v>
          </cell>
        </row>
        <row r="2237">
          <cell r="A2237">
            <v>2.2966E-2</v>
          </cell>
        </row>
        <row r="2238">
          <cell r="A2238">
            <v>1.9401000000000002E-2</v>
          </cell>
        </row>
        <row r="2239">
          <cell r="A2239">
            <v>2.291E-2</v>
          </cell>
        </row>
        <row r="2240">
          <cell r="A2240">
            <v>1.3653999999999999E-2</v>
          </cell>
        </row>
        <row r="2241">
          <cell r="A2241">
            <v>1.9177E-2</v>
          </cell>
        </row>
        <row r="2242">
          <cell r="A2242">
            <v>1.9785000000000001E-2</v>
          </cell>
        </row>
        <row r="2243">
          <cell r="A2243">
            <v>2.8205999999999998E-2</v>
          </cell>
        </row>
        <row r="2244">
          <cell r="A2244">
            <v>2.0482E-2</v>
          </cell>
        </row>
        <row r="2245">
          <cell r="A2245">
            <v>1.3303000000000001E-2</v>
          </cell>
        </row>
        <row r="2246">
          <cell r="A2246">
            <v>1.5292999999999999E-2</v>
          </cell>
        </row>
        <row r="2247">
          <cell r="A2247">
            <v>1.9379E-2</v>
          </cell>
        </row>
        <row r="2248">
          <cell r="A2248">
            <v>2.2261E-2</v>
          </cell>
        </row>
        <row r="2249">
          <cell r="A2249">
            <v>2.9359E-2</v>
          </cell>
        </row>
        <row r="2250">
          <cell r="A2250">
            <v>2.0716999999999999E-2</v>
          </cell>
        </row>
        <row r="2251">
          <cell r="A2251">
            <v>2.5170000000000001E-2</v>
          </cell>
        </row>
        <row r="2252">
          <cell r="A2252">
            <v>1.7259E-2</v>
          </cell>
        </row>
        <row r="2253">
          <cell r="A2253">
            <v>1.8897000000000001E-2</v>
          </cell>
        </row>
        <row r="2254">
          <cell r="A2254">
            <v>2.1387E-2</v>
          </cell>
        </row>
        <row r="2255">
          <cell r="A2255">
            <v>2.1225999999999998E-2</v>
          </cell>
        </row>
        <row r="2256">
          <cell r="A2256">
            <v>2.0115999999999998E-2</v>
          </cell>
        </row>
        <row r="2257">
          <cell r="A2257">
            <v>2.1777000000000001E-2</v>
          </cell>
        </row>
        <row r="2258">
          <cell r="A2258">
            <v>2.1909000000000001E-2</v>
          </cell>
        </row>
        <row r="2259">
          <cell r="A2259">
            <v>2.3220999999999999E-2</v>
          </cell>
        </row>
        <row r="2260">
          <cell r="A2260">
            <v>7.1549999999999999E-3</v>
          </cell>
        </row>
        <row r="2261">
          <cell r="A2261">
            <v>1.9560999999999999E-2</v>
          </cell>
        </row>
        <row r="2262">
          <cell r="A2262">
            <v>1.5622E-2</v>
          </cell>
        </row>
        <row r="2263">
          <cell r="A2263">
            <v>1.9518000000000001E-2</v>
          </cell>
        </row>
        <row r="2264">
          <cell r="A2264">
            <v>1.4711999999999999E-2</v>
          </cell>
        </row>
        <row r="2265">
          <cell r="A2265">
            <v>1.8859000000000001E-2</v>
          </cell>
        </row>
        <row r="2266">
          <cell r="A2266">
            <v>1.9278E-2</v>
          </cell>
        </row>
        <row r="2267">
          <cell r="A2267">
            <v>2.2114999999999999E-2</v>
          </cell>
        </row>
        <row r="2268">
          <cell r="A2268">
            <v>1.4316000000000001E-2</v>
          </cell>
        </row>
        <row r="2269">
          <cell r="A2269">
            <v>2.0466000000000002E-2</v>
          </cell>
        </row>
        <row r="2270">
          <cell r="A2270">
            <v>2.1052999999999999E-2</v>
          </cell>
        </row>
        <row r="2271">
          <cell r="A2271">
            <v>2.3203999999999999E-2</v>
          </cell>
        </row>
        <row r="2272">
          <cell r="A2272">
            <v>1.3018999999999999E-2</v>
          </cell>
        </row>
        <row r="2273">
          <cell r="A2273">
            <v>2.2603000000000002E-2</v>
          </cell>
        </row>
        <row r="2274">
          <cell r="A2274">
            <v>1.7552000000000002E-2</v>
          </cell>
        </row>
        <row r="2275">
          <cell r="A2275">
            <v>1.4067E-2</v>
          </cell>
        </row>
        <row r="2276">
          <cell r="A2276">
            <v>1.8672999999999999E-2</v>
          </cell>
        </row>
        <row r="2277">
          <cell r="A2277">
            <v>1.9769999999999999E-2</v>
          </cell>
        </row>
        <row r="2278">
          <cell r="A2278">
            <v>2.1239000000000001E-2</v>
          </cell>
        </row>
        <row r="2279">
          <cell r="A2279">
            <v>2.6466E-2</v>
          </cell>
        </row>
        <row r="2280">
          <cell r="A2280">
            <v>1.5462E-2</v>
          </cell>
        </row>
        <row r="2281">
          <cell r="A2281">
            <v>2.1607000000000001E-2</v>
          </cell>
        </row>
        <row r="2282">
          <cell r="A2282">
            <v>2.2270999999999999E-2</v>
          </cell>
        </row>
        <row r="2283">
          <cell r="A2283">
            <v>2.6915000000000001E-2</v>
          </cell>
        </row>
        <row r="2284">
          <cell r="A2284">
            <v>1.3707E-2</v>
          </cell>
        </row>
        <row r="2285">
          <cell r="A2285">
            <v>1.5722E-2</v>
          </cell>
        </row>
        <row r="2286">
          <cell r="A2286">
            <v>2.1877000000000001E-2</v>
          </cell>
        </row>
        <row r="2287">
          <cell r="A2287">
            <v>2.2568000000000001E-2</v>
          </cell>
        </row>
        <row r="2288">
          <cell r="A2288">
            <v>1.8237E-2</v>
          </cell>
        </row>
        <row r="2289">
          <cell r="A2289">
            <v>1.8686000000000001E-2</v>
          </cell>
        </row>
        <row r="2290">
          <cell r="A2290">
            <v>1.4479000000000001E-2</v>
          </cell>
        </row>
        <row r="2291">
          <cell r="A2291">
            <v>2.0039999999999999E-2</v>
          </cell>
        </row>
        <row r="2292">
          <cell r="A2292">
            <v>2.2350999999999999E-2</v>
          </cell>
        </row>
        <row r="2293">
          <cell r="A2293">
            <v>2.9628999999999999E-2</v>
          </cell>
        </row>
        <row r="2294">
          <cell r="A2294">
            <v>1.3095000000000001E-2</v>
          </cell>
        </row>
        <row r="2295">
          <cell r="A2295">
            <v>1.9546999999999998E-2</v>
          </cell>
        </row>
        <row r="2296">
          <cell r="A2296">
            <v>1.2645E-2</v>
          </cell>
        </row>
        <row r="2297">
          <cell r="A2297">
            <v>1.6920999999999999E-2</v>
          </cell>
        </row>
        <row r="2298">
          <cell r="A2298">
            <v>1.8859999999999998E-2</v>
          </cell>
        </row>
        <row r="2299">
          <cell r="A2299">
            <v>1.9148999999999999E-2</v>
          </cell>
        </row>
        <row r="2300">
          <cell r="A2300">
            <v>2.06E-2</v>
          </cell>
        </row>
        <row r="2301">
          <cell r="A2301">
            <v>1.2886999999999999E-2</v>
          </cell>
        </row>
        <row r="2302">
          <cell r="A2302">
            <v>1.5517E-2</v>
          </cell>
        </row>
        <row r="2303">
          <cell r="A2303">
            <v>1.9820000000000001E-2</v>
          </cell>
        </row>
        <row r="2304">
          <cell r="A2304">
            <v>2.5906999999999999E-2</v>
          </cell>
        </row>
        <row r="2305">
          <cell r="A2305">
            <v>1.2361E-2</v>
          </cell>
        </row>
        <row r="2306">
          <cell r="A2306">
            <v>2.0108000000000001E-2</v>
          </cell>
        </row>
        <row r="2307">
          <cell r="A2307">
            <v>2.0183E-2</v>
          </cell>
        </row>
        <row r="2308">
          <cell r="A2308">
            <v>3.4548000000000002E-2</v>
          </cell>
        </row>
        <row r="2309">
          <cell r="A2309">
            <v>1.9958E-2</v>
          </cell>
        </row>
        <row r="2310">
          <cell r="A2310">
            <v>1.9983000000000001E-2</v>
          </cell>
        </row>
        <row r="2311">
          <cell r="A2311">
            <v>1.5512E-2</v>
          </cell>
        </row>
        <row r="2312">
          <cell r="A2312">
            <v>2.3730000000000001E-2</v>
          </cell>
        </row>
        <row r="2313">
          <cell r="A2313">
            <v>1.7905999999999998E-2</v>
          </cell>
        </row>
        <row r="2314">
          <cell r="A2314">
            <v>2.2494E-2</v>
          </cell>
        </row>
        <row r="2315">
          <cell r="A2315">
            <v>2.0819000000000001E-2</v>
          </cell>
        </row>
        <row r="2316">
          <cell r="A2316">
            <v>2.2329999999999999E-2</v>
          </cell>
        </row>
        <row r="2317">
          <cell r="A2317">
            <v>2.3993E-2</v>
          </cell>
        </row>
        <row r="2318">
          <cell r="A2318">
            <v>1.5332E-2</v>
          </cell>
        </row>
        <row r="2319">
          <cell r="A2319">
            <v>1.9313E-2</v>
          </cell>
        </row>
        <row r="2320">
          <cell r="A2320">
            <v>2.0247999999999999E-2</v>
          </cell>
        </row>
        <row r="2321">
          <cell r="A2321">
            <v>1.9494999999999998E-2</v>
          </cell>
        </row>
        <row r="2322">
          <cell r="A2322">
            <v>2.2114000000000002E-2</v>
          </cell>
        </row>
        <row r="2323">
          <cell r="A2323">
            <v>2.8702999999999999E-2</v>
          </cell>
        </row>
        <row r="2324">
          <cell r="A2324">
            <v>1.5970000000000002E-2</v>
          </cell>
        </row>
        <row r="2325">
          <cell r="A2325">
            <v>1.6414000000000002E-2</v>
          </cell>
        </row>
        <row r="2326">
          <cell r="A2326">
            <v>1.8785E-2</v>
          </cell>
        </row>
        <row r="2327">
          <cell r="A2327">
            <v>2.0903999999999999E-2</v>
          </cell>
        </row>
        <row r="2328">
          <cell r="A2328">
            <v>2.3188E-2</v>
          </cell>
        </row>
        <row r="2329">
          <cell r="A2329">
            <v>1.8435E-2</v>
          </cell>
        </row>
        <row r="2330">
          <cell r="A2330">
            <v>2.0258000000000002E-2</v>
          </cell>
        </row>
        <row r="2331">
          <cell r="A2331">
            <v>2.0580000000000001E-2</v>
          </cell>
        </row>
        <row r="2332">
          <cell r="A2332">
            <v>2.5118000000000001E-2</v>
          </cell>
        </row>
        <row r="2333">
          <cell r="A2333">
            <v>2.5325E-2</v>
          </cell>
        </row>
        <row r="2334">
          <cell r="A2334">
            <v>1.3724E-2</v>
          </cell>
        </row>
        <row r="2335">
          <cell r="A2335">
            <v>2.1575E-2</v>
          </cell>
        </row>
        <row r="2336">
          <cell r="A2336">
            <v>2.4330000000000001E-2</v>
          </cell>
        </row>
        <row r="2337">
          <cell r="A2337">
            <v>1.9480000000000001E-2</v>
          </cell>
        </row>
        <row r="2338">
          <cell r="A2338">
            <v>2.1221E-2</v>
          </cell>
        </row>
        <row r="2339">
          <cell r="A2339">
            <v>1.9186000000000002E-2</v>
          </cell>
        </row>
        <row r="2340">
          <cell r="A2340">
            <v>2.6275E-2</v>
          </cell>
        </row>
        <row r="2341">
          <cell r="A2341">
            <v>1.8939999999999999E-2</v>
          </cell>
        </row>
        <row r="2342">
          <cell r="A2342">
            <v>1.9108E-2</v>
          </cell>
        </row>
        <row r="2343">
          <cell r="A2343">
            <v>2.2138000000000001E-2</v>
          </cell>
        </row>
        <row r="2344">
          <cell r="A2344">
            <v>9.273E-3</v>
          </cell>
        </row>
        <row r="2345">
          <cell r="A2345">
            <v>1.9694E-2</v>
          </cell>
        </row>
        <row r="2346">
          <cell r="A2346">
            <v>1.2621E-2</v>
          </cell>
        </row>
        <row r="2347">
          <cell r="A2347">
            <v>1.8298999999999999E-2</v>
          </cell>
        </row>
        <row r="2348">
          <cell r="A2348">
            <v>1.9619000000000001E-2</v>
          </cell>
        </row>
        <row r="2349">
          <cell r="A2349">
            <v>2.1423000000000001E-2</v>
          </cell>
        </row>
        <row r="2350">
          <cell r="A2350">
            <v>2.3382E-2</v>
          </cell>
        </row>
        <row r="2351">
          <cell r="A2351">
            <v>2.5482999999999999E-2</v>
          </cell>
        </row>
        <row r="2352">
          <cell r="A2352">
            <v>1.2494E-2</v>
          </cell>
        </row>
        <row r="2353">
          <cell r="A2353">
            <v>1.8749999999999999E-2</v>
          </cell>
        </row>
        <row r="2354">
          <cell r="A2354">
            <v>2.0702999999999999E-2</v>
          </cell>
        </row>
        <row r="2355">
          <cell r="A2355">
            <v>2.4747999999999999E-2</v>
          </cell>
        </row>
        <row r="2356">
          <cell r="A2356">
            <v>2.5003999999999998E-2</v>
          </cell>
        </row>
        <row r="2357">
          <cell r="A2357">
            <v>9.9959999999999997E-3</v>
          </cell>
        </row>
        <row r="2358">
          <cell r="A2358">
            <v>2.4117E-2</v>
          </cell>
        </row>
        <row r="2359">
          <cell r="A2359">
            <v>2.9759000000000001E-2</v>
          </cell>
        </row>
        <row r="2360">
          <cell r="A2360">
            <v>1.4449E-2</v>
          </cell>
        </row>
        <row r="2361">
          <cell r="A2361">
            <v>2.2075000000000001E-2</v>
          </cell>
        </row>
        <row r="2362">
          <cell r="A2362">
            <v>2.3442000000000001E-2</v>
          </cell>
        </row>
        <row r="2363">
          <cell r="A2363">
            <v>2.4289000000000002E-2</v>
          </cell>
        </row>
        <row r="2364">
          <cell r="A2364">
            <v>2.5635999999999999E-2</v>
          </cell>
        </row>
        <row r="2365">
          <cell r="A2365">
            <v>1.7673999999999999E-2</v>
          </cell>
        </row>
        <row r="2366">
          <cell r="A2366">
            <v>1.2139E-2</v>
          </cell>
        </row>
        <row r="2367">
          <cell r="A2367">
            <v>1.9843E-2</v>
          </cell>
        </row>
        <row r="2368">
          <cell r="A2368">
            <v>2.3925999999999999E-2</v>
          </cell>
        </row>
        <row r="2369">
          <cell r="A2369">
            <v>1.0805E-2</v>
          </cell>
        </row>
        <row r="2370">
          <cell r="A2370">
            <v>1.1441E-2</v>
          </cell>
        </row>
        <row r="2371">
          <cell r="A2371">
            <v>2.3449000000000001E-2</v>
          </cell>
        </row>
        <row r="2372">
          <cell r="A2372">
            <v>2.0698000000000001E-2</v>
          </cell>
        </row>
        <row r="2373">
          <cell r="A2373">
            <v>1.4101000000000001E-2</v>
          </cell>
        </row>
        <row r="2374">
          <cell r="A2374">
            <v>1.6580999999999999E-2</v>
          </cell>
        </row>
        <row r="2375">
          <cell r="A2375">
            <v>1.9019999999999999E-2</v>
          </cell>
        </row>
        <row r="2376">
          <cell r="A2376">
            <v>2.1592E-2</v>
          </cell>
        </row>
        <row r="2377">
          <cell r="A2377">
            <v>2.1614000000000001E-2</v>
          </cell>
        </row>
        <row r="2378">
          <cell r="A2378">
            <v>2.3559E-2</v>
          </cell>
        </row>
        <row r="2379">
          <cell r="A2379">
            <v>2.4065E-2</v>
          </cell>
        </row>
        <row r="2380">
          <cell r="A2380">
            <v>1.9231000000000002E-2</v>
          </cell>
        </row>
        <row r="2381">
          <cell r="A2381">
            <v>1.8924E-2</v>
          </cell>
        </row>
        <row r="2382">
          <cell r="A2382">
            <v>1.8782E-2</v>
          </cell>
        </row>
        <row r="2383">
          <cell r="A2383">
            <v>2.5551000000000001E-2</v>
          </cell>
        </row>
        <row r="2384">
          <cell r="A2384">
            <v>2.0485E-2</v>
          </cell>
        </row>
        <row r="2385">
          <cell r="A2385">
            <v>2.4167999999999999E-2</v>
          </cell>
        </row>
        <row r="2386">
          <cell r="A2386">
            <v>1.7874999999999999E-2</v>
          </cell>
        </row>
        <row r="2387">
          <cell r="A2387">
            <v>1.8268E-2</v>
          </cell>
        </row>
        <row r="2388">
          <cell r="A2388">
            <v>1.856E-2</v>
          </cell>
        </row>
        <row r="2389">
          <cell r="A2389">
            <v>1.8589999999999999E-2</v>
          </cell>
        </row>
        <row r="2390">
          <cell r="A2390">
            <v>2.0650999999999999E-2</v>
          </cell>
        </row>
        <row r="2391">
          <cell r="A2391">
            <v>2.1031000000000001E-2</v>
          </cell>
        </row>
        <row r="2392">
          <cell r="A2392">
            <v>2.1982000000000002E-2</v>
          </cell>
        </row>
        <row r="2393">
          <cell r="A2393">
            <v>2.4691000000000001E-2</v>
          </cell>
        </row>
        <row r="2394">
          <cell r="A2394">
            <v>1.8551000000000002E-2</v>
          </cell>
        </row>
        <row r="2395">
          <cell r="A2395">
            <v>2.1474E-2</v>
          </cell>
        </row>
        <row r="2396">
          <cell r="A2396">
            <v>1.7909999999999999E-2</v>
          </cell>
        </row>
        <row r="2397">
          <cell r="A2397">
            <v>1.9060000000000001E-2</v>
          </cell>
        </row>
        <row r="2398">
          <cell r="A2398">
            <v>1.9102000000000001E-2</v>
          </cell>
        </row>
        <row r="2399">
          <cell r="A2399">
            <v>9.4999999999999998E-3</v>
          </cell>
        </row>
        <row r="2400">
          <cell r="A2400">
            <v>1.4886999999999999E-2</v>
          </cell>
        </row>
        <row r="2401">
          <cell r="A2401">
            <v>2.2735999999999999E-2</v>
          </cell>
        </row>
        <row r="2402">
          <cell r="A2402">
            <v>2.4437E-2</v>
          </cell>
        </row>
        <row r="2403">
          <cell r="A2403">
            <v>1.9417E-2</v>
          </cell>
        </row>
        <row r="2404">
          <cell r="A2404">
            <v>2.2762999999999999E-2</v>
          </cell>
        </row>
        <row r="2405">
          <cell r="A2405">
            <v>1.5571E-2</v>
          </cell>
        </row>
        <row r="2406">
          <cell r="A2406">
            <v>1.8912999999999999E-2</v>
          </cell>
        </row>
        <row r="2407">
          <cell r="A2407">
            <v>2.0368000000000001E-2</v>
          </cell>
        </row>
        <row r="2408">
          <cell r="A2408">
            <v>2.2651999999999999E-2</v>
          </cell>
        </row>
        <row r="2409">
          <cell r="A2409">
            <v>2.5940999999999999E-2</v>
          </cell>
        </row>
        <row r="2410">
          <cell r="A2410">
            <v>1.9938000000000001E-2</v>
          </cell>
        </row>
        <row r="2411">
          <cell r="A2411">
            <v>2.1488E-2</v>
          </cell>
        </row>
        <row r="2412">
          <cell r="A2412">
            <v>1.4855999999999999E-2</v>
          </cell>
        </row>
        <row r="2413">
          <cell r="A2413">
            <v>2.3317000000000001E-2</v>
          </cell>
        </row>
        <row r="2414">
          <cell r="A2414">
            <v>1.4767000000000001E-2</v>
          </cell>
        </row>
        <row r="2415">
          <cell r="A2415">
            <v>1.8002000000000001E-2</v>
          </cell>
        </row>
        <row r="2416">
          <cell r="A2416">
            <v>1.8239999999999999E-2</v>
          </cell>
        </row>
        <row r="2417">
          <cell r="A2417">
            <v>1.9049E-2</v>
          </cell>
        </row>
        <row r="2418">
          <cell r="A2418">
            <v>2.0399E-2</v>
          </cell>
        </row>
        <row r="2419">
          <cell r="A2419">
            <v>1.8792E-2</v>
          </cell>
        </row>
        <row r="2420">
          <cell r="A2420">
            <v>2.1586999999999999E-2</v>
          </cell>
        </row>
        <row r="2421">
          <cell r="A2421">
            <v>2.2487E-2</v>
          </cell>
        </row>
        <row r="2422">
          <cell r="A2422">
            <v>1.1284000000000001E-2</v>
          </cell>
        </row>
        <row r="2423">
          <cell r="A2423">
            <v>1.4203E-2</v>
          </cell>
        </row>
        <row r="2424">
          <cell r="A2424">
            <v>1.9067000000000001E-2</v>
          </cell>
        </row>
        <row r="2425">
          <cell r="A2425">
            <v>2.0598999999999999E-2</v>
          </cell>
        </row>
        <row r="2426">
          <cell r="A2426">
            <v>2.1316999999999999E-2</v>
          </cell>
        </row>
        <row r="2427">
          <cell r="A2427">
            <v>2.2051999999999999E-2</v>
          </cell>
        </row>
        <row r="2428">
          <cell r="A2428">
            <v>1.8832999999999999E-2</v>
          </cell>
        </row>
        <row r="2429">
          <cell r="A2429">
            <v>2.0029999999999999E-2</v>
          </cell>
        </row>
        <row r="2430">
          <cell r="A2430">
            <v>2.2164E-2</v>
          </cell>
        </row>
        <row r="2431">
          <cell r="A2431">
            <v>2.5111999999999999E-2</v>
          </cell>
        </row>
        <row r="2432">
          <cell r="A2432">
            <v>1.4146000000000001E-2</v>
          </cell>
        </row>
        <row r="2433">
          <cell r="A2433">
            <v>1.966E-2</v>
          </cell>
        </row>
        <row r="2434">
          <cell r="A2434">
            <v>1.7871999999999999E-2</v>
          </cell>
        </row>
        <row r="2435">
          <cell r="A2435">
            <v>1.6899999999999998E-2</v>
          </cell>
        </row>
        <row r="2436">
          <cell r="A2436">
            <v>2.2814000000000001E-2</v>
          </cell>
        </row>
        <row r="2437">
          <cell r="A2437">
            <v>1.8127000000000001E-2</v>
          </cell>
        </row>
        <row r="2438">
          <cell r="A2438">
            <v>1.9907000000000001E-2</v>
          </cell>
        </row>
        <row r="2439">
          <cell r="A2439">
            <v>2.1901E-2</v>
          </cell>
        </row>
        <row r="2440">
          <cell r="A2440">
            <v>2.7335000000000002E-2</v>
          </cell>
        </row>
        <row r="2441">
          <cell r="A2441">
            <v>1.6108999999999998E-2</v>
          </cell>
        </row>
        <row r="2442">
          <cell r="A2442">
            <v>1.4239E-2</v>
          </cell>
        </row>
        <row r="2443">
          <cell r="A2443">
            <v>1.5409000000000001E-2</v>
          </cell>
        </row>
        <row r="2444">
          <cell r="A2444">
            <v>1.8339999999999999E-2</v>
          </cell>
        </row>
        <row r="2445">
          <cell r="A2445">
            <v>2.0507000000000001E-2</v>
          </cell>
        </row>
        <row r="2446">
          <cell r="A2446">
            <v>2.1073999999999999E-2</v>
          </cell>
        </row>
        <row r="2447">
          <cell r="A2447">
            <v>1.072E-2</v>
          </cell>
        </row>
        <row r="2448">
          <cell r="A2448">
            <v>2.2734999999999998E-2</v>
          </cell>
        </row>
        <row r="2449">
          <cell r="A2449">
            <v>1.8381999999999999E-2</v>
          </cell>
        </row>
        <row r="2450">
          <cell r="A2450">
            <v>2.2412999999999999E-2</v>
          </cell>
        </row>
        <row r="2451">
          <cell r="A2451">
            <v>1.6433E-2</v>
          </cell>
        </row>
        <row r="2452">
          <cell r="A2452">
            <v>2.0421000000000002E-2</v>
          </cell>
        </row>
        <row r="2453">
          <cell r="A2453">
            <v>6.3489999999999996E-3</v>
          </cell>
        </row>
        <row r="2454">
          <cell r="A2454">
            <v>8.6479999999999994E-3</v>
          </cell>
        </row>
        <row r="2455">
          <cell r="A2455">
            <v>1.7557E-2</v>
          </cell>
        </row>
        <row r="2456">
          <cell r="A2456">
            <v>1.7954999999999999E-2</v>
          </cell>
        </row>
        <row r="2457">
          <cell r="A2457">
            <v>1.9684E-2</v>
          </cell>
        </row>
        <row r="2458">
          <cell r="A2458">
            <v>2.4867E-2</v>
          </cell>
        </row>
        <row r="2459">
          <cell r="A2459">
            <v>1.7174999999999999E-2</v>
          </cell>
        </row>
        <row r="2460">
          <cell r="A2460">
            <v>2.8315E-2</v>
          </cell>
        </row>
        <row r="2461">
          <cell r="A2461">
            <v>1.8825000000000001E-2</v>
          </cell>
        </row>
        <row r="2462">
          <cell r="A2462">
            <v>2.1250000000000002E-2</v>
          </cell>
        </row>
        <row r="2463">
          <cell r="A2463">
            <v>2.2055000000000002E-2</v>
          </cell>
        </row>
        <row r="2464">
          <cell r="A2464">
            <v>1.4200000000000001E-2</v>
          </cell>
        </row>
        <row r="2465">
          <cell r="A2465">
            <v>1.8499999999999999E-2</v>
          </cell>
        </row>
        <row r="2466">
          <cell r="A2466">
            <v>1.8501E-2</v>
          </cell>
        </row>
        <row r="2467">
          <cell r="A2467">
            <v>6.4390000000000003E-3</v>
          </cell>
        </row>
        <row r="2468">
          <cell r="A2468">
            <v>1.6879999999999999E-2</v>
          </cell>
        </row>
        <row r="2469">
          <cell r="A2469">
            <v>1.7555999999999999E-2</v>
          </cell>
        </row>
        <row r="2470">
          <cell r="A2470">
            <v>2.0872000000000002E-2</v>
          </cell>
        </row>
        <row r="2471">
          <cell r="A2471">
            <v>2.4403999999999999E-2</v>
          </cell>
        </row>
        <row r="2472">
          <cell r="A2472">
            <v>2.6997E-2</v>
          </cell>
        </row>
        <row r="2473">
          <cell r="A2473">
            <v>1.8733E-2</v>
          </cell>
        </row>
        <row r="2474">
          <cell r="A2474">
            <v>1.3124E-2</v>
          </cell>
        </row>
        <row r="2475">
          <cell r="A2475">
            <v>1.7256000000000001E-2</v>
          </cell>
        </row>
        <row r="2476">
          <cell r="A2476">
            <v>2.1510999999999999E-2</v>
          </cell>
        </row>
        <row r="2477">
          <cell r="A2477">
            <v>1.9692999999999999E-2</v>
          </cell>
        </row>
        <row r="2478">
          <cell r="A2478">
            <v>2.2884999999999999E-2</v>
          </cell>
        </row>
        <row r="2479">
          <cell r="A2479">
            <v>1.7850999999999999E-2</v>
          </cell>
        </row>
        <row r="2480">
          <cell r="A2480">
            <v>2.4348999999999999E-2</v>
          </cell>
        </row>
        <row r="2481">
          <cell r="A2481">
            <v>1.8237E-2</v>
          </cell>
        </row>
        <row r="2482">
          <cell r="A2482">
            <v>2.4334999999999999E-2</v>
          </cell>
        </row>
        <row r="2483">
          <cell r="A2483">
            <v>2.1026E-2</v>
          </cell>
        </row>
        <row r="2484">
          <cell r="A2484">
            <v>2.6617999999999999E-2</v>
          </cell>
        </row>
        <row r="2485">
          <cell r="A2485">
            <v>1.4666999999999999E-2</v>
          </cell>
        </row>
        <row r="2486">
          <cell r="A2486">
            <v>2.3706000000000001E-2</v>
          </cell>
        </row>
        <row r="2487">
          <cell r="A2487">
            <v>1.7503999999999999E-2</v>
          </cell>
        </row>
        <row r="2488">
          <cell r="A2488">
            <v>2.257E-2</v>
          </cell>
        </row>
        <row r="2489">
          <cell r="A2489">
            <v>2.1311E-2</v>
          </cell>
        </row>
        <row r="2490">
          <cell r="A2490">
            <v>2.5559999999999999E-2</v>
          </cell>
        </row>
        <row r="2491">
          <cell r="A2491">
            <v>1.7253999999999999E-2</v>
          </cell>
        </row>
        <row r="2492">
          <cell r="A2492">
            <v>2.0138E-2</v>
          </cell>
        </row>
        <row r="2493">
          <cell r="A2493">
            <v>2.554E-2</v>
          </cell>
        </row>
        <row r="2494">
          <cell r="A2494">
            <v>1.8350999999999999E-2</v>
          </cell>
        </row>
        <row r="2495">
          <cell r="A2495">
            <v>2.0400999999999999E-2</v>
          </cell>
        </row>
        <row r="2496">
          <cell r="A2496">
            <v>2.4944999999999998E-2</v>
          </cell>
        </row>
        <row r="2497">
          <cell r="A2497">
            <v>1.9075000000000002E-2</v>
          </cell>
        </row>
        <row r="2498">
          <cell r="A2498">
            <v>1.9348000000000001E-2</v>
          </cell>
        </row>
        <row r="2499">
          <cell r="A2499">
            <v>1.5953999999999999E-2</v>
          </cell>
        </row>
        <row r="2500">
          <cell r="A2500">
            <v>2.1783E-2</v>
          </cell>
        </row>
        <row r="2501">
          <cell r="A2501">
            <v>2.5756999999999999E-2</v>
          </cell>
        </row>
        <row r="2502">
          <cell r="A2502">
            <v>1.8794000000000002E-2</v>
          </cell>
        </row>
        <row r="2503">
          <cell r="A2503">
            <v>2.3380000000000001E-2</v>
          </cell>
        </row>
        <row r="2504">
          <cell r="A2504">
            <v>2.4844000000000001E-2</v>
          </cell>
        </row>
        <row r="2505">
          <cell r="A2505">
            <v>1.9709000000000001E-2</v>
          </cell>
        </row>
        <row r="2506">
          <cell r="A2506">
            <v>2.0983999999999999E-2</v>
          </cell>
        </row>
        <row r="2507">
          <cell r="A2507">
            <v>2.3549E-2</v>
          </cell>
        </row>
        <row r="2508">
          <cell r="A2508">
            <v>2.4462999999999999E-2</v>
          </cell>
        </row>
        <row r="2509">
          <cell r="A2509">
            <v>2.6106000000000001E-2</v>
          </cell>
        </row>
        <row r="2510">
          <cell r="A2510">
            <v>2.852E-2</v>
          </cell>
        </row>
        <row r="2511">
          <cell r="A2511">
            <v>2.1822000000000001E-2</v>
          </cell>
        </row>
        <row r="2512">
          <cell r="A2512">
            <v>1.5204000000000001E-2</v>
          </cell>
        </row>
        <row r="2513">
          <cell r="A2513">
            <v>2.5808999999999999E-2</v>
          </cell>
        </row>
        <row r="2514">
          <cell r="A2514">
            <v>2.5928E-2</v>
          </cell>
        </row>
        <row r="2515">
          <cell r="A2515">
            <v>1.9036000000000001E-2</v>
          </cell>
        </row>
        <row r="2516">
          <cell r="A2516">
            <v>2.0281E-2</v>
          </cell>
        </row>
        <row r="2517">
          <cell r="A2517">
            <v>2.1177999999999999E-2</v>
          </cell>
        </row>
        <row r="2518">
          <cell r="A2518">
            <v>2.5512E-2</v>
          </cell>
        </row>
        <row r="2519">
          <cell r="A2519">
            <v>2.2405999999999999E-2</v>
          </cell>
        </row>
        <row r="2520">
          <cell r="A2520">
            <v>1.8615E-2</v>
          </cell>
        </row>
        <row r="2521">
          <cell r="A2521">
            <v>2.232E-2</v>
          </cell>
        </row>
        <row r="2522">
          <cell r="A2522">
            <v>1.8525E-2</v>
          </cell>
        </row>
        <row r="2523">
          <cell r="A2523">
            <v>1.9411999999999999E-2</v>
          </cell>
        </row>
        <row r="2524">
          <cell r="A2524">
            <v>2.0223999999999999E-2</v>
          </cell>
        </row>
        <row r="2525">
          <cell r="A2525">
            <v>2.086E-2</v>
          </cell>
        </row>
        <row r="2526">
          <cell r="A2526">
            <v>3.6189999999999998E-3</v>
          </cell>
        </row>
        <row r="2527">
          <cell r="A2527">
            <v>1.8891000000000002E-2</v>
          </cell>
        </row>
        <row r="2528">
          <cell r="A2528">
            <v>1.9334E-2</v>
          </cell>
        </row>
        <row r="2529">
          <cell r="A2529">
            <v>2.1583999999999999E-2</v>
          </cell>
        </row>
        <row r="2530">
          <cell r="A2530">
            <v>1.8811000000000001E-2</v>
          </cell>
        </row>
        <row r="2531">
          <cell r="A2531">
            <v>1.9123000000000001E-2</v>
          </cell>
        </row>
        <row r="2532">
          <cell r="A2532">
            <v>1.9741999999999999E-2</v>
          </cell>
        </row>
        <row r="2533">
          <cell r="A2533">
            <v>2.034E-2</v>
          </cell>
        </row>
        <row r="2534">
          <cell r="A2534">
            <v>2.0500000000000001E-2</v>
          </cell>
        </row>
        <row r="2535">
          <cell r="A2535">
            <v>1.3006E-2</v>
          </cell>
        </row>
        <row r="2536">
          <cell r="A2536">
            <v>1.9602000000000001E-2</v>
          </cell>
        </row>
        <row r="2537">
          <cell r="A2537">
            <v>2.2751E-2</v>
          </cell>
        </row>
        <row r="2538">
          <cell r="A2538">
            <v>1.5765000000000001E-2</v>
          </cell>
        </row>
        <row r="2539">
          <cell r="A2539">
            <v>1.5914000000000001E-2</v>
          </cell>
        </row>
        <row r="2540">
          <cell r="A2540">
            <v>1.2141000000000001E-2</v>
          </cell>
        </row>
        <row r="2541">
          <cell r="A2541">
            <v>2.0306999999999999E-2</v>
          </cell>
        </row>
        <row r="2542">
          <cell r="A2542">
            <v>1.9564000000000002E-2</v>
          </cell>
        </row>
        <row r="2543">
          <cell r="A2543">
            <v>2.0185999999999999E-2</v>
          </cell>
        </row>
        <row r="2544">
          <cell r="A2544">
            <v>2.929E-2</v>
          </cell>
        </row>
        <row r="2545">
          <cell r="A2545">
            <v>1.6808E-2</v>
          </cell>
        </row>
        <row r="2546">
          <cell r="A2546">
            <v>2.0204E-2</v>
          </cell>
        </row>
        <row r="2547">
          <cell r="A2547">
            <v>2.2522E-2</v>
          </cell>
        </row>
        <row r="2548">
          <cell r="A2548">
            <v>1.1795E-2</v>
          </cell>
        </row>
        <row r="2549">
          <cell r="A2549">
            <v>1.3112E-2</v>
          </cell>
        </row>
        <row r="2550">
          <cell r="A2550">
            <v>1.6913999999999998E-2</v>
          </cell>
        </row>
        <row r="2551">
          <cell r="A2551">
            <v>1.7933999999999999E-2</v>
          </cell>
        </row>
        <row r="2552">
          <cell r="A2552">
            <v>1.9776999999999999E-2</v>
          </cell>
        </row>
        <row r="2553">
          <cell r="A2553">
            <v>2.2120999999999998E-2</v>
          </cell>
        </row>
        <row r="2554">
          <cell r="A2554">
            <v>2.3486E-2</v>
          </cell>
        </row>
        <row r="2555">
          <cell r="A2555">
            <v>1.9054000000000001E-2</v>
          </cell>
        </row>
        <row r="2556">
          <cell r="A2556">
            <v>8.0850000000000002E-3</v>
          </cell>
        </row>
        <row r="2557">
          <cell r="A2557">
            <v>1.8973E-2</v>
          </cell>
        </row>
        <row r="2558">
          <cell r="A2558">
            <v>2.3983999999999998E-2</v>
          </cell>
        </row>
        <row r="2559">
          <cell r="A2559">
            <v>1.9616999999999999E-2</v>
          </cell>
        </row>
        <row r="2560">
          <cell r="A2560">
            <v>1.7984E-2</v>
          </cell>
        </row>
        <row r="2561">
          <cell r="A2561">
            <v>2.1590000000000002E-2</v>
          </cell>
        </row>
        <row r="2562">
          <cell r="A2562">
            <v>1.8672999999999999E-2</v>
          </cell>
        </row>
        <row r="2563">
          <cell r="A2563">
            <v>1.3965E-2</v>
          </cell>
        </row>
        <row r="2564">
          <cell r="A2564">
            <v>1.8065000000000001E-2</v>
          </cell>
        </row>
        <row r="2565">
          <cell r="A2565">
            <v>1.9726E-2</v>
          </cell>
        </row>
        <row r="2566">
          <cell r="A2566">
            <v>1.9852999999999999E-2</v>
          </cell>
        </row>
        <row r="2567">
          <cell r="A2567">
            <v>2.1767999999999999E-2</v>
          </cell>
        </row>
        <row r="2568">
          <cell r="A2568">
            <v>1.9369000000000001E-2</v>
          </cell>
        </row>
        <row r="2569">
          <cell r="A2569">
            <v>1.4241999999999999E-2</v>
          </cell>
        </row>
        <row r="2570">
          <cell r="A2570">
            <v>1.5723999999999998E-2</v>
          </cell>
        </row>
        <row r="2571">
          <cell r="A2571">
            <v>1.7309999999999999E-2</v>
          </cell>
        </row>
        <row r="2572">
          <cell r="A2572">
            <v>1.9387000000000001E-2</v>
          </cell>
        </row>
        <row r="2573">
          <cell r="A2573">
            <v>2.0132000000000001E-2</v>
          </cell>
        </row>
        <row r="2574">
          <cell r="A2574">
            <v>2.1118999999999999E-2</v>
          </cell>
        </row>
        <row r="2575">
          <cell r="A2575">
            <v>2.6731000000000001E-2</v>
          </cell>
        </row>
        <row r="2576">
          <cell r="A2576">
            <v>9.9649999999999999E-3</v>
          </cell>
        </row>
        <row r="2577">
          <cell r="A2577">
            <v>1.5639E-2</v>
          </cell>
        </row>
        <row r="2578">
          <cell r="A2578">
            <v>1.7982999999999999E-2</v>
          </cell>
        </row>
        <row r="2579">
          <cell r="A2579">
            <v>2.3143E-2</v>
          </cell>
        </row>
        <row r="2580">
          <cell r="A2580">
            <v>2.5332E-2</v>
          </cell>
        </row>
        <row r="2581">
          <cell r="A2581">
            <v>1.7638999999999998E-2</v>
          </cell>
        </row>
        <row r="2582">
          <cell r="A2582">
            <v>2.3508000000000001E-2</v>
          </cell>
        </row>
        <row r="2583">
          <cell r="A2583">
            <v>2.0454E-2</v>
          </cell>
        </row>
        <row r="2584">
          <cell r="A2584">
            <v>1.3603000000000001E-2</v>
          </cell>
        </row>
        <row r="2585">
          <cell r="A2585">
            <v>1.8849000000000001E-2</v>
          </cell>
        </row>
        <row r="2586">
          <cell r="A2586">
            <v>1.8386E-2</v>
          </cell>
        </row>
        <row r="2587">
          <cell r="A2587">
            <v>1.8579999999999999E-2</v>
          </cell>
        </row>
        <row r="2588">
          <cell r="A2588">
            <v>1.9026000000000001E-2</v>
          </cell>
        </row>
        <row r="2589">
          <cell r="A2589">
            <v>2.7512999999999999E-2</v>
          </cell>
        </row>
        <row r="2590">
          <cell r="A2590">
            <v>1.8020000000000001E-2</v>
          </cell>
        </row>
        <row r="2591">
          <cell r="A2591">
            <v>1.8381999999999999E-2</v>
          </cell>
        </row>
        <row r="2592">
          <cell r="A2592">
            <v>1.9286000000000001E-2</v>
          </cell>
        </row>
        <row r="2593">
          <cell r="A2593">
            <v>2.3175999999999999E-2</v>
          </cell>
        </row>
        <row r="2594">
          <cell r="A2594">
            <v>1.3924000000000001E-2</v>
          </cell>
        </row>
        <row r="2595">
          <cell r="A2595">
            <v>1.8100000000000002E-2</v>
          </cell>
        </row>
        <row r="2596">
          <cell r="A2596">
            <v>2.5885999999999999E-2</v>
          </cell>
        </row>
        <row r="2597">
          <cell r="A2597">
            <v>1.7536E-2</v>
          </cell>
        </row>
        <row r="2598">
          <cell r="A2598">
            <v>1.4401000000000001E-2</v>
          </cell>
        </row>
        <row r="2599">
          <cell r="A2599">
            <v>1.5755000000000002E-2</v>
          </cell>
        </row>
        <row r="2600">
          <cell r="A2600">
            <v>2.2952E-2</v>
          </cell>
        </row>
        <row r="2601">
          <cell r="A2601">
            <v>1.9314000000000001E-2</v>
          </cell>
        </row>
        <row r="2602">
          <cell r="A2602">
            <v>2.0729000000000001E-2</v>
          </cell>
        </row>
        <row r="2603">
          <cell r="A2603">
            <v>2.0077999999999999E-2</v>
          </cell>
        </row>
        <row r="2604">
          <cell r="A2604">
            <v>2.3796999999999999E-2</v>
          </cell>
        </row>
        <row r="2605">
          <cell r="A2605">
            <v>1.4451E-2</v>
          </cell>
        </row>
        <row r="2606">
          <cell r="A2606">
            <v>2.0684999999999999E-2</v>
          </cell>
        </row>
        <row r="2607">
          <cell r="A2607">
            <v>1.8815999999999999E-2</v>
          </cell>
        </row>
        <row r="2608">
          <cell r="A2608">
            <v>2.1662000000000001E-2</v>
          </cell>
        </row>
        <row r="2609">
          <cell r="A2609">
            <v>2.5337999999999999E-2</v>
          </cell>
        </row>
        <row r="2610">
          <cell r="A2610">
            <v>1.3972E-2</v>
          </cell>
        </row>
        <row r="2611">
          <cell r="A2611">
            <v>1.8092E-2</v>
          </cell>
        </row>
        <row r="2612">
          <cell r="A2612">
            <v>1.8924E-2</v>
          </cell>
        </row>
        <row r="2613">
          <cell r="A2613">
            <v>1.3734E-2</v>
          </cell>
        </row>
        <row r="2614">
          <cell r="A2614">
            <v>1.7142000000000001E-2</v>
          </cell>
        </row>
        <row r="2615">
          <cell r="A2615">
            <v>2.0799999999999999E-2</v>
          </cell>
        </row>
        <row r="2616">
          <cell r="A2616">
            <v>2.3976999999999998E-2</v>
          </cell>
        </row>
        <row r="2617">
          <cell r="A2617">
            <v>2.4549999999999999E-2</v>
          </cell>
        </row>
        <row r="2618">
          <cell r="A2618">
            <v>1.4880000000000001E-2</v>
          </cell>
        </row>
        <row r="2619">
          <cell r="A2619">
            <v>1.8325999999999999E-2</v>
          </cell>
        </row>
        <row r="2620">
          <cell r="A2620">
            <v>8.8699999999999994E-3</v>
          </cell>
        </row>
        <row r="2621">
          <cell r="A2621">
            <v>2.6276999999999998E-2</v>
          </cell>
        </row>
        <row r="2622">
          <cell r="A2622">
            <v>1.6064999999999999E-2</v>
          </cell>
        </row>
        <row r="2623">
          <cell r="A2623">
            <v>1.9296000000000001E-2</v>
          </cell>
        </row>
        <row r="2624">
          <cell r="A2624">
            <v>2.4278999999999998E-2</v>
          </cell>
        </row>
        <row r="2625">
          <cell r="A2625">
            <v>2.2335000000000001E-2</v>
          </cell>
        </row>
        <row r="2626">
          <cell r="A2626">
            <v>1.7395000000000001E-2</v>
          </cell>
        </row>
        <row r="2627">
          <cell r="A2627">
            <v>1.9533999999999999E-2</v>
          </cell>
        </row>
        <row r="2628">
          <cell r="A2628">
            <v>2.3449000000000001E-2</v>
          </cell>
        </row>
        <row r="2629">
          <cell r="A2629">
            <v>2.5232999999999998E-2</v>
          </cell>
        </row>
        <row r="2630">
          <cell r="A2630">
            <v>2.6357999999999999E-2</v>
          </cell>
        </row>
        <row r="2631">
          <cell r="A2631">
            <v>1.7545999999999999E-2</v>
          </cell>
        </row>
        <row r="2632">
          <cell r="A2632">
            <v>1.8068000000000001E-2</v>
          </cell>
        </row>
        <row r="2633">
          <cell r="A2633">
            <v>1.9546000000000001E-2</v>
          </cell>
        </row>
        <row r="2634">
          <cell r="A2634">
            <v>2.2055000000000002E-2</v>
          </cell>
        </row>
        <row r="2635">
          <cell r="A2635">
            <v>1.9529000000000001E-2</v>
          </cell>
        </row>
        <row r="2636">
          <cell r="A2636">
            <v>2.3886999999999999E-2</v>
          </cell>
        </row>
        <row r="2637">
          <cell r="A2637">
            <v>1.8932000000000001E-2</v>
          </cell>
        </row>
        <row r="2638">
          <cell r="A2638">
            <v>2.1933999999999999E-2</v>
          </cell>
        </row>
        <row r="2639">
          <cell r="A2639">
            <v>2.3012000000000001E-2</v>
          </cell>
        </row>
        <row r="2640">
          <cell r="A2640">
            <v>2.4001000000000001E-2</v>
          </cell>
        </row>
        <row r="2641">
          <cell r="A2641">
            <v>2.4412E-2</v>
          </cell>
        </row>
        <row r="2642">
          <cell r="A2642">
            <v>2.5531000000000002E-2</v>
          </cell>
        </row>
        <row r="2643">
          <cell r="A2643">
            <v>1.1924000000000001E-2</v>
          </cell>
        </row>
        <row r="2644">
          <cell r="A2644">
            <v>2.2013000000000001E-2</v>
          </cell>
        </row>
        <row r="2645">
          <cell r="A2645">
            <v>2.1323999999999999E-2</v>
          </cell>
        </row>
        <row r="2646">
          <cell r="A2646">
            <v>1.7197E-2</v>
          </cell>
        </row>
        <row r="2647">
          <cell r="A2647">
            <v>1.5337999999999999E-2</v>
          </cell>
        </row>
        <row r="2648">
          <cell r="A2648">
            <v>1.9012000000000001E-2</v>
          </cell>
        </row>
        <row r="2649">
          <cell r="A2649">
            <v>1.9724999999999999E-2</v>
          </cell>
        </row>
        <row r="2650">
          <cell r="A2650">
            <v>1.9852000000000002E-2</v>
          </cell>
        </row>
        <row r="2651">
          <cell r="A2651">
            <v>2.2450000000000001E-2</v>
          </cell>
        </row>
        <row r="2652">
          <cell r="A2652">
            <v>1.2768E-2</v>
          </cell>
        </row>
        <row r="2653">
          <cell r="A2653">
            <v>1.8159999999999999E-2</v>
          </cell>
        </row>
        <row r="2654">
          <cell r="A2654">
            <v>2.2245000000000001E-2</v>
          </cell>
        </row>
        <row r="2655">
          <cell r="A2655">
            <v>1.7595E-2</v>
          </cell>
        </row>
        <row r="2656">
          <cell r="A2656">
            <v>1.1672999999999999E-2</v>
          </cell>
        </row>
        <row r="2657">
          <cell r="A2657">
            <v>1.6257000000000001E-2</v>
          </cell>
        </row>
        <row r="2658">
          <cell r="A2658">
            <v>1.4357999999999999E-2</v>
          </cell>
        </row>
        <row r="2659">
          <cell r="A2659">
            <v>1.2163E-2</v>
          </cell>
        </row>
        <row r="2660">
          <cell r="A2660">
            <v>2.3798E-2</v>
          </cell>
        </row>
        <row r="2661">
          <cell r="A2661">
            <v>1.3015000000000001E-2</v>
          </cell>
        </row>
        <row r="2662">
          <cell r="A2662">
            <v>1.8290000000000001E-2</v>
          </cell>
        </row>
        <row r="2663">
          <cell r="A2663">
            <v>1.3350000000000001E-2</v>
          </cell>
        </row>
        <row r="2664">
          <cell r="A2664">
            <v>2.2542E-2</v>
          </cell>
        </row>
        <row r="2665">
          <cell r="A2665">
            <v>2.3147999999999998E-2</v>
          </cell>
        </row>
        <row r="2666">
          <cell r="A2666">
            <v>2.4316999999999998E-2</v>
          </cell>
        </row>
        <row r="2667">
          <cell r="A2667">
            <v>1.1428000000000001E-2</v>
          </cell>
        </row>
        <row r="2668">
          <cell r="A2668">
            <v>2.4143000000000001E-2</v>
          </cell>
        </row>
        <row r="2669">
          <cell r="A2669">
            <v>2.4856E-2</v>
          </cell>
        </row>
        <row r="2670">
          <cell r="A2670">
            <v>1.7087999999999999E-2</v>
          </cell>
        </row>
        <row r="2671">
          <cell r="A2671">
            <v>1.6102000000000002E-2</v>
          </cell>
        </row>
        <row r="2672">
          <cell r="A2672">
            <v>1.7652000000000001E-2</v>
          </cell>
        </row>
        <row r="2673">
          <cell r="A2673">
            <v>1.8495999999999999E-2</v>
          </cell>
        </row>
        <row r="2674">
          <cell r="A2674">
            <v>1.9390000000000001E-2</v>
          </cell>
        </row>
        <row r="2675">
          <cell r="A2675">
            <v>1.8384999999999999E-2</v>
          </cell>
        </row>
        <row r="2676">
          <cell r="A2676">
            <v>1.6129000000000001E-2</v>
          </cell>
        </row>
        <row r="2677">
          <cell r="A2677">
            <v>1.7131E-2</v>
          </cell>
        </row>
        <row r="2678">
          <cell r="A2678">
            <v>2.3574999999999999E-2</v>
          </cell>
        </row>
        <row r="2679">
          <cell r="A2679">
            <v>1.8707000000000001E-2</v>
          </cell>
        </row>
        <row r="2680">
          <cell r="A2680">
            <v>1.8874999999999999E-2</v>
          </cell>
        </row>
        <row r="2681">
          <cell r="A2681">
            <v>2.6422000000000001E-2</v>
          </cell>
        </row>
        <row r="2682">
          <cell r="A2682">
            <v>1.2429000000000001E-2</v>
          </cell>
        </row>
        <row r="2683">
          <cell r="A2683">
            <v>1.3509E-2</v>
          </cell>
        </row>
        <row r="2684">
          <cell r="A2684">
            <v>1.7134E-2</v>
          </cell>
        </row>
        <row r="2685">
          <cell r="A2685">
            <v>1.9257E-2</v>
          </cell>
        </row>
        <row r="2686">
          <cell r="A2686">
            <v>1.9519999999999999E-2</v>
          </cell>
        </row>
        <row r="2687">
          <cell r="A2687">
            <v>1.8467999999999998E-2</v>
          </cell>
        </row>
        <row r="2688">
          <cell r="A2688">
            <v>2.1732000000000001E-2</v>
          </cell>
        </row>
        <row r="2689">
          <cell r="A2689">
            <v>2.2697999999999999E-2</v>
          </cell>
        </row>
        <row r="2690">
          <cell r="A2690">
            <v>8.6350000000000003E-3</v>
          </cell>
        </row>
        <row r="2691">
          <cell r="A2691">
            <v>2.2717999999999999E-2</v>
          </cell>
        </row>
        <row r="2692">
          <cell r="A2692">
            <v>2.325E-2</v>
          </cell>
        </row>
        <row r="2693">
          <cell r="A2693">
            <v>1.2942E-2</v>
          </cell>
        </row>
        <row r="2694">
          <cell r="A2694">
            <v>2.2488000000000001E-2</v>
          </cell>
        </row>
        <row r="2695">
          <cell r="A2695">
            <v>2.8004000000000001E-2</v>
          </cell>
        </row>
        <row r="2696">
          <cell r="A2696">
            <v>1.4328E-2</v>
          </cell>
        </row>
        <row r="2697">
          <cell r="A2697">
            <v>1.4663000000000001E-2</v>
          </cell>
        </row>
        <row r="2698">
          <cell r="A2698">
            <v>2.1873E-2</v>
          </cell>
        </row>
        <row r="2699">
          <cell r="A2699">
            <v>1.0829999999999999E-2</v>
          </cell>
        </row>
        <row r="2700">
          <cell r="A2700">
            <v>1.8921E-2</v>
          </cell>
        </row>
        <row r="2701">
          <cell r="A2701">
            <v>2.2936999999999999E-2</v>
          </cell>
        </row>
        <row r="2702">
          <cell r="A2702">
            <v>1.6839E-2</v>
          </cell>
        </row>
        <row r="2703">
          <cell r="A2703">
            <v>2.2002000000000001E-2</v>
          </cell>
        </row>
        <row r="2704">
          <cell r="A2704">
            <v>1.7051E-2</v>
          </cell>
        </row>
        <row r="2705">
          <cell r="A2705">
            <v>1.806E-2</v>
          </cell>
        </row>
        <row r="2706">
          <cell r="A2706">
            <v>2.3574999999999999E-2</v>
          </cell>
        </row>
        <row r="2707">
          <cell r="A2707">
            <v>2.103E-2</v>
          </cell>
        </row>
        <row r="2708">
          <cell r="A2708">
            <v>2.6179000000000001E-2</v>
          </cell>
        </row>
        <row r="2709">
          <cell r="A2709">
            <v>2.2099000000000001E-2</v>
          </cell>
        </row>
        <row r="2710">
          <cell r="A2710">
            <v>1.5962E-2</v>
          </cell>
        </row>
        <row r="2711">
          <cell r="A2711">
            <v>1.8516000000000001E-2</v>
          </cell>
        </row>
        <row r="2712">
          <cell r="A2712">
            <v>1.9016000000000002E-2</v>
          </cell>
        </row>
        <row r="2713">
          <cell r="A2713">
            <v>2.2744E-2</v>
          </cell>
        </row>
        <row r="2714">
          <cell r="A2714">
            <v>2.4931999999999999E-2</v>
          </cell>
        </row>
        <row r="2715">
          <cell r="A2715">
            <v>1.6101000000000001E-2</v>
          </cell>
        </row>
        <row r="2716">
          <cell r="A2716">
            <v>1.8384000000000001E-2</v>
          </cell>
        </row>
        <row r="2717">
          <cell r="A2717">
            <v>1.8498000000000001E-2</v>
          </cell>
        </row>
        <row r="2718">
          <cell r="A2718">
            <v>1.3254E-2</v>
          </cell>
        </row>
        <row r="2719">
          <cell r="A2719">
            <v>1.2212000000000001E-2</v>
          </cell>
        </row>
        <row r="2720">
          <cell r="A2720">
            <v>1.8127999999999998E-2</v>
          </cell>
        </row>
        <row r="2721">
          <cell r="A2721">
            <v>1.1619000000000001E-2</v>
          </cell>
        </row>
        <row r="2722">
          <cell r="A2722">
            <v>1.4795000000000001E-2</v>
          </cell>
        </row>
        <row r="2723">
          <cell r="A2723">
            <v>1.8540000000000001E-2</v>
          </cell>
        </row>
        <row r="2724">
          <cell r="A2724">
            <v>2.0992E-2</v>
          </cell>
        </row>
        <row r="2725">
          <cell r="A2725">
            <v>1.7408E-2</v>
          </cell>
        </row>
        <row r="2726">
          <cell r="A2726">
            <v>1.8609000000000001E-2</v>
          </cell>
        </row>
        <row r="2727">
          <cell r="A2727">
            <v>2.2114999999999999E-2</v>
          </cell>
        </row>
        <row r="2728">
          <cell r="A2728">
            <v>1.8610999999999999E-2</v>
          </cell>
        </row>
        <row r="2729">
          <cell r="A2729">
            <v>2.1114000000000001E-2</v>
          </cell>
        </row>
        <row r="2730">
          <cell r="A2730">
            <v>1.7624000000000001E-2</v>
          </cell>
        </row>
        <row r="2731">
          <cell r="A2731">
            <v>2.2703999999999998E-2</v>
          </cell>
        </row>
        <row r="2732">
          <cell r="A2732">
            <v>2.4337000000000001E-2</v>
          </cell>
        </row>
        <row r="2733">
          <cell r="A2733">
            <v>2.0802999999999999E-2</v>
          </cell>
        </row>
        <row r="2734">
          <cell r="A2734">
            <v>2.0355999999999999E-2</v>
          </cell>
        </row>
        <row r="2735">
          <cell r="A2735">
            <v>1.4069999999999999E-2</v>
          </cell>
        </row>
        <row r="2736">
          <cell r="A2736">
            <v>2.2043E-2</v>
          </cell>
        </row>
        <row r="2737">
          <cell r="A2737">
            <v>2.7210000000000002E-2</v>
          </cell>
        </row>
        <row r="2738">
          <cell r="A2738">
            <v>1.6832E-2</v>
          </cell>
        </row>
        <row r="2739">
          <cell r="A2739">
            <v>1.8956000000000001E-2</v>
          </cell>
        </row>
        <row r="2740">
          <cell r="A2740">
            <v>1.9737000000000001E-2</v>
          </cell>
        </row>
        <row r="2741">
          <cell r="A2741">
            <v>2.1080999999999999E-2</v>
          </cell>
        </row>
        <row r="2742">
          <cell r="A2742">
            <v>2.1829000000000001E-2</v>
          </cell>
        </row>
        <row r="2743">
          <cell r="A2743">
            <v>1.2710000000000001E-2</v>
          </cell>
        </row>
        <row r="2744">
          <cell r="A2744">
            <v>2.0517000000000001E-2</v>
          </cell>
        </row>
        <row r="2745">
          <cell r="A2745">
            <v>2.1655000000000001E-2</v>
          </cell>
        </row>
        <row r="2746">
          <cell r="A2746">
            <v>1.5282E-2</v>
          </cell>
        </row>
        <row r="2747">
          <cell r="A2747">
            <v>1.8193000000000001E-2</v>
          </cell>
        </row>
        <row r="2748">
          <cell r="A2748">
            <v>1.5492000000000001E-2</v>
          </cell>
        </row>
        <row r="2749">
          <cell r="A2749">
            <v>1.7330999999999999E-2</v>
          </cell>
        </row>
        <row r="2750">
          <cell r="A2750">
            <v>1.8523999999999999E-2</v>
          </cell>
        </row>
        <row r="2751">
          <cell r="A2751">
            <v>1.8678E-2</v>
          </cell>
        </row>
        <row r="2752">
          <cell r="A2752">
            <v>1.8102E-2</v>
          </cell>
        </row>
        <row r="2753">
          <cell r="A2753">
            <v>1.9702000000000001E-2</v>
          </cell>
        </row>
        <row r="2754">
          <cell r="A2754">
            <v>2.3609000000000002E-2</v>
          </cell>
        </row>
        <row r="2755">
          <cell r="A2755">
            <v>1.6383000000000002E-2</v>
          </cell>
        </row>
        <row r="2756">
          <cell r="A2756">
            <v>1.9314000000000001E-2</v>
          </cell>
        </row>
        <row r="2757">
          <cell r="A2757">
            <v>1.6362999999999999E-2</v>
          </cell>
        </row>
        <row r="2758">
          <cell r="A2758">
            <v>1.9727000000000001E-2</v>
          </cell>
        </row>
        <row r="2759">
          <cell r="A2759">
            <v>1.9900999999999999E-2</v>
          </cell>
        </row>
        <row r="2760">
          <cell r="A2760">
            <v>2.0694000000000001E-2</v>
          </cell>
        </row>
        <row r="2761">
          <cell r="A2761">
            <v>1.7892000000000002E-2</v>
          </cell>
        </row>
        <row r="2762">
          <cell r="A2762">
            <v>1.6206000000000002E-2</v>
          </cell>
        </row>
        <row r="2763">
          <cell r="A2763">
            <v>1.6806000000000001E-2</v>
          </cell>
        </row>
        <row r="2764">
          <cell r="A2764">
            <v>2.0704E-2</v>
          </cell>
        </row>
        <row r="2765">
          <cell r="A2765">
            <v>2.6424E-2</v>
          </cell>
        </row>
        <row r="2766">
          <cell r="A2766">
            <v>2.3994000000000001E-2</v>
          </cell>
        </row>
        <row r="2767">
          <cell r="A2767">
            <v>1.4342000000000001E-2</v>
          </cell>
        </row>
        <row r="2768">
          <cell r="A2768">
            <v>2.2585999999999998E-2</v>
          </cell>
        </row>
        <row r="2769">
          <cell r="A2769">
            <v>2.2964999999999999E-2</v>
          </cell>
        </row>
        <row r="2770">
          <cell r="A2770">
            <v>2.4827999999999999E-2</v>
          </cell>
        </row>
        <row r="2771">
          <cell r="A2771">
            <v>2.0237000000000002E-2</v>
          </cell>
        </row>
        <row r="2772">
          <cell r="A2772">
            <v>1.8770999999999999E-2</v>
          </cell>
        </row>
        <row r="2773">
          <cell r="A2773">
            <v>2.0018000000000001E-2</v>
          </cell>
        </row>
        <row r="2774">
          <cell r="A2774">
            <v>2.1462999999999999E-2</v>
          </cell>
        </row>
        <row r="2775">
          <cell r="A2775">
            <v>1.9463000000000001E-2</v>
          </cell>
        </row>
        <row r="2776">
          <cell r="A2776">
            <v>2.0861999999999999E-2</v>
          </cell>
        </row>
        <row r="2777">
          <cell r="A2777">
            <v>2.0378E-2</v>
          </cell>
        </row>
        <row r="2778">
          <cell r="A2778">
            <v>2.4122000000000001E-2</v>
          </cell>
        </row>
        <row r="2779">
          <cell r="A2779">
            <v>1.2944000000000001E-2</v>
          </cell>
        </row>
        <row r="2780">
          <cell r="A2780">
            <v>2.3460000000000002E-2</v>
          </cell>
        </row>
        <row r="2781">
          <cell r="A2781">
            <v>2.2761E-2</v>
          </cell>
        </row>
        <row r="2782">
          <cell r="A2782">
            <v>1.3474E-2</v>
          </cell>
        </row>
        <row r="2783">
          <cell r="A2783">
            <v>1.8038999999999999E-2</v>
          </cell>
        </row>
        <row r="2784">
          <cell r="A2784">
            <v>2.2818999999999999E-2</v>
          </cell>
        </row>
        <row r="2785">
          <cell r="A2785">
            <v>2.564E-2</v>
          </cell>
        </row>
        <row r="2786">
          <cell r="A2786">
            <v>1.7389000000000002E-2</v>
          </cell>
        </row>
        <row r="2787">
          <cell r="A2787">
            <v>1.8467999999999998E-2</v>
          </cell>
        </row>
        <row r="2788">
          <cell r="A2788">
            <v>1.6587000000000001E-2</v>
          </cell>
        </row>
        <row r="2789">
          <cell r="A2789">
            <v>1.8369E-2</v>
          </cell>
        </row>
        <row r="2790">
          <cell r="A2790">
            <v>1.8627999999999999E-2</v>
          </cell>
        </row>
        <row r="2791">
          <cell r="A2791">
            <v>1.3493E-2</v>
          </cell>
        </row>
        <row r="2792">
          <cell r="A2792">
            <v>1.7114000000000001E-2</v>
          </cell>
        </row>
        <row r="2793">
          <cell r="A2793">
            <v>1.9451E-2</v>
          </cell>
        </row>
        <row r="2794">
          <cell r="A2794">
            <v>2.0549000000000001E-2</v>
          </cell>
        </row>
        <row r="2795">
          <cell r="A2795">
            <v>1.3465E-2</v>
          </cell>
        </row>
        <row r="2796">
          <cell r="A2796">
            <v>1.6008000000000001E-2</v>
          </cell>
        </row>
        <row r="2797">
          <cell r="A2797">
            <v>1.3816999999999999E-2</v>
          </cell>
        </row>
        <row r="2798">
          <cell r="A2798">
            <v>1.8797999999999999E-2</v>
          </cell>
        </row>
        <row r="2799">
          <cell r="A2799">
            <v>1.7382999999999999E-2</v>
          </cell>
        </row>
        <row r="2800">
          <cell r="A2800">
            <v>1.6622999999999999E-2</v>
          </cell>
        </row>
        <row r="2801">
          <cell r="A2801">
            <v>1.7654E-2</v>
          </cell>
        </row>
        <row r="2802">
          <cell r="A2802">
            <v>1.2883E-2</v>
          </cell>
        </row>
        <row r="2803">
          <cell r="A2803">
            <v>1.9248000000000001E-2</v>
          </cell>
        </row>
        <row r="2804">
          <cell r="A2804">
            <v>1.9744999999999999E-2</v>
          </cell>
        </row>
        <row r="2805">
          <cell r="A2805">
            <v>1.7537000000000001E-2</v>
          </cell>
        </row>
        <row r="2806">
          <cell r="A2806">
            <v>1.8551999999999999E-2</v>
          </cell>
        </row>
        <row r="2807">
          <cell r="A2807">
            <v>2.1256000000000001E-2</v>
          </cell>
        </row>
        <row r="2808">
          <cell r="A2808">
            <v>2.1533E-2</v>
          </cell>
        </row>
        <row r="2809">
          <cell r="A2809">
            <v>2.3689999999999999E-2</v>
          </cell>
        </row>
        <row r="2810">
          <cell r="A2810">
            <v>2.4849E-2</v>
          </cell>
        </row>
        <row r="2811">
          <cell r="A2811">
            <v>1.592E-2</v>
          </cell>
        </row>
        <row r="2812">
          <cell r="A2812">
            <v>1.8929999999999999E-2</v>
          </cell>
        </row>
        <row r="2813">
          <cell r="A2813">
            <v>2.1055000000000001E-2</v>
          </cell>
        </row>
        <row r="2814">
          <cell r="A2814">
            <v>1.2605E-2</v>
          </cell>
        </row>
        <row r="2815">
          <cell r="A2815">
            <v>1.9202E-2</v>
          </cell>
        </row>
        <row r="2816">
          <cell r="A2816">
            <v>2.5239000000000001E-2</v>
          </cell>
        </row>
        <row r="2817">
          <cell r="A2817">
            <v>1.1809E-2</v>
          </cell>
        </row>
        <row r="2818">
          <cell r="A2818">
            <v>1.7788999999999999E-2</v>
          </cell>
        </row>
        <row r="2819">
          <cell r="A2819">
            <v>1.7999000000000001E-2</v>
          </cell>
        </row>
        <row r="2820">
          <cell r="A2820">
            <v>1.7305000000000001E-2</v>
          </cell>
        </row>
        <row r="2821">
          <cell r="A2821">
            <v>2.0614E-2</v>
          </cell>
        </row>
        <row r="2822">
          <cell r="A2822">
            <v>2.1852E-2</v>
          </cell>
        </row>
        <row r="2823">
          <cell r="A2823">
            <v>1.9186000000000002E-2</v>
          </cell>
        </row>
        <row r="2824">
          <cell r="A2824">
            <v>1.9779999999999999E-2</v>
          </cell>
        </row>
        <row r="2825">
          <cell r="A2825">
            <v>1.8638999999999999E-2</v>
          </cell>
        </row>
        <row r="2826">
          <cell r="A2826">
            <v>1.7357000000000001E-2</v>
          </cell>
        </row>
        <row r="2827">
          <cell r="A2827">
            <v>1.8312999999999999E-2</v>
          </cell>
        </row>
        <row r="2828">
          <cell r="A2828">
            <v>1.8369E-2</v>
          </cell>
        </row>
        <row r="2829">
          <cell r="A2829">
            <v>1.9924000000000001E-2</v>
          </cell>
        </row>
        <row r="2830">
          <cell r="A2830">
            <v>2.2481999999999999E-2</v>
          </cell>
        </row>
        <row r="2831">
          <cell r="A2831">
            <v>2.3480000000000001E-2</v>
          </cell>
        </row>
        <row r="2832">
          <cell r="A2832">
            <v>1.375E-2</v>
          </cell>
        </row>
        <row r="2833">
          <cell r="A2833">
            <v>2.1174999999999999E-2</v>
          </cell>
        </row>
        <row r="2834">
          <cell r="A2834">
            <v>1.3153E-2</v>
          </cell>
        </row>
        <row r="2835">
          <cell r="A2835">
            <v>2.3422999999999999E-2</v>
          </cell>
        </row>
        <row r="2836">
          <cell r="A2836">
            <v>1.5953999999999999E-2</v>
          </cell>
        </row>
        <row r="2837">
          <cell r="A2837">
            <v>1.8419000000000001E-2</v>
          </cell>
        </row>
        <row r="2838">
          <cell r="A2838">
            <v>1.9262000000000001E-2</v>
          </cell>
        </row>
        <row r="2839">
          <cell r="A2839">
            <v>1.2326999999999999E-2</v>
          </cell>
        </row>
        <row r="2840">
          <cell r="A2840">
            <v>1.821E-2</v>
          </cell>
        </row>
        <row r="2841">
          <cell r="A2841">
            <v>1.5122E-2</v>
          </cell>
        </row>
        <row r="2842">
          <cell r="A2842">
            <v>2.0736999999999998E-2</v>
          </cell>
        </row>
        <row r="2843">
          <cell r="A2843">
            <v>1.8565999999999999E-2</v>
          </cell>
        </row>
        <row r="2844">
          <cell r="A2844">
            <v>1.7444000000000001E-2</v>
          </cell>
        </row>
        <row r="2845">
          <cell r="A2845">
            <v>1.3386E-2</v>
          </cell>
        </row>
        <row r="2846">
          <cell r="A2846">
            <v>1.7316000000000002E-2</v>
          </cell>
        </row>
        <row r="2847">
          <cell r="A2847">
            <v>2.0483999999999999E-2</v>
          </cell>
        </row>
        <row r="2848">
          <cell r="A2848">
            <v>2.1233999999999999E-2</v>
          </cell>
        </row>
        <row r="2849">
          <cell r="A2849">
            <v>1.5379E-2</v>
          </cell>
        </row>
        <row r="2850">
          <cell r="A2850">
            <v>1.8457000000000001E-2</v>
          </cell>
        </row>
        <row r="2851">
          <cell r="A2851">
            <v>2.2841E-2</v>
          </cell>
        </row>
        <row r="2852">
          <cell r="A2852">
            <v>2.2013999999999999E-2</v>
          </cell>
        </row>
        <row r="2853">
          <cell r="A2853">
            <v>2.3663E-2</v>
          </cell>
        </row>
        <row r="2854">
          <cell r="A2854">
            <v>1.8537999999999999E-2</v>
          </cell>
        </row>
        <row r="2855">
          <cell r="A2855">
            <v>2.0295000000000001E-2</v>
          </cell>
        </row>
        <row r="2856">
          <cell r="A2856">
            <v>1.9862000000000001E-2</v>
          </cell>
        </row>
        <row r="2857">
          <cell r="A2857">
            <v>2.0604999999999998E-2</v>
          </cell>
        </row>
        <row r="2858">
          <cell r="A2858">
            <v>2.3213000000000001E-2</v>
          </cell>
        </row>
        <row r="2859">
          <cell r="A2859">
            <v>1.7520999999999998E-2</v>
          </cell>
        </row>
        <row r="2860">
          <cell r="A2860">
            <v>1.7603000000000001E-2</v>
          </cell>
        </row>
        <row r="2861">
          <cell r="A2861">
            <v>2.1069999999999998E-2</v>
          </cell>
        </row>
        <row r="2862">
          <cell r="A2862">
            <v>2.1555000000000001E-2</v>
          </cell>
        </row>
        <row r="2863">
          <cell r="A2863">
            <v>2.1839999999999998E-2</v>
          </cell>
        </row>
        <row r="2864">
          <cell r="A2864">
            <v>2.1916999999999999E-2</v>
          </cell>
        </row>
        <row r="2865">
          <cell r="A2865">
            <v>2.4972000000000001E-2</v>
          </cell>
        </row>
        <row r="2866">
          <cell r="A2866">
            <v>1.1816999999999999E-2</v>
          </cell>
        </row>
        <row r="2867">
          <cell r="A2867">
            <v>2.0878000000000001E-2</v>
          </cell>
        </row>
        <row r="2868">
          <cell r="A2868">
            <v>1.7774999999999999E-2</v>
          </cell>
        </row>
        <row r="2869">
          <cell r="A2869">
            <v>1.5675999999999999E-2</v>
          </cell>
        </row>
        <row r="2870">
          <cell r="A2870">
            <v>2.3272000000000001E-2</v>
          </cell>
        </row>
        <row r="2871">
          <cell r="A2871">
            <v>2.1356E-2</v>
          </cell>
        </row>
        <row r="2872">
          <cell r="A2872">
            <v>2.1804E-2</v>
          </cell>
        </row>
        <row r="2873">
          <cell r="A2873">
            <v>2.2488999999999999E-2</v>
          </cell>
        </row>
        <row r="2874">
          <cell r="A2874">
            <v>2.0612999999999999E-2</v>
          </cell>
        </row>
        <row r="2875">
          <cell r="A2875">
            <v>1.1641E-2</v>
          </cell>
        </row>
        <row r="2876">
          <cell r="A2876">
            <v>1.8293E-2</v>
          </cell>
        </row>
        <row r="2877">
          <cell r="A2877">
            <v>1.0952E-2</v>
          </cell>
        </row>
        <row r="2878">
          <cell r="A2878">
            <v>1.7999999999999999E-2</v>
          </cell>
        </row>
        <row r="2879">
          <cell r="A2879">
            <v>1.985E-2</v>
          </cell>
        </row>
        <row r="2880">
          <cell r="A2880">
            <v>1.7507999999999999E-2</v>
          </cell>
        </row>
        <row r="2881">
          <cell r="A2881">
            <v>2.0886999999999999E-2</v>
          </cell>
        </row>
        <row r="2882">
          <cell r="A2882">
            <v>1.6796999999999999E-2</v>
          </cell>
        </row>
        <row r="2883">
          <cell r="A2883">
            <v>1.8863999999999999E-2</v>
          </cell>
        </row>
        <row r="2884">
          <cell r="A2884">
            <v>2.1179E-2</v>
          </cell>
        </row>
        <row r="2885">
          <cell r="A2885">
            <v>1.7697999999999998E-2</v>
          </cell>
        </row>
        <row r="2886">
          <cell r="A2886">
            <v>2.5080999999999999E-2</v>
          </cell>
        </row>
        <row r="2887">
          <cell r="A2887">
            <v>1.8120000000000001E-2</v>
          </cell>
        </row>
        <row r="2888">
          <cell r="A2888">
            <v>2.0875999999999999E-2</v>
          </cell>
        </row>
        <row r="2889">
          <cell r="A2889">
            <v>1.6877E-2</v>
          </cell>
        </row>
        <row r="2890">
          <cell r="A2890">
            <v>2.2200999999999999E-2</v>
          </cell>
        </row>
        <row r="2891">
          <cell r="A2891">
            <v>2.5010999999999999E-2</v>
          </cell>
        </row>
        <row r="2892">
          <cell r="A2892">
            <v>1.9611E-2</v>
          </cell>
        </row>
        <row r="2893">
          <cell r="A2893">
            <v>1.6310000000000002E-2</v>
          </cell>
        </row>
        <row r="2894">
          <cell r="A2894">
            <v>1.8997E-2</v>
          </cell>
        </row>
        <row r="2895">
          <cell r="A2895">
            <v>1.4565E-2</v>
          </cell>
        </row>
        <row r="2896">
          <cell r="A2896">
            <v>1.6827999999999999E-2</v>
          </cell>
        </row>
        <row r="2897">
          <cell r="A2897">
            <v>1.6871000000000001E-2</v>
          </cell>
        </row>
        <row r="2898">
          <cell r="A2898">
            <v>1.8844E-2</v>
          </cell>
        </row>
        <row r="2899">
          <cell r="A2899">
            <v>1.6018000000000001E-2</v>
          </cell>
        </row>
        <row r="2900">
          <cell r="A2900">
            <v>2.0832E-2</v>
          </cell>
        </row>
        <row r="2901">
          <cell r="A2901">
            <v>1.7489999999999999E-2</v>
          </cell>
        </row>
        <row r="2902">
          <cell r="A2902">
            <v>2.1486000000000002E-2</v>
          </cell>
        </row>
        <row r="2903">
          <cell r="A2903">
            <v>1.7655000000000001E-2</v>
          </cell>
        </row>
        <row r="2904">
          <cell r="A2904">
            <v>1.3354E-2</v>
          </cell>
        </row>
        <row r="2905">
          <cell r="A2905">
            <v>2.4201E-2</v>
          </cell>
        </row>
        <row r="2906">
          <cell r="A2906">
            <v>1.7538999999999999E-2</v>
          </cell>
        </row>
        <row r="2907">
          <cell r="A2907">
            <v>1.3558000000000001E-2</v>
          </cell>
        </row>
        <row r="2908">
          <cell r="A2908">
            <v>2.3238999999999999E-2</v>
          </cell>
        </row>
        <row r="2909">
          <cell r="A2909">
            <v>1.4817E-2</v>
          </cell>
        </row>
        <row r="2910">
          <cell r="A2910">
            <v>1.9026000000000001E-2</v>
          </cell>
        </row>
        <row r="2911">
          <cell r="A2911">
            <v>2.0336E-2</v>
          </cell>
        </row>
        <row r="2912">
          <cell r="A2912">
            <v>1.2305999999999999E-2</v>
          </cell>
        </row>
        <row r="2913">
          <cell r="A2913">
            <v>1.423E-2</v>
          </cell>
        </row>
        <row r="2914">
          <cell r="A2914">
            <v>2.4346E-2</v>
          </cell>
        </row>
        <row r="2915">
          <cell r="A2915">
            <v>1.8057E-2</v>
          </cell>
        </row>
        <row r="2916">
          <cell r="A2916">
            <v>1.7349E-2</v>
          </cell>
        </row>
        <row r="2917">
          <cell r="A2917">
            <v>1.7342E-2</v>
          </cell>
        </row>
        <row r="2918">
          <cell r="A2918">
            <v>1.7746999999999999E-2</v>
          </cell>
        </row>
        <row r="2919">
          <cell r="A2919">
            <v>1.7947000000000001E-2</v>
          </cell>
        </row>
        <row r="2920">
          <cell r="A2920">
            <v>1.7866E-2</v>
          </cell>
        </row>
        <row r="2921">
          <cell r="A2921">
            <v>1.8799E-2</v>
          </cell>
        </row>
        <row r="2922">
          <cell r="A2922">
            <v>1.9373999999999999E-2</v>
          </cell>
        </row>
        <row r="2923">
          <cell r="A2923">
            <v>1.8346999999999999E-2</v>
          </cell>
        </row>
        <row r="2924">
          <cell r="A2924">
            <v>2.2542E-2</v>
          </cell>
        </row>
        <row r="2925">
          <cell r="A2925">
            <v>1.7224E-2</v>
          </cell>
        </row>
        <row r="2926">
          <cell r="A2926">
            <v>1.7203E-2</v>
          </cell>
        </row>
        <row r="2927">
          <cell r="A2927">
            <v>2.1184999999999999E-2</v>
          </cell>
        </row>
        <row r="2928">
          <cell r="A2928">
            <v>1.5900000000000001E-2</v>
          </cell>
        </row>
        <row r="2929">
          <cell r="A2929">
            <v>1.9657999999999998E-2</v>
          </cell>
        </row>
        <row r="2930">
          <cell r="A2930">
            <v>1.9456000000000001E-2</v>
          </cell>
        </row>
        <row r="2931">
          <cell r="A2931">
            <v>1.9834000000000001E-2</v>
          </cell>
        </row>
        <row r="2932">
          <cell r="A2932">
            <v>2.1669000000000001E-2</v>
          </cell>
        </row>
        <row r="2933">
          <cell r="A2933">
            <v>2.01E-2</v>
          </cell>
        </row>
        <row r="2934">
          <cell r="A2934">
            <v>2.2303E-2</v>
          </cell>
        </row>
        <row r="2935">
          <cell r="A2935">
            <v>1.3849999999999999E-2</v>
          </cell>
        </row>
        <row r="2936">
          <cell r="A2936">
            <v>2.0281E-2</v>
          </cell>
        </row>
        <row r="2937">
          <cell r="A2937">
            <v>1.6652E-2</v>
          </cell>
        </row>
        <row r="2938">
          <cell r="A2938">
            <v>1.8397E-2</v>
          </cell>
        </row>
        <row r="2939">
          <cell r="A2939">
            <v>2.0801E-2</v>
          </cell>
        </row>
        <row r="2940">
          <cell r="A2940">
            <v>2.4566999999999999E-2</v>
          </cell>
        </row>
        <row r="2941">
          <cell r="A2941">
            <v>1.4733E-2</v>
          </cell>
        </row>
        <row r="2942">
          <cell r="A2942">
            <v>1.2664999999999999E-2</v>
          </cell>
        </row>
        <row r="2943">
          <cell r="A2943">
            <v>1.6413000000000001E-2</v>
          </cell>
        </row>
        <row r="2944">
          <cell r="A2944">
            <v>1.7783E-2</v>
          </cell>
        </row>
        <row r="2945">
          <cell r="A2945">
            <v>1.3424E-2</v>
          </cell>
        </row>
        <row r="2946">
          <cell r="A2946">
            <v>1.5866999999999999E-2</v>
          </cell>
        </row>
        <row r="2947">
          <cell r="A2947">
            <v>1.8369E-2</v>
          </cell>
        </row>
        <row r="2948">
          <cell r="A2948">
            <v>2.1699E-2</v>
          </cell>
        </row>
        <row r="2949">
          <cell r="A2949">
            <v>1.4888E-2</v>
          </cell>
        </row>
        <row r="2950">
          <cell r="A2950">
            <v>2.1669999999999998E-2</v>
          </cell>
        </row>
        <row r="2951">
          <cell r="A2951">
            <v>1.7690999999999998E-2</v>
          </cell>
        </row>
        <row r="2952">
          <cell r="A2952">
            <v>1.8227E-2</v>
          </cell>
        </row>
        <row r="2953">
          <cell r="A2953">
            <v>1.8876E-2</v>
          </cell>
        </row>
        <row r="2954">
          <cell r="A2954">
            <v>1.2951000000000001E-2</v>
          </cell>
        </row>
        <row r="2955">
          <cell r="A2955">
            <v>1.3213000000000001E-2</v>
          </cell>
        </row>
        <row r="2956">
          <cell r="A2956">
            <v>2.1017000000000001E-2</v>
          </cell>
        </row>
        <row r="2957">
          <cell r="A2957">
            <v>2.3515999999999999E-2</v>
          </cell>
        </row>
        <row r="2958">
          <cell r="A2958">
            <v>1.9938999999999998E-2</v>
          </cell>
        </row>
        <row r="2959">
          <cell r="A2959">
            <v>1.0666E-2</v>
          </cell>
        </row>
        <row r="2960">
          <cell r="A2960">
            <v>1.4076E-2</v>
          </cell>
        </row>
        <row r="2961">
          <cell r="A2961">
            <v>1.3849999999999999E-2</v>
          </cell>
        </row>
        <row r="2962">
          <cell r="A2962">
            <v>2.2249999999999999E-2</v>
          </cell>
        </row>
        <row r="2963">
          <cell r="A2963">
            <v>1.1599E-2</v>
          </cell>
        </row>
        <row r="2964">
          <cell r="A2964">
            <v>2.0275000000000001E-2</v>
          </cell>
        </row>
        <row r="2965">
          <cell r="A2965">
            <v>2.3598999999999998E-2</v>
          </cell>
        </row>
        <row r="2966">
          <cell r="A2966">
            <v>2.4420000000000001E-2</v>
          </cell>
        </row>
        <row r="2967">
          <cell r="A2967">
            <v>1.3679999999999999E-2</v>
          </cell>
        </row>
        <row r="2968">
          <cell r="A2968">
            <v>1.9710999999999999E-2</v>
          </cell>
        </row>
        <row r="2969">
          <cell r="A2969">
            <v>2.2218000000000002E-2</v>
          </cell>
        </row>
        <row r="2970">
          <cell r="A2970">
            <v>1.7684999999999999E-2</v>
          </cell>
        </row>
        <row r="2971">
          <cell r="A2971">
            <v>1.7413000000000001E-2</v>
          </cell>
        </row>
        <row r="2972">
          <cell r="A2972">
            <v>2.1958999999999999E-2</v>
          </cell>
        </row>
        <row r="2973">
          <cell r="A2973">
            <v>1.3493E-2</v>
          </cell>
        </row>
        <row r="2974">
          <cell r="A2974">
            <v>1.8211999999999999E-2</v>
          </cell>
        </row>
        <row r="2975">
          <cell r="A2975">
            <v>1.0730999999999999E-2</v>
          </cell>
        </row>
        <row r="2976">
          <cell r="A2976">
            <v>2.0910999999999999E-2</v>
          </cell>
        </row>
        <row r="2977">
          <cell r="A2977">
            <v>2.3130000000000001E-2</v>
          </cell>
        </row>
        <row r="2978">
          <cell r="A2978">
            <v>1.8127999999999998E-2</v>
          </cell>
        </row>
        <row r="2979">
          <cell r="A2979">
            <v>1.8454000000000002E-2</v>
          </cell>
        </row>
        <row r="2980">
          <cell r="A2980">
            <v>1.9338999999999999E-2</v>
          </cell>
        </row>
        <row r="2981">
          <cell r="A2981">
            <v>1.7049999999999999E-2</v>
          </cell>
        </row>
        <row r="2982">
          <cell r="A2982">
            <v>2.2438E-2</v>
          </cell>
        </row>
        <row r="2983">
          <cell r="A2983">
            <v>7.8969999999999995E-3</v>
          </cell>
        </row>
        <row r="2984">
          <cell r="A2984">
            <v>1.3143999999999999E-2</v>
          </cell>
        </row>
        <row r="2985">
          <cell r="A2985">
            <v>1.9032E-2</v>
          </cell>
        </row>
        <row r="2986">
          <cell r="A2986">
            <v>2.3706000000000001E-2</v>
          </cell>
        </row>
        <row r="2987">
          <cell r="A2987">
            <v>2.1648000000000001E-2</v>
          </cell>
        </row>
        <row r="2988">
          <cell r="A2988">
            <v>1.5263000000000001E-2</v>
          </cell>
        </row>
        <row r="2989">
          <cell r="A2989">
            <v>1.9923E-2</v>
          </cell>
        </row>
        <row r="2990">
          <cell r="A2990">
            <v>2.4981E-2</v>
          </cell>
        </row>
        <row r="2991">
          <cell r="A2991">
            <v>1.9449999999999999E-2</v>
          </cell>
        </row>
        <row r="2992">
          <cell r="A2992">
            <v>1.3799000000000001E-2</v>
          </cell>
        </row>
        <row r="2993">
          <cell r="A2993">
            <v>1.2345999999999999E-2</v>
          </cell>
        </row>
        <row r="2994">
          <cell r="A2994">
            <v>2.1281000000000001E-2</v>
          </cell>
        </row>
        <row r="2995">
          <cell r="A2995">
            <v>1.9982E-2</v>
          </cell>
        </row>
        <row r="2996">
          <cell r="A2996">
            <v>2.4927999999999999E-2</v>
          </cell>
        </row>
        <row r="2997">
          <cell r="A2997">
            <v>1.7565999999999998E-2</v>
          </cell>
        </row>
        <row r="2998">
          <cell r="A2998">
            <v>1.7455999999999999E-2</v>
          </cell>
        </row>
        <row r="2999">
          <cell r="A2999">
            <v>1.4049000000000001E-2</v>
          </cell>
        </row>
        <row r="3000">
          <cell r="A3000">
            <v>1.4296E-2</v>
          </cell>
        </row>
        <row r="3001">
          <cell r="A3001">
            <v>2.2356999999999998E-2</v>
          </cell>
        </row>
        <row r="3002">
          <cell r="A3002">
            <v>2.3203000000000001E-2</v>
          </cell>
        </row>
        <row r="3003">
          <cell r="A3003">
            <v>1.3553000000000001E-2</v>
          </cell>
        </row>
        <row r="3004">
          <cell r="A3004">
            <v>2.0670999999999998E-2</v>
          </cell>
        </row>
        <row r="3005">
          <cell r="A3005">
            <v>2.1166999999999998E-2</v>
          </cell>
        </row>
        <row r="3006">
          <cell r="A3006">
            <v>1.2069E-2</v>
          </cell>
        </row>
        <row r="3007">
          <cell r="A3007">
            <v>1.8083999999999999E-2</v>
          </cell>
        </row>
        <row r="3008">
          <cell r="A3008">
            <v>2.1939E-2</v>
          </cell>
        </row>
        <row r="3009">
          <cell r="A3009">
            <v>1.8019E-2</v>
          </cell>
        </row>
        <row r="3010">
          <cell r="A3010">
            <v>1.9380999999999999E-2</v>
          </cell>
        </row>
        <row r="3011">
          <cell r="A3011">
            <v>1.6851999999999999E-2</v>
          </cell>
        </row>
        <row r="3012">
          <cell r="A3012">
            <v>1.5781E-2</v>
          </cell>
        </row>
        <row r="3013">
          <cell r="A3013">
            <v>2.4156E-2</v>
          </cell>
        </row>
        <row r="3014">
          <cell r="A3014">
            <v>1.0807000000000001E-2</v>
          </cell>
        </row>
        <row r="3015">
          <cell r="A3015">
            <v>1.7139000000000001E-2</v>
          </cell>
        </row>
        <row r="3016">
          <cell r="A3016">
            <v>2.5277000000000001E-2</v>
          </cell>
        </row>
        <row r="3017">
          <cell r="A3017">
            <v>2.2478000000000001E-2</v>
          </cell>
        </row>
        <row r="3018">
          <cell r="A3018">
            <v>2.0483999999999999E-2</v>
          </cell>
        </row>
        <row r="3019">
          <cell r="A3019">
            <v>1.2033E-2</v>
          </cell>
        </row>
        <row r="3020">
          <cell r="A3020">
            <v>1.8734000000000001E-2</v>
          </cell>
        </row>
        <row r="3021">
          <cell r="A3021">
            <v>1.4597000000000001E-2</v>
          </cell>
        </row>
        <row r="3022">
          <cell r="A3022">
            <v>2.3472E-2</v>
          </cell>
        </row>
        <row r="3023">
          <cell r="A3023">
            <v>2.3279999999999999E-2</v>
          </cell>
        </row>
        <row r="3024">
          <cell r="A3024">
            <v>2.3748999999999999E-2</v>
          </cell>
        </row>
        <row r="3025">
          <cell r="A3025">
            <v>1.8762000000000001E-2</v>
          </cell>
        </row>
        <row r="3026">
          <cell r="A3026">
            <v>1.7531999999999999E-2</v>
          </cell>
        </row>
        <row r="3027">
          <cell r="A3027">
            <v>2.2584E-2</v>
          </cell>
        </row>
        <row r="3028">
          <cell r="A3028">
            <v>1.7462999999999999E-2</v>
          </cell>
        </row>
        <row r="3029">
          <cell r="A3029">
            <v>1.4200000000000001E-2</v>
          </cell>
        </row>
        <row r="3030">
          <cell r="A3030">
            <v>2.0326E-2</v>
          </cell>
        </row>
        <row r="3031">
          <cell r="A3031">
            <v>1.8273000000000001E-2</v>
          </cell>
        </row>
        <row r="3032">
          <cell r="A3032">
            <v>1.8617000000000002E-2</v>
          </cell>
        </row>
        <row r="3033">
          <cell r="A3033">
            <v>1.8169999999999999E-2</v>
          </cell>
        </row>
        <row r="3034">
          <cell r="A3034">
            <v>2.2554999999999999E-2</v>
          </cell>
        </row>
        <row r="3035">
          <cell r="A3035">
            <v>2.5104000000000001E-2</v>
          </cell>
        </row>
        <row r="3036">
          <cell r="A3036">
            <v>1.9067000000000001E-2</v>
          </cell>
        </row>
        <row r="3037">
          <cell r="A3037">
            <v>1.4807000000000001E-2</v>
          </cell>
        </row>
        <row r="3038">
          <cell r="A3038">
            <v>1.8474999999999998E-2</v>
          </cell>
        </row>
        <row r="3039">
          <cell r="A3039">
            <v>1.6789999999999999E-2</v>
          </cell>
        </row>
        <row r="3040">
          <cell r="A3040">
            <v>1.8654E-2</v>
          </cell>
        </row>
        <row r="3041">
          <cell r="A3041">
            <v>1.9299E-2</v>
          </cell>
        </row>
        <row r="3042">
          <cell r="A3042">
            <v>2.4122000000000001E-2</v>
          </cell>
        </row>
        <row r="3043">
          <cell r="A3043">
            <v>1.8031999999999999E-2</v>
          </cell>
        </row>
        <row r="3044">
          <cell r="A3044">
            <v>1.0782E-2</v>
          </cell>
        </row>
        <row r="3045">
          <cell r="A3045">
            <v>2.1770999999999999E-2</v>
          </cell>
        </row>
        <row r="3046">
          <cell r="A3046">
            <v>1.9569E-2</v>
          </cell>
        </row>
        <row r="3047">
          <cell r="A3047">
            <v>1.7687999999999999E-2</v>
          </cell>
        </row>
        <row r="3048">
          <cell r="A3048">
            <v>1.6944000000000001E-2</v>
          </cell>
        </row>
        <row r="3049">
          <cell r="A3049">
            <v>9.6740000000000003E-3</v>
          </cell>
        </row>
        <row r="3050">
          <cell r="A3050">
            <v>1.6175999999999999E-2</v>
          </cell>
        </row>
        <row r="3051">
          <cell r="A3051">
            <v>1.7866E-2</v>
          </cell>
        </row>
        <row r="3052">
          <cell r="A3052">
            <v>2.0669E-2</v>
          </cell>
        </row>
        <row r="3053">
          <cell r="A3053">
            <v>1.7933999999999999E-2</v>
          </cell>
        </row>
        <row r="3054">
          <cell r="A3054">
            <v>1.0808999999999999E-2</v>
          </cell>
        </row>
        <row r="3055">
          <cell r="A3055">
            <v>1.2003E-2</v>
          </cell>
        </row>
        <row r="3056">
          <cell r="A3056">
            <v>2.0785999999999999E-2</v>
          </cell>
        </row>
        <row r="3057">
          <cell r="A3057">
            <v>1.1273E-2</v>
          </cell>
        </row>
        <row r="3058">
          <cell r="A3058">
            <v>1.179E-2</v>
          </cell>
        </row>
        <row r="3059">
          <cell r="A3059">
            <v>1.9061999999999999E-2</v>
          </cell>
        </row>
        <row r="3060">
          <cell r="A3060">
            <v>1.7533E-2</v>
          </cell>
        </row>
        <row r="3061">
          <cell r="A3061">
            <v>1.9910000000000001E-2</v>
          </cell>
        </row>
        <row r="3062">
          <cell r="A3062">
            <v>2.0527E-2</v>
          </cell>
        </row>
        <row r="3063">
          <cell r="A3063">
            <v>1.2603E-2</v>
          </cell>
        </row>
        <row r="3064">
          <cell r="A3064">
            <v>1.7401E-2</v>
          </cell>
        </row>
        <row r="3065">
          <cell r="A3065">
            <v>1.8072999999999999E-2</v>
          </cell>
        </row>
        <row r="3066">
          <cell r="A3066">
            <v>2.0133999999999999E-2</v>
          </cell>
        </row>
        <row r="3067">
          <cell r="A3067">
            <v>2.4825E-2</v>
          </cell>
        </row>
        <row r="3068">
          <cell r="A3068">
            <v>1.9316E-2</v>
          </cell>
        </row>
        <row r="3069">
          <cell r="A3069">
            <v>2.4823000000000001E-2</v>
          </cell>
        </row>
        <row r="3070">
          <cell r="A3070">
            <v>1.6829E-2</v>
          </cell>
        </row>
        <row r="3071">
          <cell r="A3071">
            <v>1.9369999999999998E-2</v>
          </cell>
        </row>
        <row r="3072">
          <cell r="A3072">
            <v>1.1617000000000001E-2</v>
          </cell>
        </row>
        <row r="3073">
          <cell r="A3073">
            <v>1.6795999999999998E-2</v>
          </cell>
        </row>
        <row r="3074">
          <cell r="A3074">
            <v>1.2633E-2</v>
          </cell>
        </row>
        <row r="3075">
          <cell r="A3075">
            <v>9.5989999999999999E-3</v>
          </cell>
        </row>
        <row r="3076">
          <cell r="A3076">
            <v>1.7066000000000001E-2</v>
          </cell>
        </row>
        <row r="3077">
          <cell r="A3077">
            <v>2.1902999999999999E-2</v>
          </cell>
        </row>
        <row r="3078">
          <cell r="A3078">
            <v>1.9362000000000001E-2</v>
          </cell>
        </row>
        <row r="3079">
          <cell r="A3079">
            <v>2.3512000000000002E-2</v>
          </cell>
        </row>
        <row r="3080">
          <cell r="A3080">
            <v>1.265E-2</v>
          </cell>
        </row>
        <row r="3081">
          <cell r="A3081">
            <v>1.0444999999999999E-2</v>
          </cell>
        </row>
        <row r="3082">
          <cell r="A3082">
            <v>1.328E-2</v>
          </cell>
        </row>
        <row r="3083">
          <cell r="A3083">
            <v>1.6629000000000001E-2</v>
          </cell>
        </row>
        <row r="3084">
          <cell r="A3084">
            <v>1.4877E-2</v>
          </cell>
        </row>
        <row r="3085">
          <cell r="A3085">
            <v>2.0579E-2</v>
          </cell>
        </row>
        <row r="3086">
          <cell r="A3086">
            <v>1.9494000000000001E-2</v>
          </cell>
        </row>
        <row r="3087">
          <cell r="A3087">
            <v>1.4069999999999999E-2</v>
          </cell>
        </row>
        <row r="3088">
          <cell r="A3088">
            <v>2.1440000000000001E-2</v>
          </cell>
        </row>
        <row r="3089">
          <cell r="A3089">
            <v>8.9379999999999998E-3</v>
          </cell>
        </row>
        <row r="3090">
          <cell r="A3090">
            <v>2.1944000000000002E-2</v>
          </cell>
        </row>
        <row r="3091">
          <cell r="A3091">
            <v>2.1867999999999999E-2</v>
          </cell>
        </row>
        <row r="3092">
          <cell r="A3092">
            <v>1.3487000000000001E-2</v>
          </cell>
        </row>
        <row r="3093">
          <cell r="A3093">
            <v>2.0931999999999999E-2</v>
          </cell>
        </row>
        <row r="3094">
          <cell r="A3094">
            <v>1.1701E-2</v>
          </cell>
        </row>
        <row r="3095">
          <cell r="A3095">
            <v>2.5132999999999999E-2</v>
          </cell>
        </row>
        <row r="3096">
          <cell r="A3096">
            <v>1.7505E-2</v>
          </cell>
        </row>
        <row r="3097">
          <cell r="A3097">
            <v>1.1195E-2</v>
          </cell>
        </row>
        <row r="3098">
          <cell r="A3098">
            <v>1.6386000000000001E-2</v>
          </cell>
        </row>
        <row r="3099">
          <cell r="A3099">
            <v>2.0591999999999999E-2</v>
          </cell>
        </row>
        <row r="3100">
          <cell r="A3100">
            <v>2.3311999999999999E-2</v>
          </cell>
        </row>
        <row r="3101">
          <cell r="A3101">
            <v>2.6690999999999999E-2</v>
          </cell>
        </row>
        <row r="3102">
          <cell r="A3102">
            <v>2.0073000000000001E-2</v>
          </cell>
        </row>
        <row r="3103">
          <cell r="A3103">
            <v>1.7595E-2</v>
          </cell>
        </row>
        <row r="3104">
          <cell r="A3104">
            <v>1.7610000000000001E-2</v>
          </cell>
        </row>
        <row r="3105">
          <cell r="A3105">
            <v>1.2002000000000001E-2</v>
          </cell>
        </row>
        <row r="3106">
          <cell r="A3106">
            <v>8.6639999999999998E-3</v>
          </cell>
        </row>
        <row r="3107">
          <cell r="A3107">
            <v>1.4508E-2</v>
          </cell>
        </row>
        <row r="3108">
          <cell r="A3108">
            <v>1.702E-2</v>
          </cell>
        </row>
        <row r="3109">
          <cell r="A3109">
            <v>1.6409E-2</v>
          </cell>
        </row>
        <row r="3110">
          <cell r="A3110">
            <v>1.7947999999999999E-2</v>
          </cell>
        </row>
        <row r="3111">
          <cell r="A3111">
            <v>1.8526000000000001E-2</v>
          </cell>
        </row>
        <row r="3112">
          <cell r="A3112">
            <v>1.8227E-2</v>
          </cell>
        </row>
        <row r="3113">
          <cell r="A3113">
            <v>2.3304999999999999E-2</v>
          </cell>
        </row>
        <row r="3114">
          <cell r="A3114">
            <v>1.9265999999999998E-2</v>
          </cell>
        </row>
        <row r="3115">
          <cell r="A3115">
            <v>1.6650000000000002E-2</v>
          </cell>
        </row>
        <row r="3116">
          <cell r="A3116">
            <v>2.2141999999999998E-2</v>
          </cell>
        </row>
        <row r="3117">
          <cell r="A3117">
            <v>1.3113E-2</v>
          </cell>
        </row>
        <row r="3118">
          <cell r="A3118">
            <v>2.2849999999999999E-2</v>
          </cell>
        </row>
        <row r="3119">
          <cell r="A3119">
            <v>2.3422999999999999E-2</v>
          </cell>
        </row>
        <row r="3120">
          <cell r="A3120">
            <v>1.2232E-2</v>
          </cell>
        </row>
        <row r="3121">
          <cell r="A3121">
            <v>1.9136E-2</v>
          </cell>
        </row>
        <row r="3122">
          <cell r="A3122">
            <v>1.0652E-2</v>
          </cell>
        </row>
        <row r="3123">
          <cell r="A3123">
            <v>1.5023999999999999E-2</v>
          </cell>
        </row>
        <row r="3124">
          <cell r="A3124">
            <v>1.4426E-2</v>
          </cell>
        </row>
        <row r="3125">
          <cell r="A3125">
            <v>1.7884000000000001E-2</v>
          </cell>
        </row>
        <row r="3126">
          <cell r="A3126">
            <v>2.3494999999999999E-2</v>
          </cell>
        </row>
        <row r="3127">
          <cell r="A3127">
            <v>1.2886E-2</v>
          </cell>
        </row>
        <row r="3128">
          <cell r="A3128">
            <v>1.7388000000000001E-2</v>
          </cell>
        </row>
        <row r="3129">
          <cell r="A3129">
            <v>1.9557000000000001E-2</v>
          </cell>
        </row>
        <row r="3130">
          <cell r="A3130">
            <v>1.6077999999999999E-2</v>
          </cell>
        </row>
        <row r="3131">
          <cell r="A3131">
            <v>2.4993000000000001E-2</v>
          </cell>
        </row>
        <row r="3132">
          <cell r="A3132">
            <v>2.2336000000000002E-2</v>
          </cell>
        </row>
        <row r="3133">
          <cell r="A3133">
            <v>2.2471999999999999E-2</v>
          </cell>
        </row>
        <row r="3134">
          <cell r="A3134">
            <v>1.3480000000000001E-2</v>
          </cell>
        </row>
        <row r="3135">
          <cell r="A3135">
            <v>1.8617000000000002E-2</v>
          </cell>
        </row>
        <row r="3136">
          <cell r="A3136">
            <v>1.2191E-2</v>
          </cell>
        </row>
        <row r="3137">
          <cell r="A3137">
            <v>1.3610000000000001E-2</v>
          </cell>
        </row>
        <row r="3138">
          <cell r="A3138">
            <v>1.508E-2</v>
          </cell>
        </row>
        <row r="3139">
          <cell r="A3139">
            <v>2.0691000000000001E-2</v>
          </cell>
        </row>
        <row r="3140">
          <cell r="A3140">
            <v>1.0689000000000001E-2</v>
          </cell>
        </row>
        <row r="3141">
          <cell r="A3141">
            <v>1.7912999999999998E-2</v>
          </cell>
        </row>
        <row r="3142">
          <cell r="A3142">
            <v>1.7756000000000001E-2</v>
          </cell>
        </row>
        <row r="3143">
          <cell r="A3143">
            <v>2.3028E-2</v>
          </cell>
        </row>
        <row r="3144">
          <cell r="A3144">
            <v>1.7082E-2</v>
          </cell>
        </row>
        <row r="3145">
          <cell r="A3145">
            <v>3.1899999999999998E-2</v>
          </cell>
        </row>
        <row r="3146">
          <cell r="A3146">
            <v>1.9313E-2</v>
          </cell>
        </row>
        <row r="3147">
          <cell r="A3147">
            <v>1.7252E-2</v>
          </cell>
        </row>
        <row r="3148">
          <cell r="A3148">
            <v>1.3112E-2</v>
          </cell>
        </row>
        <row r="3149">
          <cell r="A3149">
            <v>1.9112000000000001E-2</v>
          </cell>
        </row>
        <row r="3150">
          <cell r="A3150">
            <v>1.0836E-2</v>
          </cell>
        </row>
        <row r="3151">
          <cell r="A3151">
            <v>1.1991999999999999E-2</v>
          </cell>
        </row>
        <row r="3152">
          <cell r="A3152">
            <v>9.9209999999999993E-3</v>
          </cell>
        </row>
        <row r="3153">
          <cell r="A3153">
            <v>2.4177000000000001E-2</v>
          </cell>
        </row>
        <row r="3154">
          <cell r="A3154">
            <v>1.5809E-2</v>
          </cell>
        </row>
        <row r="3155">
          <cell r="A3155">
            <v>1.2414E-2</v>
          </cell>
        </row>
        <row r="3156">
          <cell r="A3156">
            <v>1.4097E-2</v>
          </cell>
        </row>
        <row r="3157">
          <cell r="A3157">
            <v>1.2189E-2</v>
          </cell>
        </row>
        <row r="3158">
          <cell r="A3158">
            <v>1.4588E-2</v>
          </cell>
        </row>
        <row r="3159">
          <cell r="A3159">
            <v>1.8169000000000001E-2</v>
          </cell>
        </row>
        <row r="3160">
          <cell r="A3160">
            <v>1.1075E-2</v>
          </cell>
        </row>
        <row r="3161">
          <cell r="A3161">
            <v>1.9015000000000001E-2</v>
          </cell>
        </row>
        <row r="3162">
          <cell r="A3162">
            <v>2.2287999999999999E-2</v>
          </cell>
        </row>
        <row r="3163">
          <cell r="A3163">
            <v>1.0050999999999999E-2</v>
          </cell>
        </row>
        <row r="3164">
          <cell r="A3164">
            <v>1.3636000000000001E-2</v>
          </cell>
        </row>
        <row r="3165">
          <cell r="A3165">
            <v>2.3512000000000002E-2</v>
          </cell>
        </row>
        <row r="3166">
          <cell r="A3166">
            <v>1.6847999999999998E-2</v>
          </cell>
        </row>
        <row r="3167">
          <cell r="A3167">
            <v>1.8055000000000002E-2</v>
          </cell>
        </row>
        <row r="3168">
          <cell r="A3168">
            <v>1.0777999999999999E-2</v>
          </cell>
        </row>
        <row r="3169">
          <cell r="A3169">
            <v>2.2445E-2</v>
          </cell>
        </row>
        <row r="3170">
          <cell r="A3170">
            <v>1.736E-2</v>
          </cell>
        </row>
        <row r="3171">
          <cell r="A3171">
            <v>1.3613999999999999E-2</v>
          </cell>
        </row>
        <row r="3172">
          <cell r="A3172">
            <v>1.5103999999999999E-2</v>
          </cell>
        </row>
        <row r="3173">
          <cell r="A3173">
            <v>1.2520999999999999E-2</v>
          </cell>
        </row>
        <row r="3174">
          <cell r="A3174">
            <v>1.5381000000000001E-2</v>
          </cell>
        </row>
        <row r="3175">
          <cell r="A3175">
            <v>1.1043000000000001E-2</v>
          </cell>
        </row>
        <row r="3176">
          <cell r="A3176">
            <v>1.6428999999999999E-2</v>
          </cell>
        </row>
        <row r="3177">
          <cell r="A3177">
            <v>2.1765E-2</v>
          </cell>
        </row>
        <row r="3178">
          <cell r="A3178">
            <v>1.6293999999999999E-2</v>
          </cell>
        </row>
        <row r="3179">
          <cell r="A3179">
            <v>1.0717000000000001E-2</v>
          </cell>
        </row>
        <row r="3180">
          <cell r="A3180">
            <v>1.8171E-2</v>
          </cell>
        </row>
        <row r="3181">
          <cell r="A3181">
            <v>1.0012999999999999E-2</v>
          </cell>
        </row>
        <row r="3182">
          <cell r="A3182">
            <v>1.8159000000000002E-2</v>
          </cell>
        </row>
        <row r="3183">
          <cell r="A3183">
            <v>2.4697E-2</v>
          </cell>
        </row>
        <row r="3184">
          <cell r="A3184">
            <v>2.1014000000000001E-2</v>
          </cell>
        </row>
        <row r="3185">
          <cell r="A3185">
            <v>1.7387E-2</v>
          </cell>
        </row>
        <row r="3186">
          <cell r="A3186">
            <v>1.8114999999999999E-2</v>
          </cell>
        </row>
        <row r="3187">
          <cell r="A3187">
            <v>9.7339999999999996E-3</v>
          </cell>
        </row>
        <row r="3188">
          <cell r="A3188">
            <v>1.7586000000000001E-2</v>
          </cell>
        </row>
        <row r="3189">
          <cell r="A3189">
            <v>2.1682E-2</v>
          </cell>
        </row>
        <row r="3190">
          <cell r="A3190">
            <v>1.0861000000000001E-2</v>
          </cell>
        </row>
        <row r="3191">
          <cell r="A3191">
            <v>1.7195999999999999E-2</v>
          </cell>
        </row>
        <row r="3192">
          <cell r="A3192">
            <v>1.0623E-2</v>
          </cell>
        </row>
        <row r="3193">
          <cell r="A3193">
            <v>1.8373E-2</v>
          </cell>
        </row>
        <row r="3194">
          <cell r="A3194">
            <v>2.1465000000000001E-2</v>
          </cell>
        </row>
        <row r="3195">
          <cell r="A3195">
            <v>1.2125E-2</v>
          </cell>
        </row>
        <row r="3196">
          <cell r="A3196">
            <v>1.7717E-2</v>
          </cell>
        </row>
        <row r="3197">
          <cell r="A3197">
            <v>1.0753E-2</v>
          </cell>
        </row>
        <row r="3198">
          <cell r="A3198">
            <v>1.7711000000000001E-2</v>
          </cell>
        </row>
        <row r="3199">
          <cell r="A3199">
            <v>1.0045E-2</v>
          </cell>
        </row>
        <row r="3200">
          <cell r="A3200">
            <v>1.9316E-2</v>
          </cell>
        </row>
        <row r="3201">
          <cell r="A3201">
            <v>9.0580000000000001E-3</v>
          </cell>
        </row>
        <row r="3202">
          <cell r="A3202">
            <v>1.0414E-2</v>
          </cell>
        </row>
        <row r="3203">
          <cell r="A3203">
            <v>2.154E-2</v>
          </cell>
        </row>
        <row r="3204">
          <cell r="A3204">
            <v>1.0784E-2</v>
          </cell>
        </row>
        <row r="3205">
          <cell r="A3205">
            <v>1.3840999999999999E-2</v>
          </cell>
        </row>
        <row r="3206">
          <cell r="A3206">
            <v>1.8266999999999999E-2</v>
          </cell>
        </row>
        <row r="3207">
          <cell r="A3207">
            <v>2.2218999999999999E-2</v>
          </cell>
        </row>
        <row r="3208">
          <cell r="A3208">
            <v>2.3748999999999999E-2</v>
          </cell>
        </row>
        <row r="3209">
          <cell r="A3209">
            <v>1.2892000000000001E-2</v>
          </cell>
        </row>
        <row r="3210">
          <cell r="A3210">
            <v>1.9002999999999999E-2</v>
          </cell>
        </row>
        <row r="3211">
          <cell r="A3211">
            <v>9.5429999999999994E-3</v>
          </cell>
        </row>
        <row r="3212">
          <cell r="A3212">
            <v>1.6152E-2</v>
          </cell>
        </row>
        <row r="3213">
          <cell r="A3213">
            <v>1.7274000000000001E-2</v>
          </cell>
        </row>
        <row r="3214">
          <cell r="A3214">
            <v>1.7158E-2</v>
          </cell>
        </row>
        <row r="3215">
          <cell r="A3215">
            <v>8.6250000000000007E-3</v>
          </cell>
        </row>
        <row r="3216">
          <cell r="A3216">
            <v>1.0661E-2</v>
          </cell>
        </row>
        <row r="3217">
          <cell r="A3217">
            <v>1.0519000000000001E-2</v>
          </cell>
        </row>
        <row r="3218">
          <cell r="A3218">
            <v>1.3875999999999999E-2</v>
          </cell>
        </row>
        <row r="3219">
          <cell r="A3219">
            <v>1.6264000000000001E-2</v>
          </cell>
        </row>
        <row r="3220">
          <cell r="A3220">
            <v>1.7985000000000001E-2</v>
          </cell>
        </row>
        <row r="3221">
          <cell r="A3221">
            <v>8.5749999999999993E-3</v>
          </cell>
        </row>
        <row r="3222">
          <cell r="A3222">
            <v>1.2965000000000001E-2</v>
          </cell>
        </row>
        <row r="3223">
          <cell r="A3223">
            <v>9.3259999999999992E-3</v>
          </cell>
        </row>
        <row r="3224">
          <cell r="A3224">
            <v>1.0286E-2</v>
          </cell>
        </row>
        <row r="3225">
          <cell r="A3225">
            <v>1.1063E-2</v>
          </cell>
        </row>
        <row r="3226">
          <cell r="A3226">
            <v>2.3220000000000001E-2</v>
          </cell>
        </row>
        <row r="3227">
          <cell r="A3227">
            <v>2.1439E-2</v>
          </cell>
        </row>
        <row r="3228">
          <cell r="A3228">
            <v>1.1148E-2</v>
          </cell>
        </row>
        <row r="3229">
          <cell r="A3229">
            <v>1.6636000000000001E-2</v>
          </cell>
        </row>
        <row r="3230">
          <cell r="A3230">
            <v>1.5606E-2</v>
          </cell>
        </row>
        <row r="3231">
          <cell r="A3231">
            <v>1.7864999999999999E-2</v>
          </cell>
        </row>
        <row r="3232">
          <cell r="A3232">
            <v>8.2819999999999994E-3</v>
          </cell>
        </row>
        <row r="3233">
          <cell r="A3233">
            <v>1.0226000000000001E-2</v>
          </cell>
        </row>
        <row r="3234">
          <cell r="A3234">
            <v>1.0014E-2</v>
          </cell>
        </row>
        <row r="3235">
          <cell r="A3235">
            <v>1.0485E-2</v>
          </cell>
        </row>
        <row r="3236">
          <cell r="A3236">
            <v>1.9497E-2</v>
          </cell>
        </row>
        <row r="3237">
          <cell r="A3237">
            <v>1.0861000000000001E-2</v>
          </cell>
        </row>
        <row r="3238">
          <cell r="A3238">
            <v>1.5493E-2</v>
          </cell>
        </row>
        <row r="3239">
          <cell r="A3239">
            <v>2.2709E-2</v>
          </cell>
        </row>
        <row r="3240">
          <cell r="A3240">
            <v>1.6669E-2</v>
          </cell>
        </row>
        <row r="3241">
          <cell r="A3241">
            <v>1.8238000000000001E-2</v>
          </cell>
        </row>
        <row r="3242">
          <cell r="A3242">
            <v>8.4069999999999995E-3</v>
          </cell>
        </row>
        <row r="3243">
          <cell r="A3243">
            <v>1.6265000000000002E-2</v>
          </cell>
        </row>
        <row r="3244">
          <cell r="A3244">
            <v>8.9980000000000008E-3</v>
          </cell>
        </row>
        <row r="3245">
          <cell r="A3245">
            <v>1.2674E-2</v>
          </cell>
        </row>
        <row r="3246">
          <cell r="A3246">
            <v>3.3915000000000001E-2</v>
          </cell>
        </row>
        <row r="3247">
          <cell r="A3247">
            <v>1.7843999999999999E-2</v>
          </cell>
        </row>
        <row r="3248">
          <cell r="A3248">
            <v>1.5951E-2</v>
          </cell>
        </row>
        <row r="3249">
          <cell r="A3249">
            <v>9.8530000000000006E-3</v>
          </cell>
        </row>
        <row r="3250">
          <cell r="A3250">
            <v>1.1416000000000001E-2</v>
          </cell>
        </row>
        <row r="3251">
          <cell r="A3251">
            <v>1.302E-2</v>
          </cell>
        </row>
        <row r="3252">
          <cell r="A3252">
            <v>1.0841999999999999E-2</v>
          </cell>
        </row>
        <row r="3253">
          <cell r="A3253">
            <v>1.4182999999999999E-2</v>
          </cell>
        </row>
        <row r="3254">
          <cell r="A3254">
            <v>9.4280000000000006E-3</v>
          </cell>
        </row>
        <row r="3255">
          <cell r="A3255">
            <v>1.1597E-2</v>
          </cell>
        </row>
        <row r="3256">
          <cell r="A3256">
            <v>1.3265000000000001E-2</v>
          </cell>
        </row>
        <row r="3257">
          <cell r="A3257">
            <v>1.0657E-2</v>
          </cell>
        </row>
        <row r="3258">
          <cell r="A3258">
            <v>1.1845E-2</v>
          </cell>
        </row>
        <row r="3259">
          <cell r="A3259">
            <v>1.0588E-2</v>
          </cell>
        </row>
        <row r="3260">
          <cell r="A3260">
            <v>9.4350000000000007E-3</v>
          </cell>
        </row>
        <row r="3261">
          <cell r="A3261">
            <v>9.4380000000000002E-3</v>
          </cell>
        </row>
        <row r="3262">
          <cell r="A3262">
            <v>7.2690000000000003E-3</v>
          </cell>
        </row>
        <row r="3263">
          <cell r="A3263">
            <v>2.1568E-2</v>
          </cell>
        </row>
        <row r="3264">
          <cell r="A3264">
            <v>7.9360000000000003E-3</v>
          </cell>
        </row>
        <row r="3265">
          <cell r="A3265">
            <v>2.4074999999999999E-2</v>
          </cell>
        </row>
        <row r="3266">
          <cell r="A3266">
            <v>1.9768999999999998E-2</v>
          </cell>
        </row>
        <row r="3267">
          <cell r="A3267">
            <v>1.7711000000000001E-2</v>
          </cell>
        </row>
        <row r="3268">
          <cell r="A3268">
            <v>1.9213000000000001E-2</v>
          </cell>
        </row>
        <row r="3269">
          <cell r="A3269">
            <v>1.2507000000000001E-2</v>
          </cell>
        </row>
        <row r="3270">
          <cell r="A3270">
            <v>1.0410000000000001E-2</v>
          </cell>
        </row>
        <row r="3271">
          <cell r="A3271">
            <v>1.7003000000000001E-2</v>
          </cell>
        </row>
        <row r="3272">
          <cell r="A3272">
            <v>1.5751000000000001E-2</v>
          </cell>
        </row>
        <row r="3273">
          <cell r="A3273">
            <v>1.1971000000000001E-2</v>
          </cell>
        </row>
        <row r="3274">
          <cell r="A3274">
            <v>1.4659999999999999E-2</v>
          </cell>
        </row>
        <row r="3275">
          <cell r="A3275">
            <v>1.5674E-2</v>
          </cell>
        </row>
        <row r="3276">
          <cell r="A3276">
            <v>1.3221E-2</v>
          </cell>
        </row>
        <row r="3277">
          <cell r="A3277">
            <v>1.1827000000000001E-2</v>
          </cell>
        </row>
        <row r="3278">
          <cell r="A3278">
            <v>1.1480000000000001E-2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 Project Schedule Rev.01"/>
      <sheetName val="Reliability Test"/>
      <sheetName val="Customer Spec"/>
      <sheetName val="Cell Design Change "/>
      <sheetName val="Process Change"/>
      <sheetName val="Action Log(Open issue)"/>
      <sheetName val="Action Log(Closed issue)"/>
      <sheetName val="Customer Feedback"/>
      <sheetName val="Customer audit"/>
      <sheetName val="Process control"/>
      <sheetName val="Key parameter-thinkness"/>
      <sheetName val="Fixture"/>
      <sheetName val="存储"/>
      <sheetName val="EV Project plan-zhang L"/>
      <sheetName val="10度"/>
      <sheetName val="0度"/>
      <sheetName val="-10度"/>
      <sheetName val="-20度"/>
      <sheetName val="FT-1 5#"/>
      <sheetName val="A-2"/>
      <sheetName val="B-2"/>
      <sheetName val="倍率放电数据"/>
      <sheetName val="定容评测"/>
      <sheetName val="E Goal"/>
      <sheetName val="E_KSR"/>
      <sheetName val="All_KSR"/>
      <sheetName val="P Goal"/>
      <sheetName val="P_KSR"/>
      <sheetName val="說明"/>
      <sheetName val="見積依頼書"/>
      <sheetName val="Workings"/>
      <sheetName val="月度抄表"/>
      <sheetName val="低压抄表"/>
      <sheetName val="TMK280-02"/>
      <sheetName val="data"/>
      <sheetName val="数据库"/>
      <sheetName val="pfx_prov"/>
      <sheetName val="#REF"/>
      <sheetName val="series pricing"/>
      <sheetName val="B.2"/>
      <sheetName val="E.2"/>
      <sheetName val="C.3"/>
      <sheetName val="DATAT"/>
      <sheetName val="Sheet3"/>
      <sheetName val="1-0. DMD"/>
      <sheetName val="13、管理部门_仓储办"/>
      <sheetName val="滯料RAW_Data"/>
      <sheetName val="Index"/>
      <sheetName val="呆料RAW_Data"/>
      <sheetName val="二级明细-生产"/>
      <sheetName val="工装夹检具"/>
      <sheetName val="Input commodity fallout"/>
      <sheetName val="Reporting"/>
      <sheetName val="Bom(P1)"/>
      <sheetName val="ISRDATA"/>
      <sheetName val="Country Codes"/>
      <sheetName val="Oct"/>
      <sheetName val="物流费用"/>
      <sheetName val="Sheet 2"/>
      <sheetName val="包装物流"/>
      <sheetName val="fenxi(内)"/>
      <sheetName val="生产领料汇总表"/>
      <sheetName val="Summary"/>
      <sheetName val="Assumptions sheet"/>
      <sheetName val="9003"/>
      <sheetName val="125PIECE"/>
      <sheetName val="6.仕様範囲(SCOPE OF SPEC)"/>
      <sheetName val="model"/>
      <sheetName val="能源报表"/>
      <sheetName val="应付"/>
      <sheetName val="个人欠款账龄分析表"/>
      <sheetName val="MPL 技連"/>
      <sheetName val="342A Block"/>
      <sheetName val="Fab Output Plan"/>
      <sheetName val="関連ファイル読込"/>
      <sheetName val="Assumptions"/>
      <sheetName val="2-row_Opt_table"/>
      <sheetName val="244豪州一般ZD301生試"/>
    </sheetNames>
    <sheetDataSet>
      <sheetData sheetId="0">
        <row r="9">
          <cell r="F9" t="str">
            <v>开始时间</v>
          </cell>
        </row>
        <row r="11">
          <cell r="F11">
            <v>39363</v>
          </cell>
        </row>
        <row r="13">
          <cell r="F13">
            <v>39363</v>
          </cell>
        </row>
        <row r="14">
          <cell r="F14">
            <v>39364</v>
          </cell>
        </row>
        <row r="15">
          <cell r="F15">
            <v>39364</v>
          </cell>
        </row>
        <row r="16">
          <cell r="F16">
            <v>39364</v>
          </cell>
        </row>
        <row r="17">
          <cell r="F17">
            <v>39364</v>
          </cell>
        </row>
        <row r="18">
          <cell r="F18">
            <v>39364</v>
          </cell>
        </row>
        <row r="19">
          <cell r="F19">
            <v>39365</v>
          </cell>
        </row>
        <row r="20">
          <cell r="F20">
            <v>39366</v>
          </cell>
        </row>
        <row r="21">
          <cell r="F21">
            <v>39367</v>
          </cell>
        </row>
        <row r="22">
          <cell r="F22">
            <v>39368</v>
          </cell>
        </row>
        <row r="23">
          <cell r="F23">
            <v>39368</v>
          </cell>
        </row>
        <row r="24">
          <cell r="F24">
            <v>39369</v>
          </cell>
        </row>
        <row r="25">
          <cell r="F25">
            <v>39369</v>
          </cell>
        </row>
        <row r="26">
          <cell r="F26">
            <v>39370</v>
          </cell>
        </row>
        <row r="27">
          <cell r="F27">
            <v>39370</v>
          </cell>
        </row>
        <row r="28">
          <cell r="F28">
            <v>39371</v>
          </cell>
        </row>
        <row r="29">
          <cell r="F29">
            <v>39371</v>
          </cell>
        </row>
        <row r="30">
          <cell r="F30">
            <v>39372</v>
          </cell>
        </row>
        <row r="31">
          <cell r="F31">
            <v>39372</v>
          </cell>
        </row>
        <row r="32">
          <cell r="F32">
            <v>39372</v>
          </cell>
        </row>
        <row r="33">
          <cell r="F33">
            <v>39372</v>
          </cell>
        </row>
        <row r="34">
          <cell r="F34">
            <v>39374</v>
          </cell>
        </row>
        <row r="35">
          <cell r="F35">
            <v>39375</v>
          </cell>
        </row>
        <row r="36">
          <cell r="F36">
            <v>39375</v>
          </cell>
        </row>
        <row r="37">
          <cell r="F37">
            <v>39376</v>
          </cell>
        </row>
        <row r="38">
          <cell r="F38">
            <v>39377</v>
          </cell>
        </row>
        <row r="39">
          <cell r="F39">
            <v>39377</v>
          </cell>
        </row>
        <row r="40">
          <cell r="F40">
            <v>39379</v>
          </cell>
        </row>
        <row r="41">
          <cell r="F41">
            <v>39380</v>
          </cell>
        </row>
        <row r="42">
          <cell r="F42">
            <v>39380</v>
          </cell>
        </row>
        <row r="43">
          <cell r="F43">
            <v>39381</v>
          </cell>
        </row>
        <row r="44">
          <cell r="F44">
            <v>39382</v>
          </cell>
        </row>
        <row r="45">
          <cell r="F45">
            <v>39386</v>
          </cell>
        </row>
        <row r="46">
          <cell r="F46">
            <v>39387</v>
          </cell>
        </row>
        <row r="47">
          <cell r="F47">
            <v>39391</v>
          </cell>
        </row>
        <row r="48">
          <cell r="F48">
            <v>39391</v>
          </cell>
        </row>
        <row r="49">
          <cell r="F49">
            <v>39404</v>
          </cell>
        </row>
        <row r="50">
          <cell r="F50">
            <v>39411</v>
          </cell>
        </row>
        <row r="51">
          <cell r="F51" t="str">
            <v>Plan</v>
          </cell>
        </row>
        <row r="52">
          <cell r="F52" t="str">
            <v>Plan</v>
          </cell>
        </row>
        <row r="53">
          <cell r="F53" t="str">
            <v>Plan</v>
          </cell>
        </row>
        <row r="54">
          <cell r="F54" t="str">
            <v>Plan</v>
          </cell>
        </row>
        <row r="55">
          <cell r="F55" t="str">
            <v>Plan</v>
          </cell>
        </row>
        <row r="56">
          <cell r="F56" t="str">
            <v>Plan</v>
          </cell>
        </row>
        <row r="60">
          <cell r="F60">
            <v>39382</v>
          </cell>
        </row>
        <row r="62">
          <cell r="F62">
            <v>39390</v>
          </cell>
        </row>
        <row r="63">
          <cell r="F63">
            <v>39390</v>
          </cell>
        </row>
        <row r="64">
          <cell r="F64">
            <v>39390</v>
          </cell>
        </row>
        <row r="65">
          <cell r="F65" t="str">
            <v>N.A</v>
          </cell>
        </row>
        <row r="66">
          <cell r="F66" t="str">
            <v>N.A</v>
          </cell>
        </row>
        <row r="67">
          <cell r="F67">
            <v>39390</v>
          </cell>
        </row>
        <row r="70">
          <cell r="F70">
            <v>39390</v>
          </cell>
        </row>
        <row r="71">
          <cell r="F71">
            <v>39390</v>
          </cell>
        </row>
        <row r="72">
          <cell r="F72">
            <v>39390</v>
          </cell>
        </row>
        <row r="73">
          <cell r="F73">
            <v>39390</v>
          </cell>
        </row>
        <row r="74">
          <cell r="F74">
            <v>39390</v>
          </cell>
        </row>
        <row r="78">
          <cell r="F78">
            <v>39390</v>
          </cell>
        </row>
        <row r="79">
          <cell r="F79">
            <v>39390</v>
          </cell>
        </row>
        <row r="80">
          <cell r="F80">
            <v>39390</v>
          </cell>
        </row>
        <row r="81">
          <cell r="F81">
            <v>39390</v>
          </cell>
        </row>
        <row r="82">
          <cell r="F82">
            <v>39390</v>
          </cell>
        </row>
        <row r="85">
          <cell r="F85">
            <v>39390</v>
          </cell>
        </row>
        <row r="86">
          <cell r="F86">
            <v>39390</v>
          </cell>
        </row>
        <row r="89">
          <cell r="F89" t="str">
            <v>Plan</v>
          </cell>
        </row>
        <row r="90">
          <cell r="F90" t="str">
            <v>Plan</v>
          </cell>
        </row>
        <row r="93">
          <cell r="F93" t="str">
            <v>L</v>
          </cell>
        </row>
        <row r="94">
          <cell r="F94" t="str">
            <v>L</v>
          </cell>
        </row>
        <row r="95">
          <cell r="F95" t="str">
            <v>S</v>
          </cell>
        </row>
        <row r="96">
          <cell r="F96" t="str">
            <v>L</v>
          </cell>
        </row>
        <row r="97">
          <cell r="F97" t="str">
            <v>L</v>
          </cell>
        </row>
        <row r="98">
          <cell r="F98">
            <v>39364</v>
          </cell>
        </row>
        <row r="99">
          <cell r="F99" t="str">
            <v>L</v>
          </cell>
        </row>
        <row r="100">
          <cell r="F100" t="str">
            <v>N.A</v>
          </cell>
        </row>
        <row r="101">
          <cell r="F101">
            <v>39364</v>
          </cell>
        </row>
        <row r="102">
          <cell r="F102" t="str">
            <v>N.A</v>
          </cell>
        </row>
        <row r="103">
          <cell r="F103" t="str">
            <v>L</v>
          </cell>
        </row>
        <row r="104">
          <cell r="F104">
            <v>39364</v>
          </cell>
        </row>
        <row r="105">
          <cell r="F105">
            <v>39370</v>
          </cell>
        </row>
        <row r="106">
          <cell r="F106" t="str">
            <v>L</v>
          </cell>
        </row>
        <row r="107">
          <cell r="F107">
            <v>39364</v>
          </cell>
        </row>
        <row r="108">
          <cell r="F108">
            <v>39364</v>
          </cell>
        </row>
        <row r="109">
          <cell r="F109">
            <v>39364</v>
          </cell>
        </row>
        <row r="110">
          <cell r="F110">
            <v>39364</v>
          </cell>
        </row>
        <row r="111">
          <cell r="F111" t="str">
            <v>L</v>
          </cell>
        </row>
        <row r="112">
          <cell r="F112" t="str">
            <v>L</v>
          </cell>
        </row>
        <row r="113">
          <cell r="F113">
            <v>39364</v>
          </cell>
        </row>
        <row r="114">
          <cell r="F114" t="str">
            <v>L</v>
          </cell>
        </row>
        <row r="115">
          <cell r="F115" t="str">
            <v>L</v>
          </cell>
        </row>
        <row r="116">
          <cell r="F116" t="str">
            <v>L</v>
          </cell>
        </row>
        <row r="117">
          <cell r="F117">
            <v>39364</v>
          </cell>
        </row>
        <row r="118">
          <cell r="F118">
            <v>39364</v>
          </cell>
        </row>
        <row r="119">
          <cell r="F119">
            <v>39364</v>
          </cell>
        </row>
        <row r="122">
          <cell r="F122" t="str">
            <v>Plan</v>
          </cell>
        </row>
        <row r="123">
          <cell r="F123" t="str">
            <v>Plan</v>
          </cell>
        </row>
        <row r="129">
          <cell r="F129">
            <v>39364</v>
          </cell>
        </row>
        <row r="130">
          <cell r="F130" t="str">
            <v>Plan</v>
          </cell>
        </row>
        <row r="131">
          <cell r="F131" t="str">
            <v>Plan</v>
          </cell>
        </row>
        <row r="132">
          <cell r="F132" t="str">
            <v>Plan</v>
          </cell>
        </row>
        <row r="133">
          <cell r="F133" t="str">
            <v>Plan</v>
          </cell>
        </row>
        <row r="134">
          <cell r="F134" t="str">
            <v>Plan</v>
          </cell>
        </row>
        <row r="135">
          <cell r="F135" t="str">
            <v>Plan</v>
          </cell>
        </row>
        <row r="136">
          <cell r="F136" t="str">
            <v>Plan</v>
          </cell>
        </row>
        <row r="137">
          <cell r="F137" t="str">
            <v>Plan</v>
          </cell>
        </row>
        <row r="138">
          <cell r="F138" t="str">
            <v>Plan</v>
          </cell>
        </row>
        <row r="139">
          <cell r="F139" t="str">
            <v>Plan</v>
          </cell>
        </row>
        <row r="140">
          <cell r="F140" t="str">
            <v>Plan</v>
          </cell>
        </row>
        <row r="141">
          <cell r="F141" t="str">
            <v>Plan</v>
          </cell>
        </row>
        <row r="142">
          <cell r="F142" t="str">
            <v>Plan</v>
          </cell>
        </row>
        <row r="143">
          <cell r="F143" t="str">
            <v>Plan</v>
          </cell>
        </row>
        <row r="144">
          <cell r="F144" t="str">
            <v>Plan</v>
          </cell>
        </row>
        <row r="145">
          <cell r="F145" t="str">
            <v>Plan</v>
          </cell>
        </row>
        <row r="146">
          <cell r="F146" t="str">
            <v>Plan</v>
          </cell>
        </row>
        <row r="147">
          <cell r="F147" t="str">
            <v>Plan</v>
          </cell>
        </row>
        <row r="148">
          <cell r="F148" t="str">
            <v>Plan</v>
          </cell>
        </row>
        <row r="149">
          <cell r="F149" t="str">
            <v>Plan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 Project Schedule Rev.01"/>
      <sheetName val="Reliability Test"/>
      <sheetName val="Customer Spec"/>
      <sheetName val="Cell Design Change "/>
      <sheetName val="Process Change"/>
      <sheetName val="Action Log(Open issue)"/>
      <sheetName val="Action Log(Closed issue)"/>
      <sheetName val="Customer Feedback"/>
      <sheetName val="Customer audit"/>
      <sheetName val="Process control"/>
      <sheetName val="Key parameter-thinkness"/>
      <sheetName val="Fixture"/>
      <sheetName val="定容评测"/>
      <sheetName val="E Goal"/>
      <sheetName val="E_KSR"/>
      <sheetName val="All_KSR"/>
      <sheetName val="P Goal"/>
      <sheetName val="P_KSR"/>
      <sheetName val="說明"/>
      <sheetName val="見積依頼書"/>
      <sheetName val="Workings"/>
      <sheetName val="月度抄表"/>
      <sheetName val="低压抄表"/>
      <sheetName val="TMK280-02"/>
      <sheetName val="data"/>
      <sheetName val="数据库"/>
      <sheetName val="B.2"/>
      <sheetName val="E.2"/>
      <sheetName val="C.3"/>
      <sheetName val="DATAT"/>
      <sheetName val="Sheet3"/>
      <sheetName val="#REF"/>
      <sheetName val="1-0. DMD"/>
      <sheetName val="13、管理部门_仓储办"/>
      <sheetName val="pfx_prov"/>
      <sheetName val="滯料RAW_Data"/>
      <sheetName val="Index"/>
      <sheetName val="呆料RAW_Data"/>
      <sheetName val="物流费用"/>
      <sheetName val="fenxi(内)"/>
      <sheetName val="Oct"/>
      <sheetName val="二级明细-生产"/>
      <sheetName val="工装夹检具"/>
      <sheetName val="Input commodity fallout"/>
      <sheetName val="Reporting"/>
      <sheetName val="Bom(P1)"/>
    </sheetNames>
    <sheetDataSet>
      <sheetData sheetId="0">
        <row r="9">
          <cell r="F9" t="str">
            <v>开始时间</v>
          </cell>
        </row>
        <row r="11">
          <cell r="F11">
            <v>39363</v>
          </cell>
        </row>
        <row r="13">
          <cell r="F13">
            <v>39363</v>
          </cell>
        </row>
        <row r="14">
          <cell r="F14">
            <v>39364</v>
          </cell>
        </row>
        <row r="15">
          <cell r="F15">
            <v>39364</v>
          </cell>
        </row>
        <row r="16">
          <cell r="F16">
            <v>39364</v>
          </cell>
        </row>
        <row r="17">
          <cell r="F17">
            <v>39364</v>
          </cell>
        </row>
        <row r="18">
          <cell r="F18">
            <v>39364</v>
          </cell>
        </row>
        <row r="19">
          <cell r="F19">
            <v>39365</v>
          </cell>
        </row>
        <row r="20">
          <cell r="F20">
            <v>39366</v>
          </cell>
        </row>
        <row r="21">
          <cell r="F21">
            <v>39367</v>
          </cell>
        </row>
        <row r="22">
          <cell r="F22">
            <v>39368</v>
          </cell>
        </row>
        <row r="23">
          <cell r="F23">
            <v>39368</v>
          </cell>
        </row>
        <row r="24">
          <cell r="F24">
            <v>39369</v>
          </cell>
        </row>
        <row r="25">
          <cell r="F25">
            <v>39369</v>
          </cell>
        </row>
        <row r="26">
          <cell r="F26">
            <v>39370</v>
          </cell>
        </row>
        <row r="27">
          <cell r="F27">
            <v>39370</v>
          </cell>
        </row>
        <row r="28">
          <cell r="F28">
            <v>39371</v>
          </cell>
        </row>
        <row r="29">
          <cell r="F29">
            <v>39371</v>
          </cell>
        </row>
        <row r="30">
          <cell r="F30">
            <v>39372</v>
          </cell>
        </row>
        <row r="31">
          <cell r="F31">
            <v>39372</v>
          </cell>
        </row>
        <row r="32">
          <cell r="F32">
            <v>39372</v>
          </cell>
        </row>
        <row r="33">
          <cell r="F33">
            <v>39372</v>
          </cell>
        </row>
        <row r="34">
          <cell r="F34">
            <v>39374</v>
          </cell>
        </row>
        <row r="35">
          <cell r="F35">
            <v>39375</v>
          </cell>
        </row>
        <row r="36">
          <cell r="F36">
            <v>39375</v>
          </cell>
        </row>
        <row r="37">
          <cell r="F37">
            <v>39376</v>
          </cell>
        </row>
        <row r="38">
          <cell r="F38">
            <v>39377</v>
          </cell>
        </row>
        <row r="39">
          <cell r="F39">
            <v>39377</v>
          </cell>
        </row>
        <row r="40">
          <cell r="F40">
            <v>39379</v>
          </cell>
        </row>
        <row r="41">
          <cell r="F41">
            <v>39380</v>
          </cell>
        </row>
        <row r="42">
          <cell r="F42">
            <v>39380</v>
          </cell>
        </row>
        <row r="43">
          <cell r="F43">
            <v>39381</v>
          </cell>
        </row>
        <row r="44">
          <cell r="F44">
            <v>39382</v>
          </cell>
        </row>
        <row r="45">
          <cell r="F45">
            <v>39386</v>
          </cell>
        </row>
        <row r="46">
          <cell r="F46">
            <v>39387</v>
          </cell>
        </row>
        <row r="47">
          <cell r="F47">
            <v>39391</v>
          </cell>
        </row>
        <row r="48">
          <cell r="F48">
            <v>39391</v>
          </cell>
        </row>
        <row r="49">
          <cell r="F49">
            <v>39404</v>
          </cell>
        </row>
        <row r="50">
          <cell r="F50">
            <v>39411</v>
          </cell>
        </row>
        <row r="51">
          <cell r="F51" t="str">
            <v>Plan</v>
          </cell>
        </row>
        <row r="52">
          <cell r="F52" t="str">
            <v>Plan</v>
          </cell>
        </row>
        <row r="53">
          <cell r="F53" t="str">
            <v>Plan</v>
          </cell>
        </row>
        <row r="54">
          <cell r="F54" t="str">
            <v>Plan</v>
          </cell>
        </row>
        <row r="55">
          <cell r="F55" t="str">
            <v>Plan</v>
          </cell>
        </row>
        <row r="56">
          <cell r="F56" t="str">
            <v>Plan</v>
          </cell>
        </row>
        <row r="60">
          <cell r="F60">
            <v>39382</v>
          </cell>
        </row>
        <row r="62">
          <cell r="F62">
            <v>39390</v>
          </cell>
        </row>
        <row r="63">
          <cell r="F63">
            <v>39390</v>
          </cell>
        </row>
        <row r="64">
          <cell r="F64">
            <v>39390</v>
          </cell>
        </row>
        <row r="65">
          <cell r="F65" t="str">
            <v>N.A</v>
          </cell>
        </row>
        <row r="66">
          <cell r="F66" t="str">
            <v>N.A</v>
          </cell>
        </row>
        <row r="67">
          <cell r="F67">
            <v>39390</v>
          </cell>
        </row>
        <row r="70">
          <cell r="F70">
            <v>39390</v>
          </cell>
        </row>
        <row r="71">
          <cell r="F71">
            <v>39390</v>
          </cell>
        </row>
        <row r="72">
          <cell r="F72">
            <v>39390</v>
          </cell>
        </row>
        <row r="73">
          <cell r="F73">
            <v>39390</v>
          </cell>
        </row>
        <row r="74">
          <cell r="F74">
            <v>39390</v>
          </cell>
        </row>
        <row r="78">
          <cell r="F78">
            <v>39390</v>
          </cell>
        </row>
        <row r="79">
          <cell r="F79">
            <v>39390</v>
          </cell>
        </row>
        <row r="80">
          <cell r="F80">
            <v>39390</v>
          </cell>
        </row>
        <row r="81">
          <cell r="F81">
            <v>39390</v>
          </cell>
        </row>
        <row r="82">
          <cell r="F82">
            <v>39390</v>
          </cell>
        </row>
        <row r="85">
          <cell r="F85">
            <v>39390</v>
          </cell>
        </row>
        <row r="86">
          <cell r="F86">
            <v>39390</v>
          </cell>
        </row>
        <row r="89">
          <cell r="F89" t="str">
            <v>Plan</v>
          </cell>
        </row>
        <row r="90">
          <cell r="F90" t="str">
            <v>Plan</v>
          </cell>
        </row>
        <row r="93">
          <cell r="F93" t="str">
            <v>L</v>
          </cell>
        </row>
        <row r="94">
          <cell r="F94" t="str">
            <v>L</v>
          </cell>
        </row>
        <row r="95">
          <cell r="F95" t="str">
            <v>S</v>
          </cell>
        </row>
        <row r="96">
          <cell r="F96" t="str">
            <v>L</v>
          </cell>
        </row>
        <row r="97">
          <cell r="F97" t="str">
            <v>L</v>
          </cell>
        </row>
        <row r="98">
          <cell r="F98">
            <v>39364</v>
          </cell>
        </row>
        <row r="99">
          <cell r="F99" t="str">
            <v>L</v>
          </cell>
        </row>
        <row r="100">
          <cell r="F100" t="str">
            <v>N.A</v>
          </cell>
        </row>
        <row r="101">
          <cell r="F101">
            <v>39364</v>
          </cell>
        </row>
        <row r="102">
          <cell r="F102" t="str">
            <v>N.A</v>
          </cell>
        </row>
        <row r="103">
          <cell r="F103" t="str">
            <v>L</v>
          </cell>
        </row>
        <row r="104">
          <cell r="F104">
            <v>39364</v>
          </cell>
        </row>
        <row r="105">
          <cell r="F105">
            <v>39370</v>
          </cell>
        </row>
        <row r="106">
          <cell r="F106" t="str">
            <v>L</v>
          </cell>
        </row>
        <row r="107">
          <cell r="F107">
            <v>39364</v>
          </cell>
        </row>
        <row r="108">
          <cell r="F108">
            <v>39364</v>
          </cell>
        </row>
        <row r="109">
          <cell r="F109">
            <v>39364</v>
          </cell>
        </row>
        <row r="110">
          <cell r="F110">
            <v>39364</v>
          </cell>
        </row>
        <row r="111">
          <cell r="F111" t="str">
            <v>L</v>
          </cell>
        </row>
        <row r="112">
          <cell r="F112" t="str">
            <v>L</v>
          </cell>
        </row>
        <row r="113">
          <cell r="F113">
            <v>39364</v>
          </cell>
        </row>
        <row r="114">
          <cell r="F114" t="str">
            <v>L</v>
          </cell>
        </row>
        <row r="115">
          <cell r="F115" t="str">
            <v>L</v>
          </cell>
        </row>
        <row r="116">
          <cell r="F116" t="str">
            <v>L</v>
          </cell>
        </row>
        <row r="117">
          <cell r="F117">
            <v>39364</v>
          </cell>
        </row>
        <row r="118">
          <cell r="F118">
            <v>39364</v>
          </cell>
        </row>
        <row r="119">
          <cell r="F119">
            <v>39364</v>
          </cell>
        </row>
        <row r="122">
          <cell r="F122" t="str">
            <v>Plan</v>
          </cell>
        </row>
        <row r="123">
          <cell r="F123" t="str">
            <v>Plan</v>
          </cell>
        </row>
        <row r="129">
          <cell r="F129">
            <v>39364</v>
          </cell>
        </row>
        <row r="130">
          <cell r="F130" t="str">
            <v>Plan</v>
          </cell>
        </row>
        <row r="131">
          <cell r="F131" t="str">
            <v>Plan</v>
          </cell>
        </row>
        <row r="132">
          <cell r="F132" t="str">
            <v>Plan</v>
          </cell>
        </row>
        <row r="133">
          <cell r="F133" t="str">
            <v>Plan</v>
          </cell>
        </row>
        <row r="134">
          <cell r="F134" t="str">
            <v>Plan</v>
          </cell>
        </row>
        <row r="135">
          <cell r="F135" t="str">
            <v>Plan</v>
          </cell>
        </row>
        <row r="136">
          <cell r="F136" t="str">
            <v>Plan</v>
          </cell>
        </row>
        <row r="137">
          <cell r="F137" t="str">
            <v>Plan</v>
          </cell>
        </row>
        <row r="138">
          <cell r="F138" t="str">
            <v>Plan</v>
          </cell>
        </row>
        <row r="139">
          <cell r="F139" t="str">
            <v>Plan</v>
          </cell>
        </row>
        <row r="140">
          <cell r="F140" t="str">
            <v>Plan</v>
          </cell>
        </row>
        <row r="141">
          <cell r="F141" t="str">
            <v>Plan</v>
          </cell>
        </row>
        <row r="142">
          <cell r="F142" t="str">
            <v>Plan</v>
          </cell>
        </row>
        <row r="143">
          <cell r="F143" t="str">
            <v>Plan</v>
          </cell>
        </row>
        <row r="144">
          <cell r="F144" t="str">
            <v>Plan</v>
          </cell>
        </row>
        <row r="145">
          <cell r="F145" t="str">
            <v>Plan</v>
          </cell>
        </row>
        <row r="146">
          <cell r="F146" t="str">
            <v>Plan</v>
          </cell>
        </row>
        <row r="147">
          <cell r="F147" t="str">
            <v>Plan</v>
          </cell>
        </row>
        <row r="148">
          <cell r="F148" t="str">
            <v>Plan</v>
          </cell>
        </row>
        <row r="149">
          <cell r="F149" t="str">
            <v>Plan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页"/>
      <sheetName val="履历页"/>
      <sheetName val="设计信息汇总"/>
      <sheetName val="设计总表"/>
      <sheetName val="BOM"/>
      <sheetName val="注液量计算"/>
      <sheetName val="厚度尺寸链计算"/>
      <sheetName val="重量和容量公差计算"/>
      <sheetName val="尺寸公差核算"/>
      <sheetName val="DCR核算"/>
      <sheetName val="导热系数详细"/>
      <sheetName val="BOM极致目标"/>
      <sheetName val="成本分解及pre-A样分组"/>
      <sheetName val="示意图"/>
    </sheetNames>
    <sheetDataSet>
      <sheetData sheetId="0"/>
      <sheetData sheetId="1"/>
      <sheetData sheetId="2"/>
      <sheetData sheetId="3">
        <row r="5">
          <cell r="B5">
            <v>40.400000000000006</v>
          </cell>
          <cell r="I5">
            <v>132</v>
          </cell>
          <cell r="N5">
            <v>137</v>
          </cell>
          <cell r="P5">
            <v>2</v>
          </cell>
        </row>
        <row r="8">
          <cell r="G8">
            <v>199.43154337242035</v>
          </cell>
          <cell r="I8">
            <v>1.6080000000000001</v>
          </cell>
        </row>
        <row r="9">
          <cell r="G9">
            <v>310.35141329258977</v>
          </cell>
          <cell r="I9">
            <v>3.5059999999999998</v>
          </cell>
        </row>
        <row r="15">
          <cell r="D15">
            <v>1.15E-2</v>
          </cell>
          <cell r="G15">
            <v>3.0000000000000001E-3</v>
          </cell>
          <cell r="I15">
            <v>5.0000000000000001E-3</v>
          </cell>
          <cell r="J15">
            <v>1.2E-2</v>
          </cell>
        </row>
        <row r="32">
          <cell r="C32">
            <v>0.05</v>
          </cell>
        </row>
        <row r="33">
          <cell r="C33">
            <v>0.24</v>
          </cell>
        </row>
        <row r="34">
          <cell r="C34">
            <v>0.26</v>
          </cell>
        </row>
        <row r="35">
          <cell r="C35">
            <v>0.4</v>
          </cell>
        </row>
        <row r="36">
          <cell r="F36">
            <v>0.5</v>
          </cell>
        </row>
        <row r="37">
          <cell r="F37">
            <v>0.03</v>
          </cell>
        </row>
        <row r="38">
          <cell r="F38">
            <v>0.08</v>
          </cell>
        </row>
        <row r="39">
          <cell r="F39">
            <v>0.08</v>
          </cell>
        </row>
        <row r="40">
          <cell r="F40">
            <v>0.03</v>
          </cell>
        </row>
        <row r="43">
          <cell r="C43">
            <v>0.01</v>
          </cell>
        </row>
        <row r="44">
          <cell r="C44">
            <v>0.02</v>
          </cell>
        </row>
        <row r="45">
          <cell r="C45">
            <v>0.02</v>
          </cell>
        </row>
        <row r="46">
          <cell r="C46">
            <v>0.05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showGridLines="0" view="pageBreakPreview" topLeftCell="A4" zoomScaleNormal="100" zoomScaleSheetLayoutView="100" workbookViewId="0">
      <selection activeCell="E24" sqref="E24"/>
    </sheetView>
  </sheetViews>
  <sheetFormatPr defaultRowHeight="13.8"/>
  <cols>
    <col min="1" max="1" width="0.77734375" customWidth="1"/>
    <col min="2" max="8" width="12.6640625" customWidth="1"/>
  </cols>
  <sheetData>
    <row r="1" spans="2:9" ht="4.5" customHeight="1"/>
    <row r="2" spans="2:9" ht="20.100000000000001" customHeight="1">
      <c r="B2" s="101" t="s">
        <v>200</v>
      </c>
    </row>
    <row r="3" spans="2:9" ht="20.100000000000001" customHeight="1"/>
    <row r="4" spans="2:9" ht="20.100000000000001" customHeight="1"/>
    <row r="5" spans="2:9" ht="20.100000000000001" customHeight="1"/>
    <row r="6" spans="2:9" ht="20.100000000000001" customHeight="1"/>
    <row r="7" spans="2:9" ht="30" customHeight="1">
      <c r="B7" s="324" t="s">
        <v>508</v>
      </c>
      <c r="C7" s="325"/>
      <c r="D7" s="325"/>
      <c r="E7" s="325"/>
      <c r="F7" s="325"/>
      <c r="G7" s="325"/>
      <c r="H7" s="325"/>
      <c r="I7" s="325"/>
    </row>
    <row r="8" spans="2:9" ht="20.100000000000001" customHeight="1"/>
    <row r="10" spans="2:9" ht="20.100000000000001" customHeight="1">
      <c r="B10" s="323" t="s">
        <v>44</v>
      </c>
      <c r="C10" s="323"/>
      <c r="D10" s="323"/>
      <c r="E10" s="323"/>
      <c r="F10" s="323"/>
      <c r="G10" s="323"/>
      <c r="H10" s="323"/>
    </row>
    <row r="11" spans="2:9" ht="31.5" customHeight="1">
      <c r="E11" t="s">
        <v>199</v>
      </c>
    </row>
    <row r="12" spans="2:9" ht="20.100000000000001" customHeight="1"/>
    <row r="13" spans="2:9" ht="20.100000000000001" customHeight="1"/>
    <row r="14" spans="2:9" ht="20.100000000000001" customHeight="1">
      <c r="D14" s="3" t="s">
        <v>0</v>
      </c>
      <c r="E14" s="99" t="s">
        <v>509</v>
      </c>
      <c r="F14" s="2"/>
      <c r="G14" s="2"/>
      <c r="H14" s="2"/>
    </row>
    <row r="15" spans="2:9" ht="20.100000000000001" customHeight="1">
      <c r="D15" s="3" t="s">
        <v>8</v>
      </c>
      <c r="E15" s="100" t="s">
        <v>510</v>
      </c>
      <c r="F15" s="2"/>
      <c r="G15" s="2"/>
      <c r="H15" s="2"/>
    </row>
    <row r="16" spans="2:9" ht="20.100000000000001" customHeight="1">
      <c r="D16" s="3" t="s">
        <v>1</v>
      </c>
      <c r="E16" s="116">
        <v>45824</v>
      </c>
      <c r="F16" s="2"/>
      <c r="G16" s="2"/>
      <c r="H16" s="2"/>
    </row>
    <row r="17" spans="2:8" ht="20.100000000000001" customHeight="1">
      <c r="B17" s="323"/>
      <c r="C17" s="323"/>
      <c r="D17" s="323"/>
      <c r="E17" s="323"/>
      <c r="F17" s="323"/>
      <c r="G17" s="323"/>
      <c r="H17" s="323"/>
    </row>
    <row r="18" spans="2:8" ht="20.100000000000001" customHeight="1">
      <c r="D18" s="2"/>
      <c r="E18" s="2"/>
      <c r="F18" s="2"/>
      <c r="G18" s="2"/>
      <c r="H18" s="2"/>
    </row>
    <row r="19" spans="2:8" ht="20.100000000000001" customHeight="1">
      <c r="H19" s="2"/>
    </row>
    <row r="20" spans="2:8" ht="20.100000000000001" customHeight="1">
      <c r="H20" s="2"/>
    </row>
    <row r="21" spans="2:8" ht="20.100000000000001" customHeight="1">
      <c r="H21" s="2"/>
    </row>
    <row r="22" spans="2:8" ht="20.100000000000001" customHeight="1">
      <c r="C22" s="19" t="s">
        <v>3</v>
      </c>
      <c r="D22" s="19" t="s">
        <v>4</v>
      </c>
      <c r="E22" s="19" t="s">
        <v>5</v>
      </c>
      <c r="F22" s="19" t="s">
        <v>6</v>
      </c>
      <c r="G22" s="19" t="s">
        <v>7</v>
      </c>
      <c r="H22" s="2"/>
    </row>
    <row r="23" spans="2:8" ht="20.100000000000001" customHeight="1">
      <c r="C23" s="4"/>
      <c r="D23" s="4"/>
      <c r="E23" s="4"/>
      <c r="F23" s="4"/>
      <c r="G23" s="4"/>
      <c r="H23" s="2"/>
    </row>
    <row r="24" spans="2:8" ht="20.100000000000001" customHeight="1">
      <c r="C24" s="2"/>
      <c r="D24" s="2"/>
      <c r="E24" s="2"/>
      <c r="F24" s="2"/>
      <c r="G24" s="2"/>
      <c r="H24" s="2"/>
    </row>
    <row r="25" spans="2:8" ht="20.100000000000001" customHeight="1">
      <c r="C25" s="1"/>
      <c r="D25" s="2"/>
      <c r="E25" s="2"/>
      <c r="F25" s="2"/>
      <c r="G25" s="2"/>
      <c r="H25" s="2"/>
    </row>
    <row r="26" spans="2:8" ht="20.100000000000001" customHeight="1">
      <c r="H26" s="2"/>
    </row>
    <row r="27" spans="2:8" ht="20.100000000000001" customHeight="1"/>
    <row r="28" spans="2:8" ht="20.100000000000001" customHeight="1"/>
    <row r="29" spans="2:8" ht="20.100000000000001" customHeight="1"/>
    <row r="30" spans="2:8" ht="20.100000000000001" customHeight="1"/>
    <row r="31" spans="2:8" ht="20.100000000000001" customHeight="1"/>
    <row r="32" spans="2:8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</sheetData>
  <mergeCells count="3">
    <mergeCell ref="B10:H10"/>
    <mergeCell ref="B17:H17"/>
    <mergeCell ref="B7:I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showGridLines="0" workbookViewId="0">
      <selection activeCell="E20" sqref="E20"/>
    </sheetView>
  </sheetViews>
  <sheetFormatPr defaultRowHeight="13.8"/>
  <sheetData>
    <row r="2" spans="2:9">
      <c r="B2" t="s">
        <v>241</v>
      </c>
    </row>
    <row r="3" spans="2:9">
      <c r="B3" s="121" t="s">
        <v>242</v>
      </c>
      <c r="C3" t="s">
        <v>244</v>
      </c>
    </row>
    <row r="4" spans="2:9">
      <c r="B4" s="121" t="s">
        <v>243</v>
      </c>
      <c r="C4" t="s">
        <v>360</v>
      </c>
    </row>
    <row r="5" spans="2:9">
      <c r="B5" s="121"/>
      <c r="C5" t="s">
        <v>361</v>
      </c>
    </row>
    <row r="6" spans="2:9">
      <c r="B6" s="121"/>
      <c r="C6" t="s">
        <v>359</v>
      </c>
    </row>
    <row r="7" spans="2:9">
      <c r="B7" s="121"/>
      <c r="C7" t="s">
        <v>255</v>
      </c>
    </row>
    <row r="8" spans="2:9">
      <c r="B8" s="121"/>
      <c r="C8" s="164" t="s">
        <v>362</v>
      </c>
      <c r="D8" s="165"/>
      <c r="E8" s="165"/>
      <c r="F8" s="165"/>
      <c r="G8" s="165"/>
      <c r="H8" s="165"/>
      <c r="I8" s="165"/>
    </row>
    <row r="9" spans="2:9">
      <c r="B9" s="121"/>
      <c r="C9" t="s">
        <v>363</v>
      </c>
    </row>
    <row r="10" spans="2:9">
      <c r="B10" s="121" t="s">
        <v>258</v>
      </c>
      <c r="C10" t="s">
        <v>264</v>
      </c>
    </row>
    <row r="11" spans="2:9">
      <c r="B11" s="121" t="s">
        <v>259</v>
      </c>
      <c r="C11" t="s">
        <v>247</v>
      </c>
    </row>
    <row r="12" spans="2:9">
      <c r="B12" s="121" t="s">
        <v>260</v>
      </c>
      <c r="C12" t="s">
        <v>245</v>
      </c>
    </row>
    <row r="13" spans="2:9">
      <c r="B13" s="121" t="s">
        <v>261</v>
      </c>
      <c r="C13" t="s">
        <v>256</v>
      </c>
    </row>
    <row r="14" spans="2:9">
      <c r="B14" s="121" t="s">
        <v>262</v>
      </c>
      <c r="C14" t="s">
        <v>246</v>
      </c>
    </row>
    <row r="15" spans="2:9">
      <c r="B15" s="121" t="s">
        <v>263</v>
      </c>
      <c r="C15" t="s">
        <v>257</v>
      </c>
    </row>
    <row r="16" spans="2:9">
      <c r="B16" s="121"/>
    </row>
    <row r="17" spans="2:2">
      <c r="B17" s="121"/>
    </row>
    <row r="18" spans="2:2">
      <c r="B18" s="1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Q28"/>
  <sheetViews>
    <sheetView showGridLines="0" tabSelected="1" view="pageBreakPreview" zoomScale="85" zoomScaleNormal="55" zoomScaleSheetLayoutView="85" workbookViewId="0">
      <selection activeCell="F10" sqref="F10"/>
    </sheetView>
  </sheetViews>
  <sheetFormatPr defaultColWidth="9" defaultRowHeight="13.8"/>
  <cols>
    <col min="1" max="1" width="1" style="7" customWidth="1"/>
    <col min="2" max="2" width="1.88671875" style="7" customWidth="1"/>
    <col min="3" max="3" width="13.88671875" style="8" customWidth="1"/>
    <col min="4" max="4" width="6" style="8" bestFit="1" customWidth="1"/>
    <col min="5" max="5" width="34.5546875" style="8" customWidth="1"/>
    <col min="6" max="6" width="11.88671875" style="8" customWidth="1"/>
    <col min="7" max="7" width="21.77734375" style="8" customWidth="1"/>
    <col min="8" max="16384" width="9" style="7"/>
  </cols>
  <sheetData>
    <row r="1" spans="3:43" ht="6.75" customHeight="1"/>
    <row r="3" spans="3:43">
      <c r="E3" s="7"/>
      <c r="F3" s="13" t="s">
        <v>15</v>
      </c>
      <c r="G3" s="10" t="str">
        <f>封面!E14</f>
        <v>L246N183A-B2样-ZCBZ</v>
      </c>
    </row>
    <row r="4" spans="3:43">
      <c r="E4" s="7"/>
      <c r="F4" s="13" t="s">
        <v>16</v>
      </c>
      <c r="G4" s="10" t="str">
        <f>封面!E15</f>
        <v>B2</v>
      </c>
    </row>
    <row r="5" spans="3:43">
      <c r="E5" s="7"/>
      <c r="F5" s="13" t="s">
        <v>2</v>
      </c>
      <c r="G5" s="95">
        <f>封面!E16</f>
        <v>45824</v>
      </c>
    </row>
    <row r="6" spans="3:43" ht="14.25" customHeight="1">
      <c r="D6" s="9"/>
      <c r="E6" s="9"/>
      <c r="F6" s="9"/>
      <c r="G6" s="9"/>
      <c r="H6" s="5"/>
      <c r="I6" s="5"/>
      <c r="J6" s="5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3:43" ht="41.25" customHeight="1">
      <c r="C7" s="326" t="s">
        <v>14</v>
      </c>
      <c r="D7" s="326"/>
      <c r="E7" s="326"/>
      <c r="F7" s="326"/>
      <c r="G7" s="32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spans="3:43" ht="27.75" customHeight="1">
      <c r="C8" s="11" t="s">
        <v>9</v>
      </c>
      <c r="D8" s="11" t="s">
        <v>10</v>
      </c>
      <c r="E8" s="11" t="s">
        <v>11</v>
      </c>
      <c r="F8" s="12" t="s">
        <v>13</v>
      </c>
      <c r="G8" s="11" t="s">
        <v>12</v>
      </c>
      <c r="H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P8" s="5"/>
      <c r="AQ8" s="5"/>
    </row>
    <row r="9" spans="3:43" ht="15.6">
      <c r="C9" s="30">
        <v>20240720</v>
      </c>
      <c r="D9" s="30">
        <v>0</v>
      </c>
      <c r="E9" s="219" t="s">
        <v>427</v>
      </c>
      <c r="F9" s="220"/>
      <c r="G9" s="30"/>
      <c r="H9" s="5"/>
      <c r="I9" s="5"/>
      <c r="J9" s="5"/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spans="3:43" ht="409.2" customHeight="1">
      <c r="C10" s="70">
        <v>20250117</v>
      </c>
      <c r="D10" s="70" t="s">
        <v>505</v>
      </c>
      <c r="E10" s="287" t="s">
        <v>553</v>
      </c>
      <c r="F10" s="10"/>
      <c r="G10" s="10"/>
    </row>
    <row r="11" spans="3:43" ht="409.05" customHeight="1">
      <c r="C11" s="329">
        <v>20250530</v>
      </c>
      <c r="D11" s="329" t="s">
        <v>514</v>
      </c>
      <c r="E11" s="327" t="s">
        <v>589</v>
      </c>
      <c r="F11" s="331"/>
      <c r="G11" s="331"/>
    </row>
    <row r="12" spans="3:43" ht="215.55" customHeight="1">
      <c r="C12" s="330"/>
      <c r="D12" s="330"/>
      <c r="E12" s="328"/>
      <c r="F12" s="332"/>
      <c r="G12" s="332"/>
    </row>
    <row r="13" spans="3:43">
      <c r="C13" s="10"/>
      <c r="D13" s="10"/>
      <c r="E13" s="10"/>
      <c r="F13" s="10"/>
      <c r="G13" s="10"/>
    </row>
    <row r="14" spans="3:43">
      <c r="C14" s="10"/>
      <c r="D14" s="10"/>
      <c r="E14" s="10"/>
      <c r="F14" s="10"/>
      <c r="G14" s="10"/>
    </row>
    <row r="15" spans="3:43">
      <c r="C15" s="10"/>
      <c r="D15" s="10"/>
      <c r="E15" s="10"/>
      <c r="F15" s="10"/>
      <c r="G15" s="10"/>
    </row>
    <row r="16" spans="3:43">
      <c r="C16" s="10"/>
      <c r="D16" s="10"/>
      <c r="E16" s="10"/>
      <c r="F16" s="10"/>
      <c r="G16" s="10"/>
    </row>
    <row r="17" spans="3:8">
      <c r="C17" s="10"/>
      <c r="D17" s="10"/>
      <c r="E17" s="10"/>
      <c r="F17" s="10"/>
      <c r="G17" s="10"/>
    </row>
    <row r="18" spans="3:8">
      <c r="C18" s="10"/>
      <c r="D18" s="10"/>
      <c r="E18" s="10"/>
      <c r="F18" s="10"/>
      <c r="G18" s="10"/>
    </row>
    <row r="19" spans="3:8">
      <c r="C19" s="10"/>
      <c r="D19" s="10"/>
      <c r="E19" s="10"/>
      <c r="F19" s="10"/>
      <c r="G19" s="10"/>
    </row>
    <row r="20" spans="3:8">
      <c r="C20" s="10"/>
      <c r="D20" s="10"/>
      <c r="E20" s="10"/>
      <c r="F20" s="10"/>
      <c r="G20" s="10"/>
    </row>
    <row r="21" spans="3:8">
      <c r="C21" s="10"/>
      <c r="D21" s="10"/>
      <c r="E21" s="10"/>
      <c r="F21" s="10"/>
      <c r="G21" s="10"/>
    </row>
    <row r="22" spans="3:8">
      <c r="C22" s="10"/>
      <c r="D22" s="10"/>
      <c r="E22" s="10"/>
      <c r="F22" s="10"/>
      <c r="G22" s="10"/>
    </row>
    <row r="23" spans="3:8">
      <c r="C23" s="10"/>
      <c r="D23" s="10"/>
      <c r="E23" s="10"/>
      <c r="F23" s="10"/>
      <c r="G23" s="10"/>
    </row>
    <row r="24" spans="3:8">
      <c r="C24" s="10"/>
      <c r="D24" s="10"/>
      <c r="E24" s="10"/>
      <c r="F24" s="10"/>
      <c r="G24" s="10"/>
    </row>
    <row r="25" spans="3:8">
      <c r="C25" s="10"/>
      <c r="D25" s="10"/>
      <c r="E25" s="10"/>
      <c r="F25" s="10"/>
      <c r="G25" s="10"/>
    </row>
    <row r="26" spans="3:8">
      <c r="C26" s="10"/>
      <c r="D26" s="10"/>
      <c r="E26" s="10"/>
      <c r="F26" s="10"/>
      <c r="G26" s="10"/>
    </row>
    <row r="27" spans="3:8">
      <c r="C27" s="10"/>
      <c r="D27" s="10"/>
      <c r="E27" s="10"/>
      <c r="F27" s="10"/>
      <c r="G27" s="10"/>
    </row>
    <row r="28" spans="3:8">
      <c r="H28" s="20"/>
    </row>
  </sheetData>
  <mergeCells count="6">
    <mergeCell ref="C7:G7"/>
    <mergeCell ref="E11:E12"/>
    <mergeCell ref="C11:C12"/>
    <mergeCell ref="D11:D12"/>
    <mergeCell ref="F11:F12"/>
    <mergeCell ref="G11:G12"/>
  </mergeCells>
  <phoneticPr fontId="2" type="noConversion"/>
  <pageMargins left="0.7" right="0.7" top="0.75" bottom="0.75" header="0.3" footer="0.3"/>
  <pageSetup paperSize="9" scale="8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74"/>
  <sheetViews>
    <sheetView showGridLines="0" view="pageBreakPreview" topLeftCell="A16" zoomScale="85" zoomScaleNormal="100" zoomScaleSheetLayoutView="85" workbookViewId="0">
      <selection activeCell="F24" sqref="F24"/>
    </sheetView>
  </sheetViews>
  <sheetFormatPr defaultColWidth="9" defaultRowHeight="13.8"/>
  <cols>
    <col min="1" max="1" width="1.109375" style="39" customWidth="1"/>
    <col min="2" max="2" width="1.88671875" style="39" customWidth="1"/>
    <col min="3" max="3" width="10.109375" style="38" customWidth="1"/>
    <col min="4" max="4" width="23.77734375" style="36" customWidth="1"/>
    <col min="5" max="5" width="12" style="38" customWidth="1"/>
    <col min="6" max="6" width="33.109375" style="38" customWidth="1"/>
    <col min="7" max="7" width="44.109375" style="38" customWidth="1"/>
    <col min="8" max="8" width="29.21875" style="39" customWidth="1"/>
    <col min="9" max="9" width="6.88671875" style="39" customWidth="1"/>
    <col min="10" max="18" width="9" style="392"/>
    <col min="19" max="16384" width="9" style="39"/>
  </cols>
  <sheetData>
    <row r="1" spans="2:26" ht="6.75" customHeight="1"/>
    <row r="2" spans="2:26">
      <c r="B2" s="45"/>
      <c r="C2" s="46"/>
      <c r="D2" s="78"/>
      <c r="E2" s="46"/>
      <c r="F2" s="46"/>
      <c r="G2" s="46"/>
      <c r="H2" s="47"/>
      <c r="I2" s="48"/>
    </row>
    <row r="3" spans="2:26" ht="14.25" customHeight="1">
      <c r="B3" s="49"/>
      <c r="C3" s="337" t="str">
        <f>封面!B7</f>
        <v>L246N183A-B2验证样-设计制程标准</v>
      </c>
      <c r="D3" s="337"/>
      <c r="E3" s="337"/>
      <c r="F3" s="338"/>
      <c r="G3" s="70" t="s">
        <v>15</v>
      </c>
      <c r="H3" s="71" t="str">
        <f>封面!E14</f>
        <v>L246N183A-B2样-ZCBZ</v>
      </c>
      <c r="I3" s="52"/>
    </row>
    <row r="4" spans="2:26" ht="15.75" customHeight="1">
      <c r="B4" s="49"/>
      <c r="C4" s="337"/>
      <c r="D4" s="337"/>
      <c r="E4" s="337"/>
      <c r="F4" s="338"/>
      <c r="G4" s="70" t="s">
        <v>16</v>
      </c>
      <c r="H4" s="71" t="str">
        <f>封面!E15</f>
        <v>B2</v>
      </c>
      <c r="I4" s="52"/>
    </row>
    <row r="5" spans="2:26" ht="14.25" customHeight="1">
      <c r="B5" s="49"/>
      <c r="C5" s="337"/>
      <c r="D5" s="337"/>
      <c r="E5" s="337"/>
      <c r="F5" s="338"/>
      <c r="G5" s="70" t="s">
        <v>2</v>
      </c>
      <c r="H5" s="96">
        <f>封面!E16</f>
        <v>45824</v>
      </c>
      <c r="I5" s="52"/>
    </row>
    <row r="6" spans="2:26" ht="21" customHeight="1">
      <c r="B6" s="49"/>
      <c r="C6" s="339" t="s">
        <v>161</v>
      </c>
      <c r="D6" s="339"/>
      <c r="E6" s="339"/>
      <c r="F6" s="339"/>
      <c r="G6" s="40"/>
      <c r="I6" s="52"/>
    </row>
    <row r="7" spans="2:26" ht="14.4" thickBot="1">
      <c r="B7" s="53"/>
      <c r="C7" s="54"/>
      <c r="D7" s="56"/>
      <c r="E7" s="55"/>
      <c r="F7" s="55"/>
      <c r="G7" s="56"/>
      <c r="H7" s="55"/>
      <c r="I7" s="52"/>
    </row>
    <row r="8" spans="2:26" ht="6" customHeight="1" thickTop="1">
      <c r="B8" s="49"/>
      <c r="E8" s="39"/>
      <c r="F8" s="39"/>
      <c r="G8" s="36"/>
      <c r="I8" s="75"/>
    </row>
    <row r="9" spans="2:26" ht="20.100000000000001" customHeight="1">
      <c r="B9" s="49"/>
      <c r="C9" s="14" t="s">
        <v>17</v>
      </c>
      <c r="D9" s="79"/>
      <c r="E9" s="15"/>
      <c r="F9" s="15"/>
      <c r="G9" s="15"/>
      <c r="H9" s="15"/>
      <c r="I9" s="24"/>
      <c r="J9" s="393"/>
      <c r="K9" s="393"/>
      <c r="L9" s="393"/>
      <c r="M9" s="393"/>
      <c r="N9" s="393"/>
      <c r="O9" s="393"/>
      <c r="P9" s="393"/>
      <c r="Q9" s="393"/>
      <c r="R9" s="393"/>
      <c r="S9" s="15"/>
      <c r="T9" s="15"/>
      <c r="U9" s="15"/>
      <c r="V9" s="15"/>
      <c r="W9" s="16"/>
      <c r="X9" s="15"/>
      <c r="Y9" s="15"/>
      <c r="Z9" s="15"/>
    </row>
    <row r="10" spans="2:26" ht="29.25" customHeight="1" thickBot="1">
      <c r="B10" s="49"/>
      <c r="C10" s="21" t="s">
        <v>55</v>
      </c>
      <c r="D10" s="82" t="s">
        <v>54</v>
      </c>
      <c r="E10" s="21" t="s">
        <v>68</v>
      </c>
      <c r="F10" s="21" t="s">
        <v>69</v>
      </c>
      <c r="G10" s="21" t="s">
        <v>70</v>
      </c>
      <c r="H10" s="21" t="s">
        <v>158</v>
      </c>
      <c r="I10" s="52"/>
    </row>
    <row r="11" spans="2:26" ht="20.100000000000001" customHeight="1" thickTop="1">
      <c r="B11" s="49"/>
      <c r="C11" s="342" t="s">
        <v>554</v>
      </c>
      <c r="D11" s="103" t="s">
        <v>71</v>
      </c>
      <c r="E11" s="33" t="s">
        <v>19</v>
      </c>
      <c r="F11" s="387" t="s">
        <v>395</v>
      </c>
      <c r="G11" s="286" t="s">
        <v>19</v>
      </c>
      <c r="H11" s="340"/>
      <c r="I11" s="52"/>
    </row>
    <row r="12" spans="2:26" ht="20.100000000000001" customHeight="1">
      <c r="B12" s="49"/>
      <c r="C12" s="335"/>
      <c r="D12" s="104" t="s">
        <v>51</v>
      </c>
      <c r="E12" s="33" t="s">
        <v>19</v>
      </c>
      <c r="F12" s="286" t="s">
        <v>201</v>
      </c>
      <c r="G12" s="286" t="s">
        <v>19</v>
      </c>
      <c r="H12" s="341"/>
      <c r="I12" s="52"/>
    </row>
    <row r="13" spans="2:26" ht="16.649999999999999" customHeight="1">
      <c r="B13" s="49"/>
      <c r="C13" s="335"/>
      <c r="D13" s="343" t="s">
        <v>18</v>
      </c>
      <c r="E13" s="33" t="s">
        <v>90</v>
      </c>
      <c r="F13" s="162"/>
      <c r="G13" s="162"/>
      <c r="H13" s="148"/>
      <c r="I13" s="52"/>
    </row>
    <row r="14" spans="2:26" ht="52.8">
      <c r="B14" s="49"/>
      <c r="C14" s="335"/>
      <c r="D14" s="344"/>
      <c r="E14" s="114" t="s">
        <v>91</v>
      </c>
      <c r="F14" s="162" t="s">
        <v>441</v>
      </c>
      <c r="G14" s="162" t="s">
        <v>445</v>
      </c>
      <c r="H14" s="149"/>
      <c r="I14" s="52"/>
    </row>
    <row r="15" spans="2:26" ht="30.6" customHeight="1">
      <c r="B15" s="49"/>
      <c r="C15" s="335"/>
      <c r="D15" s="345"/>
      <c r="E15" s="146" t="s">
        <v>254</v>
      </c>
      <c r="F15" s="162" t="s">
        <v>428</v>
      </c>
      <c r="G15" s="162" t="s">
        <v>368</v>
      </c>
      <c r="H15" s="163"/>
      <c r="I15" s="52"/>
    </row>
    <row r="16" spans="2:26" ht="20.100000000000001" customHeight="1">
      <c r="B16" s="49"/>
      <c r="C16" s="335"/>
      <c r="D16" s="343" t="s">
        <v>95</v>
      </c>
      <c r="E16" s="33" t="s">
        <v>92</v>
      </c>
      <c r="F16" s="147" t="s">
        <v>159</v>
      </c>
      <c r="G16" s="214" t="s">
        <v>396</v>
      </c>
      <c r="H16" s="129"/>
      <c r="I16" s="52"/>
    </row>
    <row r="17" spans="2:9" ht="20.100000000000001" customHeight="1">
      <c r="B17" s="49"/>
      <c r="C17" s="336"/>
      <c r="D17" s="345"/>
      <c r="E17" s="33" t="s">
        <v>93</v>
      </c>
      <c r="F17" s="147" t="s">
        <v>160</v>
      </c>
      <c r="G17" s="215">
        <v>4.0000000000000001E-3</v>
      </c>
      <c r="H17" s="129"/>
      <c r="I17" s="52"/>
    </row>
    <row r="18" spans="2:9" ht="20.100000000000001" customHeight="1">
      <c r="B18" s="49"/>
      <c r="C18" s="334" t="s">
        <v>56</v>
      </c>
      <c r="D18" s="90" t="s">
        <v>20</v>
      </c>
      <c r="E18" s="33" t="s">
        <v>21</v>
      </c>
      <c r="F18" s="146" t="s">
        <v>401</v>
      </c>
      <c r="G18" s="146" t="s">
        <v>265</v>
      </c>
      <c r="H18" s="128"/>
      <c r="I18" s="52"/>
    </row>
    <row r="19" spans="2:9" ht="20.100000000000001" customHeight="1">
      <c r="B19" s="49"/>
      <c r="C19" s="335"/>
      <c r="D19" s="90" t="s">
        <v>23</v>
      </c>
      <c r="E19" s="33" t="s">
        <v>74</v>
      </c>
      <c r="F19" s="199" t="s">
        <v>402</v>
      </c>
      <c r="G19" s="199" t="s">
        <v>421</v>
      </c>
      <c r="H19" s="128"/>
      <c r="I19" s="52"/>
    </row>
    <row r="20" spans="2:9" ht="20.100000000000001" customHeight="1">
      <c r="B20" s="49"/>
      <c r="C20" s="335"/>
      <c r="D20" s="90" t="s">
        <v>59</v>
      </c>
      <c r="E20" s="229" t="s">
        <v>74</v>
      </c>
      <c r="F20" s="229" t="s">
        <v>45</v>
      </c>
      <c r="G20" s="229" t="s">
        <v>45</v>
      </c>
      <c r="H20" s="230"/>
      <c r="I20" s="52"/>
    </row>
    <row r="21" spans="2:9" ht="20.100000000000001" customHeight="1">
      <c r="B21" s="49"/>
      <c r="C21" s="335"/>
      <c r="D21" s="90" t="s">
        <v>60</v>
      </c>
      <c r="E21" s="229" t="s">
        <v>74</v>
      </c>
      <c r="F21" s="229" t="s">
        <v>45</v>
      </c>
      <c r="G21" s="229" t="s">
        <v>45</v>
      </c>
      <c r="H21" s="230"/>
      <c r="I21" s="52"/>
    </row>
    <row r="22" spans="2:9" ht="35.4" customHeight="1">
      <c r="B22" s="49"/>
      <c r="C22" s="335"/>
      <c r="D22" s="90" t="s">
        <v>57</v>
      </c>
      <c r="E22" s="229" t="s">
        <v>74</v>
      </c>
      <c r="F22" s="290" t="s">
        <v>558</v>
      </c>
      <c r="G22" s="386" t="s">
        <v>559</v>
      </c>
      <c r="H22" s="213" t="s">
        <v>555</v>
      </c>
      <c r="I22" s="52"/>
    </row>
    <row r="23" spans="2:9" ht="33" customHeight="1">
      <c r="B23" s="49"/>
      <c r="C23" s="335"/>
      <c r="D23" s="90" t="s">
        <v>58</v>
      </c>
      <c r="E23" s="229" t="s">
        <v>74</v>
      </c>
      <c r="F23" s="290" t="s">
        <v>557</v>
      </c>
      <c r="G23" s="386" t="s">
        <v>560</v>
      </c>
      <c r="H23" s="213" t="s">
        <v>515</v>
      </c>
      <c r="I23" s="52"/>
    </row>
    <row r="24" spans="2:9" ht="20.100000000000001" customHeight="1">
      <c r="B24" s="49"/>
      <c r="C24" s="335"/>
      <c r="D24" s="98" t="s">
        <v>63</v>
      </c>
      <c r="E24" s="229" t="s">
        <v>22</v>
      </c>
      <c r="F24" s="229" t="s">
        <v>266</v>
      </c>
      <c r="G24" s="229" t="s">
        <v>203</v>
      </c>
      <c r="H24" s="231"/>
      <c r="I24" s="52"/>
    </row>
    <row r="25" spans="2:9" ht="20.100000000000001" customHeight="1">
      <c r="B25" s="49"/>
      <c r="C25" s="335"/>
      <c r="D25" s="90" t="s">
        <v>167</v>
      </c>
      <c r="E25" s="229" t="s">
        <v>96</v>
      </c>
      <c r="F25" s="229" t="s">
        <v>556</v>
      </c>
      <c r="G25" s="229" t="s">
        <v>97</v>
      </c>
      <c r="H25" s="231"/>
      <c r="I25" s="52"/>
    </row>
    <row r="26" spans="2:9" ht="20.100000000000001" customHeight="1">
      <c r="B26" s="49"/>
      <c r="C26" s="335"/>
      <c r="D26" s="90" t="s">
        <v>168</v>
      </c>
      <c r="E26" s="229" t="s">
        <v>96</v>
      </c>
      <c r="F26" s="233" t="s">
        <v>449</v>
      </c>
      <c r="G26" s="233" t="s">
        <v>432</v>
      </c>
      <c r="H26" s="232" t="s">
        <v>439</v>
      </c>
      <c r="I26" s="52"/>
    </row>
    <row r="27" spans="2:9" ht="20.100000000000001" customHeight="1">
      <c r="B27" s="49"/>
      <c r="C27" s="335"/>
      <c r="D27" s="90" t="s">
        <v>169</v>
      </c>
      <c r="E27" s="229" t="s">
        <v>98</v>
      </c>
      <c r="F27" s="303" t="s">
        <v>549</v>
      </c>
      <c r="G27" s="303" t="s">
        <v>546</v>
      </c>
      <c r="H27" s="225"/>
      <c r="I27" s="52"/>
    </row>
    <row r="28" spans="2:9" ht="20.100000000000001" customHeight="1">
      <c r="B28" s="49"/>
      <c r="C28" s="335"/>
      <c r="D28" s="90" t="s">
        <v>61</v>
      </c>
      <c r="E28" s="229" t="s">
        <v>21</v>
      </c>
      <c r="F28" s="237" t="s">
        <v>447</v>
      </c>
      <c r="G28" s="229" t="s">
        <v>267</v>
      </c>
      <c r="H28" s="231"/>
      <c r="I28" s="52"/>
    </row>
    <row r="29" spans="2:9" ht="20.100000000000001" customHeight="1">
      <c r="B29" s="49"/>
      <c r="C29" s="335"/>
      <c r="D29" s="90" t="s">
        <v>62</v>
      </c>
      <c r="E29" s="33" t="s">
        <v>21</v>
      </c>
      <c r="F29" s="238" t="s">
        <v>448</v>
      </c>
      <c r="G29" s="114" t="s">
        <v>45</v>
      </c>
      <c r="H29" s="129"/>
      <c r="I29" s="52"/>
    </row>
    <row r="30" spans="2:9" ht="20.100000000000001" customHeight="1">
      <c r="B30" s="49"/>
      <c r="C30" s="335"/>
      <c r="D30" s="90" t="s">
        <v>248</v>
      </c>
      <c r="E30" s="33" t="s">
        <v>24</v>
      </c>
      <c r="F30" s="388" t="s">
        <v>268</v>
      </c>
      <c r="G30" s="388" t="s">
        <v>268</v>
      </c>
      <c r="H30" s="390" t="s">
        <v>561</v>
      </c>
      <c r="I30" s="52"/>
    </row>
    <row r="31" spans="2:9" ht="20.100000000000001" customHeight="1">
      <c r="B31" s="49"/>
      <c r="C31" s="335"/>
      <c r="D31" s="91" t="s">
        <v>166</v>
      </c>
      <c r="E31" s="33" t="s">
        <v>228</v>
      </c>
      <c r="F31" s="389" t="s">
        <v>406</v>
      </c>
      <c r="G31" s="388" t="s">
        <v>45</v>
      </c>
      <c r="H31" s="390" t="s">
        <v>561</v>
      </c>
      <c r="I31" s="52"/>
    </row>
    <row r="32" spans="2:9" ht="20.100000000000001" customHeight="1">
      <c r="B32" s="49"/>
      <c r="C32" s="336"/>
      <c r="D32" s="91" t="s">
        <v>100</v>
      </c>
      <c r="E32" s="33" t="s">
        <v>89</v>
      </c>
      <c r="F32" s="146" t="s">
        <v>45</v>
      </c>
      <c r="G32" s="114" t="s">
        <v>547</v>
      </c>
      <c r="H32" s="129"/>
      <c r="I32" s="52"/>
    </row>
    <row r="33" spans="2:9" ht="27.6" customHeight="1">
      <c r="B33" s="49"/>
      <c r="C33" s="333" t="s">
        <v>64</v>
      </c>
      <c r="D33" s="91" t="s">
        <v>72</v>
      </c>
      <c r="E33" s="33" t="s">
        <v>75</v>
      </c>
      <c r="F33" s="291">
        <v>3.4889999999999999</v>
      </c>
      <c r="G33" s="291">
        <v>1.587</v>
      </c>
      <c r="H33" s="148" t="s">
        <v>507</v>
      </c>
      <c r="I33" s="52"/>
    </row>
    <row r="34" spans="2:9" ht="22.8" customHeight="1">
      <c r="B34" s="49"/>
      <c r="C34" s="333"/>
      <c r="D34" s="90" t="s">
        <v>42</v>
      </c>
      <c r="E34" s="33" t="s">
        <v>21</v>
      </c>
      <c r="F34" s="292" t="s">
        <v>516</v>
      </c>
      <c r="G34" s="391" t="s">
        <v>563</v>
      </c>
      <c r="H34" s="319" t="s">
        <v>517</v>
      </c>
      <c r="I34" s="52"/>
    </row>
    <row r="35" spans="2:9" ht="20.100000000000001" customHeight="1">
      <c r="B35" s="49"/>
      <c r="C35" s="333"/>
      <c r="D35" s="90" t="s">
        <v>165</v>
      </c>
      <c r="E35" s="33" t="s">
        <v>227</v>
      </c>
      <c r="F35" s="146" t="s">
        <v>562</v>
      </c>
      <c r="G35" s="114" t="s">
        <v>45</v>
      </c>
      <c r="H35" s="129"/>
      <c r="I35" s="52"/>
    </row>
    <row r="36" spans="2:9" ht="20.100000000000001" customHeight="1">
      <c r="B36" s="49"/>
      <c r="E36" s="39"/>
      <c r="F36" s="39"/>
      <c r="G36" s="36"/>
      <c r="I36" s="52"/>
    </row>
    <row r="37" spans="2:9" ht="20.100000000000001" customHeight="1">
      <c r="B37" s="49"/>
      <c r="C37" s="18" t="s">
        <v>65</v>
      </c>
      <c r="E37" s="39"/>
      <c r="F37" s="39"/>
      <c r="G37" s="36"/>
      <c r="I37" s="52"/>
    </row>
    <row r="38" spans="2:9" ht="10.35" customHeight="1">
      <c r="B38" s="49"/>
      <c r="E38" s="39"/>
      <c r="F38" s="39"/>
      <c r="G38" s="36"/>
      <c r="I38" s="52"/>
    </row>
    <row r="39" spans="2:9" ht="20.100000000000001" customHeight="1">
      <c r="B39" s="49"/>
      <c r="C39" s="209" t="s">
        <v>171</v>
      </c>
      <c r="D39" s="210" t="str">
        <f>F27</f>
        <v>29.5±0.7mm</v>
      </c>
      <c r="E39" s="39"/>
      <c r="F39" s="39"/>
      <c r="G39" s="36"/>
      <c r="I39" s="52"/>
    </row>
    <row r="40" spans="2:9" ht="20.100000000000001" customHeight="1">
      <c r="B40" s="49"/>
      <c r="C40" s="209"/>
      <c r="D40" s="211"/>
      <c r="E40" s="17"/>
      <c r="F40" s="39"/>
      <c r="G40" s="36"/>
      <c r="I40" s="52"/>
    </row>
    <row r="41" spans="2:9" ht="20.100000000000001" customHeight="1">
      <c r="B41" s="49"/>
      <c r="C41" s="209"/>
      <c r="D41" s="211"/>
      <c r="E41" s="39"/>
      <c r="F41" s="39"/>
      <c r="G41" s="36"/>
      <c r="I41" s="52"/>
    </row>
    <row r="42" spans="2:9" ht="20.100000000000001" customHeight="1">
      <c r="B42" s="49"/>
      <c r="C42" s="209" t="s">
        <v>170</v>
      </c>
      <c r="D42" s="210" t="str">
        <f>F26</f>
        <v>454±0.5mm</v>
      </c>
      <c r="E42" s="39"/>
      <c r="F42" s="39"/>
      <c r="G42" s="36"/>
      <c r="I42" s="52"/>
    </row>
    <row r="43" spans="2:9" ht="20.100000000000001" customHeight="1">
      <c r="B43" s="49"/>
      <c r="C43" s="37" t="s">
        <v>99</v>
      </c>
      <c r="D43" s="211"/>
      <c r="E43" s="39"/>
      <c r="F43" s="39"/>
      <c r="G43" s="36"/>
      <c r="I43" s="52"/>
    </row>
    <row r="44" spans="2:9" ht="20.100000000000001" customHeight="1">
      <c r="B44" s="49"/>
      <c r="C44" s="209"/>
      <c r="D44" s="211"/>
      <c r="E44" s="39"/>
      <c r="F44" s="39"/>
      <c r="G44" s="36"/>
      <c r="I44" s="52"/>
    </row>
    <row r="45" spans="2:9" ht="20.100000000000001" customHeight="1">
      <c r="B45" s="49"/>
      <c r="C45" s="209"/>
      <c r="D45" s="211"/>
      <c r="E45" s="39"/>
      <c r="F45" s="39"/>
      <c r="G45" s="36"/>
      <c r="I45" s="52"/>
    </row>
    <row r="46" spans="2:9" ht="20.100000000000001" customHeight="1">
      <c r="B46" s="49"/>
      <c r="C46" s="209" t="s">
        <v>204</v>
      </c>
      <c r="D46" s="211" t="str">
        <f>F25</f>
        <v>4.0±1.0mm</v>
      </c>
      <c r="E46" s="39"/>
      <c r="F46" s="39"/>
      <c r="G46" s="36"/>
      <c r="H46" s="69" t="s">
        <v>433</v>
      </c>
      <c r="I46" s="234">
        <v>513</v>
      </c>
    </row>
    <row r="47" spans="2:9" ht="20.100000000000001" customHeight="1">
      <c r="B47" s="49"/>
      <c r="C47" s="209" t="s">
        <v>407</v>
      </c>
      <c r="D47" s="210" t="str">
        <f>F27</f>
        <v>29.5±0.7mm</v>
      </c>
      <c r="E47" s="39"/>
      <c r="F47" s="39"/>
      <c r="G47" s="36"/>
      <c r="I47" s="234"/>
    </row>
    <row r="48" spans="2:9" ht="20.100000000000001" customHeight="1">
      <c r="B48" s="49"/>
      <c r="C48" s="209"/>
      <c r="D48" s="211"/>
      <c r="E48" s="39"/>
      <c r="F48" s="39"/>
      <c r="G48" s="36"/>
      <c r="I48" s="234"/>
    </row>
    <row r="49" spans="2:9" ht="20.100000000000001" customHeight="1">
      <c r="B49" s="49"/>
      <c r="C49" s="209"/>
      <c r="D49" s="210"/>
      <c r="E49" s="39"/>
      <c r="F49" s="39"/>
      <c r="G49" s="36"/>
      <c r="I49" s="234"/>
    </row>
    <row r="50" spans="2:9" ht="20.100000000000001" customHeight="1">
      <c r="B50" s="49"/>
      <c r="E50" s="39"/>
      <c r="F50" s="39"/>
      <c r="G50" s="36"/>
      <c r="I50" s="234"/>
    </row>
    <row r="51" spans="2:9" ht="20.100000000000001" customHeight="1">
      <c r="B51" s="49"/>
      <c r="C51" s="18" t="s">
        <v>66</v>
      </c>
      <c r="E51" s="39"/>
      <c r="F51" s="39"/>
      <c r="G51" s="36"/>
      <c r="I51" s="234"/>
    </row>
    <row r="52" spans="2:9" ht="20.100000000000001" customHeight="1">
      <c r="B52" s="49"/>
      <c r="E52" s="39"/>
      <c r="F52" s="39"/>
      <c r="G52" s="36"/>
      <c r="I52" s="234"/>
    </row>
    <row r="53" spans="2:9" ht="20.100000000000001" customHeight="1">
      <c r="B53" s="49"/>
      <c r="C53" s="38" t="s">
        <v>171</v>
      </c>
      <c r="D53" s="36" t="str">
        <f>G27</f>
        <v>27.7±0.7mm</v>
      </c>
      <c r="E53" s="39"/>
      <c r="F53" s="39"/>
      <c r="G53" s="36"/>
      <c r="I53" s="234"/>
    </row>
    <row r="54" spans="2:9" ht="20.100000000000001" customHeight="1">
      <c r="B54" s="49"/>
      <c r="E54" s="39"/>
      <c r="F54" s="39"/>
      <c r="G54" s="36"/>
      <c r="I54" s="234"/>
    </row>
    <row r="55" spans="2:9" ht="20.100000000000001" customHeight="1">
      <c r="B55" s="49"/>
      <c r="D55" s="92"/>
      <c r="E55" s="17"/>
      <c r="F55" s="39"/>
      <c r="G55" s="36"/>
      <c r="I55" s="234"/>
    </row>
    <row r="56" spans="2:9" ht="20.100000000000001" customHeight="1">
      <c r="B56" s="49"/>
      <c r="C56" s="38" t="s">
        <v>170</v>
      </c>
      <c r="D56" s="36" t="str">
        <f>G26</f>
        <v>461.6±0.5mm</v>
      </c>
      <c r="E56" s="39"/>
      <c r="F56" s="39"/>
      <c r="G56" s="36"/>
      <c r="I56" s="234"/>
    </row>
    <row r="57" spans="2:9" ht="20.100000000000001" customHeight="1">
      <c r="B57" s="49"/>
      <c r="C57" s="37" t="s">
        <v>99</v>
      </c>
      <c r="E57" s="39"/>
      <c r="F57" s="39"/>
      <c r="G57" s="36"/>
      <c r="I57" s="234"/>
    </row>
    <row r="58" spans="2:9" ht="20.100000000000001" customHeight="1">
      <c r="B58" s="49"/>
      <c r="E58" s="39"/>
      <c r="F58" s="39"/>
      <c r="G58" s="36"/>
      <c r="I58" s="234"/>
    </row>
    <row r="59" spans="2:9" ht="20.100000000000001" customHeight="1">
      <c r="B59" s="49"/>
      <c r="E59" s="39"/>
      <c r="F59" s="39"/>
      <c r="G59" s="36"/>
      <c r="I59" s="234"/>
    </row>
    <row r="60" spans="2:9" ht="20.100000000000001" customHeight="1">
      <c r="B60" s="49"/>
      <c r="C60" s="38" t="s">
        <v>407</v>
      </c>
      <c r="D60" s="36" t="str">
        <f>G27</f>
        <v>27.7±0.7mm</v>
      </c>
      <c r="E60" s="39"/>
      <c r="F60" s="39"/>
      <c r="G60" s="36"/>
      <c r="H60" s="69" t="s">
        <v>433</v>
      </c>
      <c r="I60" s="234">
        <v>517</v>
      </c>
    </row>
    <row r="61" spans="2:9" ht="20.100000000000001" customHeight="1">
      <c r="B61" s="49"/>
      <c r="E61" s="39"/>
      <c r="F61" s="39"/>
      <c r="G61" s="36"/>
      <c r="I61" s="234"/>
    </row>
    <row r="62" spans="2:9" ht="20.100000000000001" customHeight="1">
      <c r="B62" s="49"/>
      <c r="E62" s="39"/>
      <c r="F62" s="39"/>
      <c r="G62" s="36"/>
      <c r="I62" s="52"/>
    </row>
    <row r="63" spans="2:9" ht="20.100000000000001" customHeight="1">
      <c r="B63" s="49"/>
      <c r="E63" s="39"/>
      <c r="F63" s="39"/>
      <c r="G63" s="36"/>
      <c r="I63" s="52"/>
    </row>
    <row r="64" spans="2:9" ht="20.100000000000001" customHeight="1">
      <c r="B64" s="49"/>
      <c r="E64" s="39"/>
      <c r="F64" s="39"/>
      <c r="G64" s="36"/>
      <c r="I64" s="52"/>
    </row>
    <row r="65" spans="2:43" ht="20.100000000000001" customHeight="1">
      <c r="B65" s="49"/>
      <c r="C65" s="37"/>
      <c r="E65" s="39"/>
      <c r="F65" s="39"/>
      <c r="G65" s="36"/>
      <c r="I65" s="52"/>
    </row>
    <row r="66" spans="2:43" ht="20.100000000000001" customHeight="1">
      <c r="B66" s="49"/>
      <c r="E66" s="39"/>
      <c r="F66" s="39"/>
      <c r="G66" s="36"/>
      <c r="I66" s="52"/>
    </row>
    <row r="67" spans="2:43" ht="20.100000000000001" customHeight="1">
      <c r="B67" s="49"/>
      <c r="D67" s="212"/>
      <c r="E67" s="39"/>
      <c r="F67" s="39"/>
      <c r="G67" s="36"/>
      <c r="I67" s="52"/>
    </row>
    <row r="68" spans="2:43" ht="20.100000000000001" customHeight="1">
      <c r="B68" s="64"/>
      <c r="C68" s="76"/>
      <c r="D68" s="77"/>
      <c r="E68" s="65"/>
      <c r="F68" s="65"/>
      <c r="G68" s="77"/>
      <c r="H68" s="65"/>
      <c r="I68" s="68"/>
    </row>
    <row r="69" spans="2:43" ht="20.100000000000001" customHeight="1">
      <c r="B69" s="49"/>
      <c r="E69" s="39"/>
      <c r="F69" s="39"/>
      <c r="G69" s="36"/>
      <c r="I69" s="52"/>
    </row>
    <row r="70" spans="2:43" ht="20.100000000000001" customHeight="1">
      <c r="E70" s="39"/>
      <c r="F70" s="39"/>
      <c r="G70" s="36"/>
      <c r="H70" s="69"/>
    </row>
    <row r="71" spans="2:43" ht="20.100000000000001" customHeight="1"/>
    <row r="72" spans="2:43" ht="20.100000000000001" customHeight="1">
      <c r="D72" s="81"/>
      <c r="E72" s="9"/>
      <c r="F72" s="9"/>
      <c r="G72" s="9"/>
      <c r="H72" s="5"/>
      <c r="I72" s="5"/>
      <c r="J72" s="394"/>
      <c r="K72" s="395"/>
      <c r="L72" s="394"/>
      <c r="M72" s="394"/>
      <c r="N72" s="394"/>
      <c r="O72" s="394"/>
      <c r="P72" s="394"/>
      <c r="Q72" s="394"/>
      <c r="R72" s="394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spans="2:43" ht="20.100000000000001" customHeight="1"/>
    <row r="74" spans="2:43" ht="20.100000000000001" customHeight="1"/>
  </sheetData>
  <mergeCells count="8">
    <mergeCell ref="C33:C35"/>
    <mergeCell ref="C18:C32"/>
    <mergeCell ref="C3:F5"/>
    <mergeCell ref="C6:F6"/>
    <mergeCell ref="H11:H12"/>
    <mergeCell ref="C11:C17"/>
    <mergeCell ref="D13:D15"/>
    <mergeCell ref="D16:D1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5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O17"/>
  <sheetViews>
    <sheetView topLeftCell="A4" zoomScale="115" zoomScaleNormal="115" workbookViewId="0">
      <selection activeCell="M27" sqref="M27"/>
    </sheetView>
  </sheetViews>
  <sheetFormatPr defaultColWidth="8.88671875" defaultRowHeight="13.8"/>
  <cols>
    <col min="1" max="4" width="8.88671875" style="172"/>
    <col min="5" max="5" width="3.33203125" style="172" customWidth="1"/>
    <col min="6" max="6" width="8.88671875" style="172"/>
    <col min="7" max="7" width="2.21875" style="172" customWidth="1"/>
    <col min="8" max="9" width="8.88671875" style="172"/>
    <col min="10" max="10" width="2.21875" style="172" customWidth="1"/>
    <col min="11" max="11" width="8.88671875" style="172" customWidth="1"/>
    <col min="12" max="13" width="8.88671875" style="172"/>
    <col min="14" max="14" width="3.6640625" style="172" customWidth="1"/>
    <col min="15" max="16384" width="8.88671875" style="172"/>
  </cols>
  <sheetData>
    <row r="5" spans="4:15" ht="14.4" thickBot="1">
      <c r="H5" s="176"/>
      <c r="I5" s="176"/>
      <c r="J5" s="175"/>
    </row>
    <row r="6" spans="4:15">
      <c r="H6" s="191"/>
      <c r="I6" s="191"/>
      <c r="K6" s="174"/>
    </row>
    <row r="7" spans="4:15">
      <c r="G7" s="192"/>
      <c r="H7" s="191"/>
      <c r="I7" s="198" t="s">
        <v>378</v>
      </c>
      <c r="J7" s="193"/>
      <c r="K7" s="190"/>
      <c r="L7" s="189" t="s">
        <v>379</v>
      </c>
    </row>
    <row r="8" spans="4:15">
      <c r="G8" s="192"/>
      <c r="H8" s="191"/>
      <c r="I8" s="191"/>
      <c r="J8" s="193"/>
    </row>
    <row r="9" spans="4:15" ht="14.4" thickBot="1">
      <c r="G9" s="194"/>
      <c r="H9" s="195"/>
      <c r="I9" s="195"/>
      <c r="J9" s="195"/>
      <c r="K9" s="179"/>
    </row>
    <row r="10" spans="4:15" ht="7.65" customHeight="1" thickBot="1"/>
    <row r="11" spans="4:15" ht="7.65" customHeight="1">
      <c r="E11" s="185"/>
      <c r="F11" s="177"/>
      <c r="G11" s="196"/>
      <c r="H11" s="196"/>
      <c r="I11" s="196"/>
      <c r="J11" s="196"/>
      <c r="K11" s="196"/>
      <c r="L11" s="196"/>
      <c r="M11" s="197"/>
    </row>
    <row r="12" spans="4:15">
      <c r="E12" s="178"/>
      <c r="F12" s="180"/>
      <c r="G12" s="173"/>
      <c r="H12" s="173"/>
      <c r="I12" s="173"/>
      <c r="J12" s="173"/>
      <c r="K12" s="173"/>
      <c r="L12" s="173"/>
      <c r="M12" s="181"/>
      <c r="N12" s="187"/>
    </row>
    <row r="13" spans="4:15">
      <c r="E13" s="178"/>
      <c r="F13" s="180"/>
      <c r="G13" s="173"/>
      <c r="H13" s="346" t="s">
        <v>377</v>
      </c>
      <c r="I13" s="346"/>
      <c r="J13" s="173"/>
      <c r="K13" s="173"/>
      <c r="L13" s="173"/>
      <c r="M13" s="181"/>
      <c r="N13" s="179"/>
    </row>
    <row r="14" spans="4:15">
      <c r="D14" s="172" t="s">
        <v>381</v>
      </c>
      <c r="E14" s="178"/>
      <c r="F14" s="180"/>
      <c r="G14" s="173"/>
      <c r="H14" s="173"/>
      <c r="I14" s="173"/>
      <c r="J14" s="173"/>
      <c r="K14" s="173"/>
      <c r="L14" s="173"/>
      <c r="M14" s="181"/>
      <c r="N14" s="179"/>
      <c r="O14" s="189" t="s">
        <v>380</v>
      </c>
    </row>
    <row r="15" spans="4:15">
      <c r="E15" s="178"/>
      <c r="F15" s="180"/>
      <c r="G15" s="173"/>
      <c r="H15" s="173"/>
      <c r="I15" s="173"/>
      <c r="J15" s="173"/>
      <c r="K15" s="173"/>
      <c r="L15" s="173"/>
      <c r="M15" s="181"/>
      <c r="N15" s="179"/>
    </row>
    <row r="16" spans="4:15">
      <c r="E16" s="178"/>
      <c r="F16" s="180"/>
      <c r="G16" s="173"/>
      <c r="H16" s="173"/>
      <c r="I16" s="173"/>
      <c r="J16" s="173"/>
      <c r="K16" s="173"/>
      <c r="L16" s="173"/>
      <c r="M16" s="181"/>
      <c r="N16" s="179"/>
    </row>
    <row r="17" spans="5:14" ht="14.4" thickBot="1">
      <c r="E17" s="186"/>
      <c r="F17" s="182"/>
      <c r="G17" s="183"/>
      <c r="H17" s="183"/>
      <c r="I17" s="183"/>
      <c r="J17" s="183"/>
      <c r="K17" s="183"/>
      <c r="L17" s="183"/>
      <c r="M17" s="184"/>
      <c r="N17" s="188"/>
    </row>
  </sheetData>
  <mergeCells count="1">
    <mergeCell ref="H13:I13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248"/>
  <sheetViews>
    <sheetView showGridLines="0" view="pageBreakPreview" topLeftCell="A28" zoomScaleNormal="100" zoomScaleSheetLayoutView="100" workbookViewId="0">
      <selection activeCell="F38" sqref="F38:G39"/>
    </sheetView>
  </sheetViews>
  <sheetFormatPr defaultColWidth="9" defaultRowHeight="13.8"/>
  <cols>
    <col min="1" max="1" width="0.88671875" style="39" customWidth="1"/>
    <col min="2" max="2" width="1.33203125" style="39" customWidth="1"/>
    <col min="3" max="3" width="11.21875" style="38" customWidth="1"/>
    <col min="4" max="4" width="27.33203125" style="36" customWidth="1"/>
    <col min="5" max="5" width="15" style="38" customWidth="1"/>
    <col min="6" max="6" width="28.21875" style="38" customWidth="1"/>
    <col min="7" max="7" width="27.21875" style="38" customWidth="1"/>
    <col min="8" max="8" width="31.21875" style="39" customWidth="1"/>
    <col min="9" max="9" width="16.88671875" style="39" customWidth="1"/>
    <col min="10" max="16384" width="9" style="39"/>
  </cols>
  <sheetData>
    <row r="1" spans="2:26" ht="6" customHeight="1"/>
    <row r="2" spans="2:26">
      <c r="B2" s="45"/>
      <c r="C2" s="46"/>
      <c r="D2" s="78"/>
      <c r="E2" s="46"/>
      <c r="F2" s="46"/>
      <c r="G2" s="46"/>
      <c r="H2" s="47"/>
      <c r="I2" s="48"/>
    </row>
    <row r="3" spans="2:26" ht="13.65" customHeight="1">
      <c r="B3" s="49"/>
      <c r="C3" s="355" t="str">
        <f>封面!B7</f>
        <v>L246N183A-B2验证样-设计制程标准</v>
      </c>
      <c r="D3" s="355"/>
      <c r="E3" s="355"/>
      <c r="F3" s="356"/>
      <c r="G3" s="50" t="s">
        <v>15</v>
      </c>
      <c r="H3" s="71" t="str">
        <f>封面!E14</f>
        <v>L246N183A-B2样-ZCBZ</v>
      </c>
      <c r="I3" s="52"/>
    </row>
    <row r="4" spans="2:26" ht="15.75" customHeight="1">
      <c r="B4" s="49"/>
      <c r="C4" s="355"/>
      <c r="D4" s="355"/>
      <c r="E4" s="355"/>
      <c r="F4" s="356"/>
      <c r="G4" s="50" t="s">
        <v>16</v>
      </c>
      <c r="H4" s="71" t="str">
        <f>封面!E15</f>
        <v>B2</v>
      </c>
      <c r="I4" s="52"/>
    </row>
    <row r="5" spans="2:26" ht="13.65" customHeight="1">
      <c r="B5" s="49"/>
      <c r="C5" s="355"/>
      <c r="D5" s="355"/>
      <c r="E5" s="355"/>
      <c r="F5" s="356"/>
      <c r="G5" s="50" t="s">
        <v>2</v>
      </c>
      <c r="H5" s="96">
        <f>封面!E16</f>
        <v>45824</v>
      </c>
      <c r="I5" s="52"/>
    </row>
    <row r="6" spans="2:26" ht="19.649999999999999" customHeight="1">
      <c r="B6" s="357" t="s">
        <v>162</v>
      </c>
      <c r="C6" s="358"/>
      <c r="D6" s="358"/>
      <c r="E6" s="358"/>
      <c r="F6" s="358"/>
      <c r="G6" s="40"/>
      <c r="I6" s="52"/>
    </row>
    <row r="7" spans="2:26" ht="14.4" thickBot="1">
      <c r="B7" s="53"/>
      <c r="C7" s="54"/>
      <c r="D7" s="56"/>
      <c r="E7" s="55"/>
      <c r="F7" s="55"/>
      <c r="G7" s="56"/>
      <c r="H7" s="55"/>
      <c r="I7" s="57"/>
    </row>
    <row r="8" spans="2:26" ht="7.65" customHeight="1" thickTop="1">
      <c r="B8" s="49"/>
      <c r="E8" s="39"/>
      <c r="F8" s="39"/>
      <c r="G8" s="36"/>
      <c r="I8" s="52"/>
    </row>
    <row r="9" spans="2:26" ht="20.100000000000001" customHeight="1">
      <c r="B9" s="49"/>
      <c r="C9" s="14" t="s">
        <v>17</v>
      </c>
      <c r="D9" s="79"/>
      <c r="E9" s="15"/>
      <c r="F9" s="15"/>
      <c r="G9" s="15"/>
      <c r="H9" s="15"/>
      <c r="I9" s="2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  <c r="X9" s="15"/>
      <c r="Y9" s="15"/>
      <c r="Z9" s="15"/>
    </row>
    <row r="10" spans="2:26" ht="27" customHeight="1" thickBot="1">
      <c r="B10" s="49"/>
      <c r="C10" s="21" t="s">
        <v>55</v>
      </c>
      <c r="D10" s="82" t="s">
        <v>54</v>
      </c>
      <c r="E10" s="21" t="s">
        <v>68</v>
      </c>
      <c r="F10" s="21" t="s">
        <v>69</v>
      </c>
      <c r="G10" s="21" t="s">
        <v>70</v>
      </c>
      <c r="H10" s="21" t="s">
        <v>158</v>
      </c>
      <c r="I10" s="52"/>
    </row>
    <row r="11" spans="2:26" ht="27" customHeight="1" thickTop="1">
      <c r="B11" s="49"/>
      <c r="C11" s="342" t="s">
        <v>67</v>
      </c>
      <c r="D11" s="84" t="s">
        <v>180</v>
      </c>
      <c r="E11" s="93" t="s">
        <v>181</v>
      </c>
      <c r="F11" s="150" t="s">
        <v>373</v>
      </c>
      <c r="G11" s="150" t="s">
        <v>269</v>
      </c>
      <c r="H11" s="151" t="s">
        <v>219</v>
      </c>
      <c r="I11" s="52"/>
    </row>
    <row r="12" spans="2:26" ht="27" customHeight="1">
      <c r="B12" s="49"/>
      <c r="C12" s="335"/>
      <c r="D12" s="84" t="s">
        <v>182</v>
      </c>
      <c r="E12" s="93" t="s">
        <v>181</v>
      </c>
      <c r="F12" s="11" t="s">
        <v>270</v>
      </c>
      <c r="G12" s="11" t="s">
        <v>271</v>
      </c>
      <c r="H12" s="133"/>
      <c r="I12" s="52"/>
    </row>
    <row r="13" spans="2:26" s="74" customFormat="1" ht="31.65" customHeight="1">
      <c r="B13" s="72"/>
      <c r="C13" s="335"/>
      <c r="D13" s="84" t="s">
        <v>73</v>
      </c>
      <c r="E13" s="93" t="s">
        <v>35</v>
      </c>
      <c r="F13" s="146" t="s">
        <v>364</v>
      </c>
      <c r="G13" s="167" t="s">
        <v>365</v>
      </c>
      <c r="H13" s="134"/>
      <c r="I13" s="73"/>
    </row>
    <row r="14" spans="2:26" s="74" customFormat="1" ht="20.100000000000001" customHeight="1">
      <c r="B14" s="72"/>
      <c r="C14" s="335"/>
      <c r="D14" s="84" t="s">
        <v>46</v>
      </c>
      <c r="E14" s="33" t="s">
        <v>47</v>
      </c>
      <c r="F14" s="170" t="s">
        <v>382</v>
      </c>
      <c r="G14" s="170" t="s">
        <v>376</v>
      </c>
      <c r="H14" s="135"/>
      <c r="I14" s="73"/>
    </row>
    <row r="15" spans="2:26" s="74" customFormat="1" ht="20.100000000000001" customHeight="1">
      <c r="B15" s="72"/>
      <c r="C15" s="335"/>
      <c r="D15" s="84" t="s">
        <v>37</v>
      </c>
      <c r="E15" s="33" t="s">
        <v>76</v>
      </c>
      <c r="F15" s="152" t="s">
        <v>186</v>
      </c>
      <c r="G15" s="152" t="s">
        <v>185</v>
      </c>
      <c r="H15" s="137"/>
      <c r="I15" s="73"/>
    </row>
    <row r="16" spans="2:26" s="74" customFormat="1" ht="20.100000000000001" customHeight="1">
      <c r="B16" s="72"/>
      <c r="C16" s="335"/>
      <c r="D16" s="84" t="s">
        <v>197</v>
      </c>
      <c r="E16" s="33" t="s">
        <v>76</v>
      </c>
      <c r="F16" s="152" t="s">
        <v>185</v>
      </c>
      <c r="G16" s="152" t="s">
        <v>185</v>
      </c>
      <c r="H16" s="138"/>
      <c r="I16" s="73"/>
    </row>
    <row r="17" spans="2:9" s="74" customFormat="1" ht="20.100000000000001" customHeight="1">
      <c r="B17" s="72"/>
      <c r="C17" s="335"/>
      <c r="D17" s="361" t="s">
        <v>101</v>
      </c>
      <c r="E17" s="33" t="s">
        <v>103</v>
      </c>
      <c r="F17" s="114" t="s">
        <v>272</v>
      </c>
      <c r="G17" s="114" t="s">
        <v>273</v>
      </c>
      <c r="H17" s="135"/>
      <c r="I17" s="73"/>
    </row>
    <row r="18" spans="2:9" s="74" customFormat="1" ht="20.100000000000001" customHeight="1">
      <c r="B18" s="72"/>
      <c r="C18" s="336"/>
      <c r="D18" s="362"/>
      <c r="E18" s="33" t="s">
        <v>102</v>
      </c>
      <c r="F18" s="348" t="s">
        <v>179</v>
      </c>
      <c r="G18" s="349"/>
      <c r="H18" s="135"/>
      <c r="I18" s="73"/>
    </row>
    <row r="19" spans="2:9" s="74" customFormat="1" ht="20.100000000000001" customHeight="1">
      <c r="B19" s="72"/>
      <c r="C19" s="354" t="s">
        <v>132</v>
      </c>
      <c r="D19" s="87" t="s">
        <v>134</v>
      </c>
      <c r="E19" s="33" t="s">
        <v>135</v>
      </c>
      <c r="F19" s="348">
        <v>2</v>
      </c>
      <c r="G19" s="349"/>
      <c r="H19" s="135"/>
      <c r="I19" s="73"/>
    </row>
    <row r="20" spans="2:9" s="74" customFormat="1" ht="20.100000000000001" customHeight="1">
      <c r="B20" s="72"/>
      <c r="C20" s="354"/>
      <c r="D20" s="88" t="s">
        <v>52</v>
      </c>
      <c r="E20" s="33" t="s">
        <v>45</v>
      </c>
      <c r="F20" s="200">
        <v>104</v>
      </c>
      <c r="G20" s="200">
        <v>106</v>
      </c>
      <c r="H20" s="135"/>
      <c r="I20" s="73"/>
    </row>
    <row r="21" spans="2:9" s="74" customFormat="1" ht="20.100000000000001" customHeight="1">
      <c r="B21" s="72"/>
      <c r="C21" s="354"/>
      <c r="D21" s="88" t="s">
        <v>27</v>
      </c>
      <c r="E21" s="33" t="s">
        <v>29</v>
      </c>
      <c r="F21" s="352">
        <v>331</v>
      </c>
      <c r="G21" s="352"/>
      <c r="H21" s="153" t="s">
        <v>208</v>
      </c>
      <c r="I21" s="73"/>
    </row>
    <row r="22" spans="2:9" s="74" customFormat="1" ht="28.35" customHeight="1">
      <c r="B22" s="72"/>
      <c r="C22" s="354"/>
      <c r="D22" s="88" t="s">
        <v>133</v>
      </c>
      <c r="E22" s="114" t="s">
        <v>76</v>
      </c>
      <c r="F22" s="166" t="s">
        <v>374</v>
      </c>
      <c r="G22" s="166" t="s">
        <v>383</v>
      </c>
      <c r="H22" s="154" t="s">
        <v>384</v>
      </c>
      <c r="I22" s="73"/>
    </row>
    <row r="23" spans="2:9" s="74" customFormat="1" ht="21.9" customHeight="1">
      <c r="B23" s="72"/>
      <c r="C23" s="354"/>
      <c r="D23" s="160" t="s">
        <v>85</v>
      </c>
      <c r="E23" s="161" t="s">
        <v>86</v>
      </c>
      <c r="F23" s="167">
        <v>469.1</v>
      </c>
      <c r="G23" s="167">
        <v>361.3</v>
      </c>
      <c r="H23" s="159" t="s">
        <v>366</v>
      </c>
      <c r="I23" s="73"/>
    </row>
    <row r="24" spans="2:9" s="74" customFormat="1" ht="20.100000000000001" customHeight="1">
      <c r="B24" s="72"/>
      <c r="C24" s="354"/>
      <c r="D24" s="88" t="s">
        <v>152</v>
      </c>
      <c r="E24" s="115" t="s">
        <v>153</v>
      </c>
      <c r="F24" s="348" t="s">
        <v>274</v>
      </c>
      <c r="G24" s="349"/>
      <c r="H24" s="135"/>
      <c r="I24" s="73"/>
    </row>
    <row r="25" spans="2:9" s="74" customFormat="1" ht="20.100000000000001" customHeight="1">
      <c r="B25" s="72"/>
      <c r="C25" s="354"/>
      <c r="D25" s="88" t="s">
        <v>28</v>
      </c>
      <c r="E25" s="114" t="s">
        <v>29</v>
      </c>
      <c r="F25" s="352" t="s">
        <v>275</v>
      </c>
      <c r="G25" s="352"/>
      <c r="H25" s="135"/>
      <c r="I25" s="73"/>
    </row>
    <row r="26" spans="2:9" s="74" customFormat="1" ht="20.100000000000001" customHeight="1">
      <c r="B26" s="72"/>
      <c r="C26" s="354"/>
      <c r="D26" s="88" t="s">
        <v>128</v>
      </c>
      <c r="E26" s="114" t="s">
        <v>45</v>
      </c>
      <c r="F26" s="352" t="s">
        <v>129</v>
      </c>
      <c r="G26" s="352"/>
      <c r="H26" s="135"/>
      <c r="I26" s="73"/>
    </row>
    <row r="27" spans="2:9" s="74" customFormat="1" ht="20.100000000000001" customHeight="1">
      <c r="B27" s="72"/>
      <c r="C27" s="354"/>
      <c r="D27" s="88" t="s">
        <v>25</v>
      </c>
      <c r="E27" s="114" t="s">
        <v>29</v>
      </c>
      <c r="F27" s="352" t="s">
        <v>172</v>
      </c>
      <c r="G27" s="352"/>
      <c r="H27" s="143"/>
      <c r="I27" s="73"/>
    </row>
    <row r="28" spans="2:9" s="74" customFormat="1" ht="20.100000000000001" customHeight="1">
      <c r="B28" s="72"/>
      <c r="C28" s="354"/>
      <c r="D28" s="88" t="s">
        <v>26</v>
      </c>
      <c r="E28" s="114" t="s">
        <v>29</v>
      </c>
      <c r="F28" s="352" t="s">
        <v>173</v>
      </c>
      <c r="G28" s="352"/>
      <c r="H28" s="143"/>
      <c r="I28" s="73"/>
    </row>
    <row r="29" spans="2:9" s="74" customFormat="1" ht="20.100000000000001" customHeight="1">
      <c r="B29" s="72"/>
      <c r="C29" s="354"/>
      <c r="D29" s="88" t="s">
        <v>38</v>
      </c>
      <c r="E29" s="114" t="s">
        <v>29</v>
      </c>
      <c r="F29" s="352" t="s">
        <v>174</v>
      </c>
      <c r="G29" s="352"/>
      <c r="H29" s="143"/>
      <c r="I29" s="73"/>
    </row>
    <row r="30" spans="2:9" s="74" customFormat="1" ht="20.100000000000001" customHeight="1">
      <c r="B30" s="72"/>
      <c r="C30" s="354"/>
      <c r="D30" s="88" t="s">
        <v>39</v>
      </c>
      <c r="E30" s="114" t="s">
        <v>29</v>
      </c>
      <c r="F30" s="352" t="s">
        <v>174</v>
      </c>
      <c r="G30" s="352"/>
      <c r="H30" s="143"/>
      <c r="I30" s="73"/>
    </row>
    <row r="31" spans="2:9" s="74" customFormat="1" ht="20.100000000000001" customHeight="1">
      <c r="B31" s="72"/>
      <c r="C31" s="354"/>
      <c r="D31" s="88" t="s">
        <v>130</v>
      </c>
      <c r="E31" s="33" t="s">
        <v>29</v>
      </c>
      <c r="F31" s="352" t="s">
        <v>175</v>
      </c>
      <c r="G31" s="352"/>
      <c r="H31" s="143"/>
      <c r="I31" s="73"/>
    </row>
    <row r="32" spans="2:9" s="74" customFormat="1" ht="20.100000000000001" customHeight="1">
      <c r="B32" s="72"/>
      <c r="C32" s="354"/>
      <c r="D32" s="88" t="s">
        <v>40</v>
      </c>
      <c r="E32" s="33" t="s">
        <v>29</v>
      </c>
      <c r="F32" s="352" t="s">
        <v>276</v>
      </c>
      <c r="G32" s="352"/>
      <c r="H32" s="143"/>
      <c r="I32" s="73"/>
    </row>
    <row r="33" spans="2:9" s="74" customFormat="1" ht="20.100000000000001" customHeight="1">
      <c r="B33" s="72"/>
      <c r="C33" s="354"/>
      <c r="D33" s="88" t="s">
        <v>41</v>
      </c>
      <c r="E33" s="33" t="s">
        <v>29</v>
      </c>
      <c r="F33" s="352" t="s">
        <v>277</v>
      </c>
      <c r="G33" s="352"/>
      <c r="H33" s="143"/>
      <c r="I33" s="73"/>
    </row>
    <row r="34" spans="2:9" s="74" customFormat="1" ht="20.100000000000001" customHeight="1">
      <c r="B34" s="72"/>
      <c r="C34" s="354"/>
      <c r="D34" s="88" t="s">
        <v>142</v>
      </c>
      <c r="E34" s="33" t="s">
        <v>29</v>
      </c>
      <c r="F34" s="352" t="s">
        <v>367</v>
      </c>
      <c r="G34" s="352"/>
      <c r="H34" s="139"/>
      <c r="I34" s="73"/>
    </row>
    <row r="35" spans="2:9" s="74" customFormat="1" ht="20.100000000000001" customHeight="1">
      <c r="B35" s="72"/>
      <c r="C35" s="354"/>
      <c r="D35" s="88" t="s">
        <v>143</v>
      </c>
      <c r="E35" s="33" t="s">
        <v>29</v>
      </c>
      <c r="F35" s="353" t="s">
        <v>390</v>
      </c>
      <c r="G35" s="353"/>
      <c r="H35" s="139"/>
      <c r="I35" s="73"/>
    </row>
    <row r="36" spans="2:9" s="74" customFormat="1" ht="20.100000000000001" customHeight="1">
      <c r="B36" s="72"/>
      <c r="C36" s="354"/>
      <c r="D36" s="88" t="s">
        <v>31</v>
      </c>
      <c r="E36" s="33" t="s">
        <v>212</v>
      </c>
      <c r="F36" s="352" t="s">
        <v>375</v>
      </c>
      <c r="G36" s="352"/>
      <c r="H36" s="139"/>
      <c r="I36" s="73"/>
    </row>
    <row r="37" spans="2:9" s="74" customFormat="1" ht="20.100000000000001" customHeight="1">
      <c r="B37" s="72"/>
      <c r="C37" s="354"/>
      <c r="D37" s="88" t="s">
        <v>176</v>
      </c>
      <c r="E37" s="33" t="s">
        <v>29</v>
      </c>
      <c r="F37" s="352" t="s">
        <v>391</v>
      </c>
      <c r="G37" s="352"/>
      <c r="H37" s="139"/>
      <c r="I37" s="73"/>
    </row>
    <row r="38" spans="2:9" s="74" customFormat="1" ht="20.100000000000001" customHeight="1">
      <c r="B38" s="72"/>
      <c r="C38" s="354"/>
      <c r="D38" s="84" t="s">
        <v>385</v>
      </c>
      <c r="E38" s="171" t="s">
        <v>389</v>
      </c>
      <c r="F38" s="351" t="s">
        <v>387</v>
      </c>
      <c r="G38" s="351"/>
      <c r="H38" s="133"/>
      <c r="I38" s="73"/>
    </row>
    <row r="39" spans="2:9" s="74" customFormat="1" ht="20.100000000000001" customHeight="1">
      <c r="B39" s="72"/>
      <c r="C39" s="354"/>
      <c r="D39" s="84" t="s">
        <v>388</v>
      </c>
      <c r="E39" s="171" t="s">
        <v>386</v>
      </c>
      <c r="F39" s="351" t="s">
        <v>387</v>
      </c>
      <c r="G39" s="351"/>
      <c r="H39" s="133"/>
      <c r="I39" s="73"/>
    </row>
    <row r="40" spans="2:9" ht="20.100000000000001" customHeight="1">
      <c r="B40" s="64"/>
      <c r="C40" s="26"/>
      <c r="D40" s="86"/>
      <c r="E40" s="27"/>
      <c r="F40" s="28"/>
      <c r="G40" s="28"/>
      <c r="H40" s="65"/>
      <c r="I40" s="68"/>
    </row>
    <row r="41" spans="2:9" ht="20.100000000000001" customHeight="1">
      <c r="C41" s="29"/>
      <c r="D41" s="89"/>
      <c r="E41" s="41"/>
      <c r="F41" s="42"/>
      <c r="G41" s="42"/>
    </row>
    <row r="42" spans="2:9" ht="20.100000000000001" customHeight="1">
      <c r="C42" s="29"/>
      <c r="D42" s="89"/>
      <c r="E42" s="41"/>
      <c r="F42" s="42"/>
      <c r="G42" s="42"/>
    </row>
    <row r="43" spans="2:9" ht="20.100000000000001" customHeight="1">
      <c r="C43" s="29"/>
      <c r="D43" s="89"/>
      <c r="E43" s="41"/>
      <c r="F43" s="42"/>
      <c r="G43" s="42"/>
    </row>
    <row r="44" spans="2:9" ht="20.100000000000001" customHeight="1">
      <c r="C44" s="29"/>
      <c r="D44" s="89"/>
      <c r="E44" s="41"/>
      <c r="F44" s="42"/>
      <c r="G44" s="42"/>
    </row>
    <row r="45" spans="2:9" ht="20.100000000000001" customHeight="1">
      <c r="C45" s="29"/>
      <c r="D45" s="89"/>
      <c r="E45" s="41"/>
      <c r="F45" s="42"/>
      <c r="G45" s="42"/>
    </row>
    <row r="46" spans="2:9" ht="20.100000000000001" customHeight="1">
      <c r="C46" s="29"/>
      <c r="D46" s="89"/>
      <c r="E46" s="41"/>
      <c r="F46" s="42"/>
      <c r="G46" s="42"/>
    </row>
    <row r="47" spans="2:9" ht="20.100000000000001" customHeight="1">
      <c r="C47" s="29"/>
      <c r="D47" s="89"/>
      <c r="E47" s="41"/>
      <c r="F47" s="42"/>
      <c r="G47" s="42"/>
    </row>
    <row r="48" spans="2:9" ht="20.100000000000001" customHeight="1">
      <c r="C48" s="29"/>
      <c r="D48" s="89"/>
      <c r="E48" s="41"/>
      <c r="F48" s="42"/>
      <c r="G48" s="42"/>
    </row>
    <row r="49" spans="2:16" ht="20.100000000000001" customHeight="1">
      <c r="C49" s="29"/>
      <c r="D49" s="89"/>
      <c r="E49" s="41"/>
      <c r="F49" s="42"/>
      <c r="G49" s="42"/>
    </row>
    <row r="50" spans="2:16" ht="20.100000000000001" customHeight="1">
      <c r="C50" s="29"/>
      <c r="D50" s="89"/>
      <c r="E50" s="41"/>
      <c r="F50" s="42"/>
      <c r="G50" s="42"/>
    </row>
    <row r="51" spans="2:16" ht="20.100000000000001" customHeight="1">
      <c r="C51" s="29"/>
      <c r="D51" s="89"/>
      <c r="E51" s="41"/>
      <c r="F51" s="42"/>
      <c r="G51" s="42"/>
    </row>
    <row r="52" spans="2:16" ht="20.100000000000001" customHeight="1">
      <c r="C52" s="29"/>
      <c r="D52" s="89"/>
      <c r="E52" s="41"/>
      <c r="F52" s="42"/>
      <c r="G52" s="42"/>
    </row>
    <row r="53" spans="2:16" ht="20.100000000000001" customHeight="1">
      <c r="C53" s="29"/>
      <c r="D53" s="89"/>
      <c r="E53" s="41"/>
      <c r="F53" s="42"/>
      <c r="G53" s="42"/>
    </row>
    <row r="54" spans="2:16" ht="20.100000000000001" customHeight="1">
      <c r="C54" s="29"/>
      <c r="D54" s="89"/>
      <c r="E54" s="41"/>
      <c r="F54" s="42"/>
      <c r="G54" s="42"/>
    </row>
    <row r="55" spans="2:16" ht="20.100000000000001" customHeight="1">
      <c r="C55" s="29"/>
      <c r="D55" s="89"/>
      <c r="E55" s="41"/>
      <c r="F55" s="42"/>
      <c r="G55" s="42"/>
    </row>
    <row r="56" spans="2:16" ht="20.100000000000001" customHeight="1">
      <c r="C56" s="350" t="s">
        <v>221</v>
      </c>
      <c r="D56" s="350"/>
      <c r="E56" s="350"/>
      <c r="F56" s="350"/>
      <c r="G56" s="42"/>
      <c r="H56" s="347"/>
      <c r="I56" s="347"/>
      <c r="J56" s="347"/>
      <c r="K56" s="347"/>
      <c r="L56" s="106"/>
      <c r="M56" s="347"/>
      <c r="N56" s="347"/>
      <c r="O56" s="347"/>
      <c r="P56" s="347"/>
    </row>
    <row r="57" spans="2:16" ht="20.100000000000001" customHeight="1">
      <c r="B57" s="43"/>
      <c r="C57" s="363" t="s">
        <v>104</v>
      </c>
      <c r="D57" s="364"/>
      <c r="E57" s="363" t="s">
        <v>105</v>
      </c>
      <c r="F57" s="364"/>
      <c r="G57" s="42"/>
      <c r="H57" s="359"/>
      <c r="I57" s="360"/>
      <c r="J57" s="359"/>
      <c r="K57" s="360"/>
      <c r="L57" s="106"/>
      <c r="M57" s="359"/>
      <c r="N57" s="360"/>
      <c r="O57" s="359"/>
      <c r="P57" s="360"/>
    </row>
    <row r="58" spans="2:16" ht="20.100000000000001" customHeight="1">
      <c r="B58" s="44"/>
      <c r="C58" s="125" t="s">
        <v>106</v>
      </c>
      <c r="D58" s="156">
        <v>38.921991148575124</v>
      </c>
      <c r="E58" s="125" t="s">
        <v>106</v>
      </c>
      <c r="F58" s="156">
        <v>111.62199114857512</v>
      </c>
      <c r="G58" s="113"/>
      <c r="H58" s="110"/>
      <c r="I58" s="113"/>
      <c r="J58" s="110"/>
      <c r="K58" s="111"/>
      <c r="L58" s="106"/>
      <c r="M58" s="110"/>
      <c r="N58" s="111"/>
      <c r="O58" s="110"/>
      <c r="P58" s="111"/>
    </row>
    <row r="59" spans="2:16" ht="20.100000000000001" customHeight="1">
      <c r="B59" s="44"/>
      <c r="C59" s="125" t="s">
        <v>107</v>
      </c>
      <c r="D59" s="156">
        <v>246.61762482660595</v>
      </c>
      <c r="E59" s="125" t="s">
        <v>107</v>
      </c>
      <c r="F59" s="156">
        <v>91.589793904628181</v>
      </c>
      <c r="G59" s="113"/>
      <c r="H59" s="110"/>
      <c r="I59" s="113"/>
      <c r="J59" s="110"/>
      <c r="K59" s="111"/>
      <c r="L59" s="106"/>
      <c r="M59" s="110"/>
      <c r="N59" s="111"/>
      <c r="O59" s="110"/>
      <c r="P59" s="111"/>
    </row>
    <row r="60" spans="2:16" ht="20.100000000000001" customHeight="1">
      <c r="B60" s="44"/>
      <c r="C60" s="125" t="s">
        <v>108</v>
      </c>
      <c r="D60" s="156">
        <v>84.891243850349042</v>
      </c>
      <c r="E60" s="125" t="s">
        <v>108</v>
      </c>
      <c r="F60" s="156">
        <v>240.75137752267179</v>
      </c>
      <c r="G60" s="113"/>
      <c r="H60" s="124"/>
      <c r="I60" s="113"/>
      <c r="J60" s="124"/>
      <c r="K60" s="111"/>
      <c r="L60" s="106"/>
      <c r="M60" s="124"/>
      <c r="N60" s="111"/>
      <c r="O60" s="124"/>
      <c r="P60" s="111"/>
    </row>
    <row r="61" spans="2:16" ht="20.100000000000001" customHeight="1">
      <c r="B61" s="44"/>
      <c r="C61" s="125" t="s">
        <v>109</v>
      </c>
      <c r="D61" s="156">
        <v>247.19553920901342</v>
      </c>
      <c r="E61" s="125" t="s">
        <v>109</v>
      </c>
      <c r="F61" s="156">
        <v>92.255672881336167</v>
      </c>
      <c r="G61" s="113"/>
      <c r="H61" s="124"/>
      <c r="I61" s="113"/>
      <c r="J61" s="124"/>
      <c r="K61" s="111"/>
      <c r="L61" s="106"/>
      <c r="M61" s="124"/>
      <c r="N61" s="111"/>
      <c r="O61" s="124"/>
      <c r="P61" s="111"/>
    </row>
    <row r="62" spans="2:16" ht="20.100000000000001" customHeight="1">
      <c r="B62" s="44"/>
      <c r="C62" s="125" t="s">
        <v>110</v>
      </c>
      <c r="D62" s="156">
        <v>85.557122827057015</v>
      </c>
      <c r="E62" s="125" t="s">
        <v>110</v>
      </c>
      <c r="F62" s="156">
        <v>241.41725649937976</v>
      </c>
      <c r="G62" s="113"/>
      <c r="H62" s="124"/>
      <c r="I62" s="113"/>
      <c r="J62" s="124"/>
      <c r="K62" s="111"/>
      <c r="L62" s="106"/>
      <c r="M62" s="124"/>
      <c r="N62" s="111"/>
      <c r="O62" s="124"/>
      <c r="P62" s="111"/>
    </row>
    <row r="63" spans="2:16" ht="20.100000000000001" customHeight="1">
      <c r="B63" s="44"/>
      <c r="C63" s="125" t="s">
        <v>111</v>
      </c>
      <c r="D63" s="156">
        <v>247.86141818572139</v>
      </c>
      <c r="E63" s="125" t="s">
        <v>111</v>
      </c>
      <c r="F63" s="156">
        <v>92.92155185804414</v>
      </c>
      <c r="G63" s="113"/>
      <c r="H63" s="124"/>
      <c r="I63" s="113"/>
      <c r="J63" s="124"/>
      <c r="K63" s="111"/>
      <c r="L63" s="106"/>
      <c r="M63" s="124"/>
      <c r="N63" s="111"/>
      <c r="O63" s="124"/>
      <c r="P63" s="111"/>
    </row>
    <row r="64" spans="2:16" ht="20.100000000000001" customHeight="1">
      <c r="B64" s="44"/>
      <c r="C64" s="125" t="s">
        <v>112</v>
      </c>
      <c r="D64" s="156">
        <v>86.223001803764987</v>
      </c>
      <c r="E64" s="125" t="s">
        <v>112</v>
      </c>
      <c r="F64" s="156">
        <v>242.08313547608773</v>
      </c>
      <c r="G64" s="113"/>
      <c r="H64" s="124"/>
      <c r="I64" s="113"/>
      <c r="J64" s="124"/>
      <c r="K64" s="111"/>
      <c r="L64" s="106"/>
      <c r="M64" s="124"/>
      <c r="N64" s="111"/>
      <c r="O64" s="124"/>
      <c r="P64" s="111"/>
    </row>
    <row r="65" spans="2:16" ht="20.100000000000001" customHeight="1">
      <c r="B65" s="44"/>
      <c r="C65" s="125" t="s">
        <v>113</v>
      </c>
      <c r="D65" s="156">
        <v>248.52729716242936</v>
      </c>
      <c r="E65" s="125" t="s">
        <v>113</v>
      </c>
      <c r="F65" s="156">
        <v>93.587430834752112</v>
      </c>
      <c r="G65" s="113"/>
      <c r="H65" s="124"/>
      <c r="I65" s="113"/>
      <c r="J65" s="124"/>
      <c r="K65" s="111"/>
      <c r="L65" s="106"/>
      <c r="M65" s="124"/>
      <c r="N65" s="111"/>
      <c r="O65" s="124"/>
      <c r="P65" s="111"/>
    </row>
    <row r="66" spans="2:16" ht="20.100000000000001" customHeight="1">
      <c r="B66" s="44"/>
      <c r="C66" s="125" t="s">
        <v>114</v>
      </c>
      <c r="D66" s="156">
        <v>86.888880780472959</v>
      </c>
      <c r="E66" s="125" t="s">
        <v>114</v>
      </c>
      <c r="F66" s="156">
        <v>242.74901445279571</v>
      </c>
      <c r="G66" s="113"/>
      <c r="H66" s="124"/>
      <c r="I66" s="113"/>
      <c r="J66" s="124"/>
      <c r="K66" s="111"/>
      <c r="L66" s="106"/>
      <c r="M66" s="124"/>
      <c r="N66" s="111"/>
      <c r="O66" s="124"/>
      <c r="P66" s="111"/>
    </row>
    <row r="67" spans="2:16" ht="20.100000000000001" customHeight="1">
      <c r="B67" s="44"/>
      <c r="C67" s="125" t="s">
        <v>115</v>
      </c>
      <c r="D67" s="156">
        <v>249.19317613913734</v>
      </c>
      <c r="E67" s="125" t="s">
        <v>115</v>
      </c>
      <c r="F67" s="156">
        <v>94.253309811460085</v>
      </c>
      <c r="G67" s="113"/>
      <c r="H67" s="124"/>
      <c r="I67" s="113"/>
      <c r="J67" s="124"/>
      <c r="K67" s="111"/>
      <c r="L67" s="106"/>
      <c r="M67" s="124"/>
      <c r="N67" s="111"/>
      <c r="O67" s="124"/>
      <c r="P67" s="111"/>
    </row>
    <row r="68" spans="2:16" ht="20.100000000000001" customHeight="1">
      <c r="B68" s="44"/>
      <c r="C68" s="125" t="s">
        <v>116</v>
      </c>
      <c r="D68" s="156">
        <v>87.554759757180932</v>
      </c>
      <c r="E68" s="125" t="s">
        <v>116</v>
      </c>
      <c r="F68" s="156">
        <v>243.41489342950368</v>
      </c>
      <c r="G68" s="113"/>
      <c r="H68" s="124"/>
      <c r="I68" s="113"/>
      <c r="J68" s="124"/>
      <c r="K68" s="111"/>
      <c r="L68" s="106"/>
      <c r="M68" s="124"/>
      <c r="N68" s="111"/>
      <c r="O68" s="124"/>
      <c r="P68" s="111"/>
    </row>
    <row r="69" spans="2:16" ht="20.100000000000001" customHeight="1">
      <c r="B69" s="44"/>
      <c r="C69" s="125" t="s">
        <v>117</v>
      </c>
      <c r="D69" s="156">
        <v>249.85905511584531</v>
      </c>
      <c r="E69" s="125" t="s">
        <v>117</v>
      </c>
      <c r="F69" s="156">
        <v>94.919188788168057</v>
      </c>
      <c r="G69" s="113"/>
      <c r="H69" s="124"/>
      <c r="I69" s="113"/>
      <c r="J69" s="124"/>
      <c r="K69" s="111"/>
      <c r="L69" s="106"/>
      <c r="M69" s="124"/>
      <c r="N69" s="111"/>
      <c r="O69" s="124"/>
      <c r="P69" s="111"/>
    </row>
    <row r="70" spans="2:16" ht="20.100000000000001" customHeight="1">
      <c r="B70" s="44"/>
      <c r="C70" s="125" t="s">
        <v>118</v>
      </c>
      <c r="D70" s="156">
        <v>88.220638733888904</v>
      </c>
      <c r="E70" s="125" t="s">
        <v>118</v>
      </c>
      <c r="F70" s="156">
        <v>244.08077240621165</v>
      </c>
      <c r="G70" s="113"/>
      <c r="H70" s="124"/>
      <c r="I70" s="113"/>
      <c r="J70" s="124"/>
      <c r="K70" s="111"/>
      <c r="L70" s="106"/>
      <c r="M70" s="124"/>
      <c r="N70" s="111"/>
      <c r="O70" s="124"/>
      <c r="P70" s="111"/>
    </row>
    <row r="71" spans="2:16" ht="20.100000000000001" customHeight="1">
      <c r="B71" s="44"/>
      <c r="C71" s="125" t="s">
        <v>119</v>
      </c>
      <c r="D71" s="156">
        <v>250.52493409255328</v>
      </c>
      <c r="E71" s="125" t="s">
        <v>119</v>
      </c>
      <c r="F71" s="156">
        <v>95.58506776487603</v>
      </c>
      <c r="G71" s="113"/>
      <c r="H71" s="124"/>
      <c r="I71" s="113"/>
      <c r="J71" s="124"/>
      <c r="K71" s="111"/>
      <c r="L71" s="106"/>
      <c r="M71" s="124"/>
      <c r="N71" s="111"/>
      <c r="O71" s="124"/>
      <c r="P71" s="111"/>
    </row>
    <row r="72" spans="2:16" ht="20.100000000000001" customHeight="1">
      <c r="B72" s="44"/>
      <c r="C72" s="125" t="s">
        <v>120</v>
      </c>
      <c r="D72" s="156">
        <v>88.886517710596877</v>
      </c>
      <c r="E72" s="125" t="s">
        <v>120</v>
      </c>
      <c r="F72" s="156">
        <v>244.74665138291962</v>
      </c>
      <c r="G72" s="113"/>
      <c r="H72" s="124"/>
      <c r="I72" s="113"/>
      <c r="J72" s="124"/>
      <c r="K72" s="111"/>
      <c r="L72" s="106"/>
      <c r="M72" s="124"/>
      <c r="N72" s="111"/>
      <c r="O72" s="124"/>
      <c r="P72" s="111"/>
    </row>
    <row r="73" spans="2:16" ht="20.100000000000001" customHeight="1">
      <c r="B73" s="44"/>
      <c r="C73" s="125" t="s">
        <v>121</v>
      </c>
      <c r="D73" s="156">
        <v>251.19081306926125</v>
      </c>
      <c r="E73" s="125" t="s">
        <v>121</v>
      </c>
      <c r="F73" s="156">
        <v>96.250946741584002</v>
      </c>
      <c r="G73" s="113"/>
      <c r="H73" s="124"/>
      <c r="I73" s="113"/>
      <c r="J73" s="124"/>
      <c r="K73" s="111"/>
      <c r="L73" s="106"/>
      <c r="M73" s="124"/>
      <c r="N73" s="111"/>
      <c r="O73" s="124"/>
      <c r="P73" s="111"/>
    </row>
    <row r="74" spans="2:16" ht="20.100000000000001" customHeight="1">
      <c r="B74" s="44"/>
      <c r="C74" s="125" t="s">
        <v>122</v>
      </c>
      <c r="D74" s="156">
        <v>89.552396687304849</v>
      </c>
      <c r="E74" s="125" t="s">
        <v>122</v>
      </c>
      <c r="F74" s="156">
        <v>245.4125303596276</v>
      </c>
      <c r="G74" s="113"/>
      <c r="H74" s="124"/>
      <c r="I74" s="113"/>
      <c r="J74" s="124"/>
      <c r="K74" s="111"/>
      <c r="L74" s="106"/>
      <c r="M74" s="124"/>
      <c r="N74" s="111"/>
      <c r="O74" s="124"/>
      <c r="P74" s="111"/>
    </row>
    <row r="75" spans="2:16" ht="20.100000000000001" customHeight="1">
      <c r="B75" s="44"/>
      <c r="C75" s="125" t="s">
        <v>123</v>
      </c>
      <c r="D75" s="156">
        <v>251.85669204596923</v>
      </c>
      <c r="E75" s="125" t="s">
        <v>123</v>
      </c>
      <c r="F75" s="156">
        <v>96.916825718291975</v>
      </c>
      <c r="G75" s="113"/>
      <c r="H75" s="124"/>
      <c r="I75" s="113"/>
      <c r="J75" s="124"/>
      <c r="K75" s="111"/>
      <c r="L75" s="106"/>
      <c r="M75" s="124"/>
      <c r="N75" s="111"/>
      <c r="O75" s="124"/>
      <c r="P75" s="111"/>
    </row>
    <row r="76" spans="2:16" ht="20.100000000000001" customHeight="1">
      <c r="B76" s="44"/>
      <c r="C76" s="125" t="s">
        <v>124</v>
      </c>
      <c r="D76" s="156">
        <v>90.218275664012822</v>
      </c>
      <c r="E76" s="125" t="s">
        <v>124</v>
      </c>
      <c r="F76" s="156">
        <v>246.07840933633557</v>
      </c>
      <c r="G76" s="113"/>
      <c r="H76" s="124"/>
      <c r="I76" s="113"/>
      <c r="J76" s="124"/>
      <c r="K76" s="111"/>
      <c r="L76" s="106"/>
      <c r="M76" s="124"/>
      <c r="N76" s="111"/>
      <c r="O76" s="124"/>
      <c r="P76" s="111"/>
    </row>
    <row r="77" spans="2:16" ht="20.100000000000001" customHeight="1">
      <c r="B77" s="44"/>
      <c r="C77" s="125" t="s">
        <v>125</v>
      </c>
      <c r="D77" s="156">
        <v>252.5225710226772</v>
      </c>
      <c r="E77" s="125" t="s">
        <v>125</v>
      </c>
      <c r="F77" s="156">
        <v>97.582704694999947</v>
      </c>
      <c r="G77" s="113"/>
      <c r="H77" s="124"/>
      <c r="I77" s="113"/>
      <c r="J77" s="124"/>
      <c r="K77" s="111"/>
      <c r="L77" s="106"/>
      <c r="M77" s="124"/>
      <c r="N77" s="111"/>
      <c r="O77" s="124"/>
      <c r="P77" s="111"/>
    </row>
    <row r="78" spans="2:16" ht="20.100000000000001" customHeight="1">
      <c r="B78" s="44"/>
      <c r="C78" s="125" t="s">
        <v>126</v>
      </c>
      <c r="D78" s="156">
        <v>90.884154640720794</v>
      </c>
      <c r="E78" s="125" t="s">
        <v>126</v>
      </c>
      <c r="F78" s="156">
        <v>246.74428831304357</v>
      </c>
      <c r="G78" s="113"/>
      <c r="H78" s="124"/>
      <c r="I78" s="113"/>
      <c r="J78" s="124"/>
      <c r="K78" s="111"/>
      <c r="L78" s="106"/>
      <c r="M78" s="124"/>
      <c r="N78" s="111"/>
      <c r="O78" s="124"/>
      <c r="P78" s="111"/>
    </row>
    <row r="79" spans="2:16" ht="20.100000000000001" customHeight="1">
      <c r="B79" s="44"/>
      <c r="C79" s="125" t="s">
        <v>127</v>
      </c>
      <c r="D79" s="156">
        <v>253.18844999938517</v>
      </c>
      <c r="E79" s="125" t="s">
        <v>127</v>
      </c>
      <c r="F79" s="156">
        <v>98.24858367170792</v>
      </c>
      <c r="G79" s="113"/>
      <c r="H79" s="124"/>
      <c r="I79" s="113"/>
      <c r="J79" s="124"/>
      <c r="K79" s="111"/>
      <c r="L79" s="106"/>
      <c r="M79" s="124"/>
      <c r="N79" s="111"/>
      <c r="O79" s="124"/>
      <c r="P79" s="111"/>
    </row>
    <row r="80" spans="2:16" ht="20.100000000000001" customHeight="1">
      <c r="B80" s="44"/>
      <c r="C80" s="125" t="s">
        <v>278</v>
      </c>
      <c r="D80" s="156">
        <v>91.550033617428781</v>
      </c>
      <c r="E80" s="125" t="s">
        <v>278</v>
      </c>
      <c r="F80" s="156">
        <v>247.41016728975154</v>
      </c>
      <c r="G80" s="113"/>
      <c r="H80" s="124"/>
      <c r="I80" s="113"/>
      <c r="J80" s="124"/>
      <c r="K80" s="111"/>
      <c r="L80" s="106"/>
      <c r="M80" s="124"/>
      <c r="N80" s="111"/>
      <c r="O80" s="124"/>
      <c r="P80" s="111"/>
    </row>
    <row r="81" spans="2:16" ht="20.100000000000001" customHeight="1">
      <c r="B81" s="44"/>
      <c r="C81" s="125" t="s">
        <v>279</v>
      </c>
      <c r="D81" s="156">
        <v>253.85432897609314</v>
      </c>
      <c r="E81" s="125" t="s">
        <v>279</v>
      </c>
      <c r="F81" s="156">
        <v>98.914462648415892</v>
      </c>
      <c r="G81" s="113"/>
      <c r="H81" s="124"/>
      <c r="I81" s="113"/>
      <c r="J81" s="124"/>
      <c r="K81" s="111"/>
      <c r="L81" s="106"/>
      <c r="M81" s="124"/>
      <c r="N81" s="111"/>
      <c r="O81" s="124"/>
      <c r="P81" s="111"/>
    </row>
    <row r="82" spans="2:16" ht="20.100000000000001" customHeight="1">
      <c r="B82" s="44"/>
      <c r="C82" s="125" t="s">
        <v>280</v>
      </c>
      <c r="D82" s="156">
        <v>92.215912594136753</v>
      </c>
      <c r="E82" s="125" t="s">
        <v>280</v>
      </c>
      <c r="F82" s="156">
        <v>248.07604626645951</v>
      </c>
      <c r="G82" s="113"/>
      <c r="H82" s="124"/>
      <c r="I82" s="113"/>
      <c r="J82" s="124"/>
      <c r="K82" s="111"/>
      <c r="L82" s="106"/>
      <c r="M82" s="124"/>
      <c r="N82" s="111"/>
      <c r="O82" s="124"/>
      <c r="P82" s="111"/>
    </row>
    <row r="83" spans="2:16" ht="20.100000000000001" customHeight="1">
      <c r="B83" s="44"/>
      <c r="C83" s="125" t="s">
        <v>281</v>
      </c>
      <c r="D83" s="156">
        <v>254.52020795280112</v>
      </c>
      <c r="E83" s="125" t="s">
        <v>281</v>
      </c>
      <c r="F83" s="156">
        <v>99.580341625123864</v>
      </c>
      <c r="G83" s="113"/>
      <c r="H83" s="124"/>
      <c r="I83" s="113"/>
      <c r="J83" s="124"/>
      <c r="K83" s="111"/>
      <c r="L83" s="106"/>
      <c r="M83" s="124"/>
      <c r="N83" s="111"/>
      <c r="O83" s="124"/>
      <c r="P83" s="111"/>
    </row>
    <row r="84" spans="2:16" ht="20.100000000000001" customHeight="1">
      <c r="B84" s="44"/>
      <c r="C84" s="125" t="s">
        <v>282</v>
      </c>
      <c r="D84" s="156">
        <v>92.881791570844726</v>
      </c>
      <c r="E84" s="125" t="s">
        <v>282</v>
      </c>
      <c r="F84" s="156">
        <v>248.74192524316749</v>
      </c>
      <c r="G84" s="113"/>
      <c r="H84" s="124"/>
      <c r="I84" s="113"/>
      <c r="J84" s="124"/>
      <c r="K84" s="111"/>
      <c r="L84" s="106"/>
      <c r="M84" s="124"/>
      <c r="N84" s="111"/>
      <c r="O84" s="124"/>
      <c r="P84" s="111"/>
    </row>
    <row r="85" spans="2:16" ht="20.100000000000001" customHeight="1">
      <c r="B85" s="44"/>
      <c r="C85" s="125" t="s">
        <v>283</v>
      </c>
      <c r="D85" s="156">
        <v>255.18608692950909</v>
      </c>
      <c r="E85" s="125" t="s">
        <v>283</v>
      </c>
      <c r="F85" s="156">
        <v>100.24622060183184</v>
      </c>
      <c r="G85" s="113"/>
      <c r="H85" s="124"/>
      <c r="I85" s="113"/>
      <c r="J85" s="124"/>
      <c r="K85" s="111"/>
      <c r="L85" s="106"/>
      <c r="M85" s="124"/>
      <c r="N85" s="111"/>
      <c r="O85" s="124"/>
      <c r="P85" s="111"/>
    </row>
    <row r="86" spans="2:16" ht="20.100000000000001" customHeight="1">
      <c r="B86" s="44"/>
      <c r="C86" s="125" t="s">
        <v>284</v>
      </c>
      <c r="D86" s="156">
        <v>93.547670547552698</v>
      </c>
      <c r="E86" s="125" t="s">
        <v>284</v>
      </c>
      <c r="F86" s="156">
        <v>249.40780421987546</v>
      </c>
      <c r="G86" s="113"/>
      <c r="H86" s="124"/>
      <c r="I86" s="113"/>
      <c r="J86" s="124"/>
      <c r="K86" s="111"/>
      <c r="L86" s="106"/>
      <c r="M86" s="124"/>
      <c r="N86" s="111"/>
      <c r="O86" s="124"/>
      <c r="P86" s="111"/>
    </row>
    <row r="87" spans="2:16" ht="20.100000000000001" customHeight="1">
      <c r="B87" s="44"/>
      <c r="C87" s="125" t="s">
        <v>285</v>
      </c>
      <c r="D87" s="156">
        <v>255.85196590621706</v>
      </c>
      <c r="E87" s="125" t="s">
        <v>285</v>
      </c>
      <c r="F87" s="156">
        <v>100.91209957853981</v>
      </c>
      <c r="G87" s="113"/>
      <c r="H87" s="124"/>
      <c r="I87" s="113"/>
      <c r="J87" s="124"/>
      <c r="K87" s="111"/>
      <c r="L87" s="106"/>
      <c r="M87" s="124"/>
      <c r="N87" s="111"/>
      <c r="O87" s="124"/>
      <c r="P87" s="111"/>
    </row>
    <row r="88" spans="2:16" ht="20.100000000000001" customHeight="1">
      <c r="B88" s="44"/>
      <c r="C88" s="125" t="s">
        <v>286</v>
      </c>
      <c r="D88" s="156">
        <v>94.213549524260671</v>
      </c>
      <c r="E88" s="125" t="s">
        <v>286</v>
      </c>
      <c r="F88" s="156">
        <v>250.07368319658343</v>
      </c>
      <c r="G88" s="113"/>
      <c r="H88" s="124"/>
      <c r="I88" s="113"/>
      <c r="J88" s="124"/>
      <c r="K88" s="111"/>
      <c r="L88" s="106"/>
      <c r="M88" s="124"/>
      <c r="N88" s="111"/>
      <c r="O88" s="124"/>
      <c r="P88" s="111"/>
    </row>
    <row r="89" spans="2:16" ht="20.100000000000001" customHeight="1">
      <c r="B89" s="44"/>
      <c r="C89" s="125" t="s">
        <v>287</v>
      </c>
      <c r="D89" s="156">
        <v>256.51784488292503</v>
      </c>
      <c r="E89" s="125" t="s">
        <v>287</v>
      </c>
      <c r="F89" s="156">
        <v>101.57797855524778</v>
      </c>
      <c r="G89" s="113"/>
      <c r="H89" s="124"/>
      <c r="I89" s="113"/>
      <c r="J89" s="124"/>
      <c r="K89" s="111"/>
      <c r="L89" s="106"/>
      <c r="M89" s="124"/>
      <c r="N89" s="111"/>
      <c r="O89" s="124"/>
      <c r="P89" s="111"/>
    </row>
    <row r="90" spans="2:16" ht="20.100000000000001" customHeight="1">
      <c r="B90" s="44"/>
      <c r="C90" s="125" t="s">
        <v>288</v>
      </c>
      <c r="D90" s="156">
        <v>94.879428500968643</v>
      </c>
      <c r="E90" s="125" t="s">
        <v>288</v>
      </c>
      <c r="F90" s="156">
        <v>250.7395621732914</v>
      </c>
      <c r="G90" s="113"/>
      <c r="H90" s="124"/>
      <c r="I90" s="113"/>
      <c r="J90" s="124"/>
      <c r="K90" s="111"/>
      <c r="L90" s="106"/>
      <c r="M90" s="124"/>
      <c r="N90" s="111"/>
      <c r="O90" s="124"/>
      <c r="P90" s="111"/>
    </row>
    <row r="91" spans="2:16" ht="20.100000000000001" customHeight="1">
      <c r="B91" s="44"/>
      <c r="C91" s="125" t="s">
        <v>289</v>
      </c>
      <c r="D91" s="156">
        <v>257.18372385963301</v>
      </c>
      <c r="E91" s="125" t="s">
        <v>289</v>
      </c>
      <c r="F91" s="156">
        <v>102.24385753195575</v>
      </c>
      <c r="G91" s="113"/>
      <c r="H91" s="124"/>
      <c r="I91" s="113"/>
      <c r="J91" s="124"/>
      <c r="K91" s="111"/>
      <c r="L91" s="106"/>
      <c r="M91" s="124"/>
      <c r="N91" s="111"/>
      <c r="O91" s="124"/>
      <c r="P91" s="111"/>
    </row>
    <row r="92" spans="2:16" ht="20.100000000000001" customHeight="1">
      <c r="B92" s="44"/>
      <c r="C92" s="125" t="s">
        <v>290</v>
      </c>
      <c r="D92" s="156">
        <v>95.545307477676616</v>
      </c>
      <c r="E92" s="125" t="s">
        <v>290</v>
      </c>
      <c r="F92" s="156">
        <v>251.40544114999938</v>
      </c>
      <c r="G92" s="113"/>
      <c r="H92" s="124"/>
      <c r="I92" s="113"/>
      <c r="J92" s="124"/>
      <c r="K92" s="111"/>
      <c r="L92" s="106"/>
      <c r="M92" s="124"/>
      <c r="N92" s="111"/>
      <c r="O92" s="124"/>
      <c r="P92" s="111"/>
    </row>
    <row r="93" spans="2:16" ht="20.100000000000001" customHeight="1">
      <c r="B93" s="44"/>
      <c r="C93" s="125" t="s">
        <v>291</v>
      </c>
      <c r="D93" s="156">
        <v>257.84960283634098</v>
      </c>
      <c r="E93" s="125" t="s">
        <v>291</v>
      </c>
      <c r="F93" s="156">
        <v>102.90973650866374</v>
      </c>
      <c r="G93" s="113"/>
      <c r="H93" s="124"/>
      <c r="I93" s="113"/>
      <c r="J93" s="124"/>
      <c r="K93" s="111"/>
      <c r="L93" s="106"/>
      <c r="M93" s="124"/>
      <c r="N93" s="111"/>
      <c r="O93" s="124"/>
      <c r="P93" s="111"/>
    </row>
    <row r="94" spans="2:16" ht="20.100000000000001" customHeight="1">
      <c r="B94" s="44"/>
      <c r="C94" s="125" t="s">
        <v>292</v>
      </c>
      <c r="D94" s="156">
        <v>96.211186454384588</v>
      </c>
      <c r="E94" s="125" t="s">
        <v>292</v>
      </c>
      <c r="F94" s="156">
        <v>252.07132012670735</v>
      </c>
      <c r="G94" s="113"/>
      <c r="H94" s="124"/>
      <c r="I94" s="113"/>
      <c r="J94" s="124"/>
      <c r="K94" s="111"/>
      <c r="L94" s="106"/>
      <c r="M94" s="124"/>
      <c r="N94" s="111"/>
      <c r="O94" s="124"/>
      <c r="P94" s="111"/>
    </row>
    <row r="95" spans="2:16" ht="20.100000000000001" customHeight="1">
      <c r="B95" s="44"/>
      <c r="C95" s="125" t="s">
        <v>293</v>
      </c>
      <c r="D95" s="156">
        <v>258.51548181304895</v>
      </c>
      <c r="E95" s="125" t="s">
        <v>293</v>
      </c>
      <c r="F95" s="156">
        <v>103.57561548537171</v>
      </c>
      <c r="G95" s="113"/>
      <c r="H95" s="124"/>
      <c r="I95" s="113"/>
      <c r="J95" s="124"/>
      <c r="K95" s="111"/>
      <c r="L95" s="106"/>
      <c r="M95" s="124"/>
      <c r="N95" s="111"/>
      <c r="O95" s="124"/>
      <c r="P95" s="111"/>
    </row>
    <row r="96" spans="2:16" ht="20.100000000000001" customHeight="1">
      <c r="B96" s="44"/>
      <c r="C96" s="125" t="s">
        <v>294</v>
      </c>
      <c r="D96" s="156">
        <v>96.877065431092561</v>
      </c>
      <c r="E96" s="125" t="s">
        <v>294</v>
      </c>
      <c r="F96" s="156">
        <v>252.73719910341532</v>
      </c>
      <c r="G96" s="113"/>
      <c r="H96" s="124"/>
      <c r="I96" s="113"/>
      <c r="J96" s="124"/>
      <c r="K96" s="111"/>
      <c r="L96" s="106"/>
      <c r="M96" s="124"/>
      <c r="N96" s="111"/>
      <c r="O96" s="124"/>
      <c r="P96" s="111"/>
    </row>
    <row r="97" spans="2:16" ht="20.100000000000001" customHeight="1">
      <c r="B97" s="44"/>
      <c r="C97" s="125" t="s">
        <v>295</v>
      </c>
      <c r="D97" s="156">
        <v>259.18136078975692</v>
      </c>
      <c r="E97" s="125" t="s">
        <v>295</v>
      </c>
      <c r="F97" s="156">
        <v>104.24149446207969</v>
      </c>
      <c r="G97" s="113"/>
      <c r="H97" s="124"/>
      <c r="I97" s="113"/>
      <c r="J97" s="124"/>
      <c r="K97" s="111"/>
      <c r="L97" s="106"/>
      <c r="M97" s="124"/>
      <c r="N97" s="111"/>
      <c r="O97" s="124"/>
      <c r="P97" s="111"/>
    </row>
    <row r="98" spans="2:16" ht="20.100000000000001" customHeight="1">
      <c r="B98" s="44"/>
      <c r="C98" s="125" t="s">
        <v>296</v>
      </c>
      <c r="D98" s="156">
        <v>97.542944407800533</v>
      </c>
      <c r="E98" s="125" t="s">
        <v>296</v>
      </c>
      <c r="F98" s="156">
        <v>253.40307808012329</v>
      </c>
      <c r="G98" s="113"/>
      <c r="H98" s="124"/>
      <c r="I98" s="113"/>
      <c r="J98" s="124"/>
      <c r="K98" s="111"/>
      <c r="L98" s="106"/>
      <c r="M98" s="124"/>
      <c r="N98" s="111"/>
      <c r="O98" s="124"/>
      <c r="P98" s="111"/>
    </row>
    <row r="99" spans="2:16" ht="20.100000000000001" customHeight="1">
      <c r="B99" s="44"/>
      <c r="C99" s="125" t="s">
        <v>297</v>
      </c>
      <c r="D99" s="156">
        <v>259.8472397664649</v>
      </c>
      <c r="E99" s="125" t="s">
        <v>297</v>
      </c>
      <c r="F99" s="156">
        <v>104.90737343878766</v>
      </c>
      <c r="G99" s="113"/>
      <c r="H99" s="124"/>
      <c r="I99" s="113"/>
      <c r="J99" s="124"/>
      <c r="K99" s="111"/>
      <c r="L99" s="106"/>
      <c r="M99" s="124"/>
      <c r="N99" s="111"/>
      <c r="O99" s="124"/>
      <c r="P99" s="111"/>
    </row>
    <row r="100" spans="2:16" ht="20.100000000000001" customHeight="1">
      <c r="B100" s="44"/>
      <c r="C100" s="125" t="s">
        <v>298</v>
      </c>
      <c r="D100" s="156">
        <v>98.208823384508506</v>
      </c>
      <c r="E100" s="125" t="s">
        <v>298</v>
      </c>
      <c r="F100" s="156">
        <v>254.06895705683127</v>
      </c>
      <c r="G100" s="113"/>
      <c r="H100" s="124"/>
      <c r="I100" s="113"/>
      <c r="J100" s="124"/>
      <c r="K100" s="111"/>
      <c r="L100" s="106"/>
      <c r="M100" s="124"/>
      <c r="N100" s="111"/>
      <c r="O100" s="124"/>
      <c r="P100" s="111"/>
    </row>
    <row r="101" spans="2:16" ht="20.100000000000001" customHeight="1">
      <c r="B101" s="44"/>
      <c r="C101" s="125" t="s">
        <v>299</v>
      </c>
      <c r="D101" s="156">
        <v>260.51311874317287</v>
      </c>
      <c r="E101" s="125" t="s">
        <v>299</v>
      </c>
      <c r="F101" s="156">
        <v>105.57325241549563</v>
      </c>
      <c r="G101" s="113"/>
      <c r="H101" s="124"/>
      <c r="I101" s="113"/>
      <c r="J101" s="124"/>
      <c r="K101" s="111"/>
      <c r="L101" s="106"/>
      <c r="M101" s="124"/>
      <c r="N101" s="111"/>
      <c r="O101" s="124"/>
      <c r="P101" s="111"/>
    </row>
    <row r="102" spans="2:16" ht="20.100000000000001" customHeight="1">
      <c r="B102" s="44"/>
      <c r="C102" s="125" t="s">
        <v>300</v>
      </c>
      <c r="D102" s="156">
        <v>98.874702361216478</v>
      </c>
      <c r="E102" s="125" t="s">
        <v>300</v>
      </c>
      <c r="F102" s="156">
        <v>254.73483603353924</v>
      </c>
      <c r="G102" s="113"/>
      <c r="H102" s="124"/>
      <c r="I102" s="113"/>
      <c r="J102" s="124"/>
      <c r="K102" s="111"/>
      <c r="L102" s="106"/>
      <c r="M102" s="124"/>
      <c r="N102" s="111"/>
      <c r="O102" s="124"/>
      <c r="P102" s="111"/>
    </row>
    <row r="103" spans="2:16" ht="20.100000000000001" customHeight="1">
      <c r="B103" s="44"/>
      <c r="C103" s="125" t="s">
        <v>301</v>
      </c>
      <c r="D103" s="156">
        <v>261.17899771988084</v>
      </c>
      <c r="E103" s="125" t="s">
        <v>301</v>
      </c>
      <c r="F103" s="156">
        <v>106.2391313922036</v>
      </c>
      <c r="G103" s="113"/>
      <c r="H103" s="124"/>
      <c r="I103" s="113"/>
      <c r="J103" s="124"/>
      <c r="K103" s="111"/>
      <c r="L103" s="106"/>
      <c r="M103" s="124"/>
      <c r="N103" s="111"/>
      <c r="O103" s="124"/>
      <c r="P103" s="111"/>
    </row>
    <row r="104" spans="2:16" ht="20.100000000000001" customHeight="1">
      <c r="B104" s="44"/>
      <c r="C104" s="125" t="s">
        <v>302</v>
      </c>
      <c r="D104" s="156">
        <v>99.540581337924451</v>
      </c>
      <c r="E104" s="125" t="s">
        <v>302</v>
      </c>
      <c r="F104" s="156">
        <v>255.40071501024721</v>
      </c>
      <c r="G104" s="113"/>
      <c r="H104" s="124"/>
      <c r="I104" s="113"/>
      <c r="J104" s="124"/>
      <c r="K104" s="111"/>
      <c r="L104" s="106"/>
      <c r="M104" s="124"/>
      <c r="N104" s="111"/>
      <c r="O104" s="124"/>
      <c r="P104" s="111"/>
    </row>
    <row r="105" spans="2:16" ht="20.100000000000001" customHeight="1">
      <c r="B105" s="44"/>
      <c r="C105" s="125" t="s">
        <v>303</v>
      </c>
      <c r="D105" s="156">
        <v>261.84487669658881</v>
      </c>
      <c r="E105" s="125" t="s">
        <v>303</v>
      </c>
      <c r="F105" s="156">
        <v>106.90501036891158</v>
      </c>
      <c r="G105" s="113"/>
      <c r="H105" s="124"/>
      <c r="I105" s="113"/>
      <c r="J105" s="124"/>
      <c r="K105" s="111"/>
      <c r="L105" s="106"/>
      <c r="M105" s="124"/>
      <c r="N105" s="111"/>
      <c r="O105" s="124"/>
      <c r="P105" s="111"/>
    </row>
    <row r="106" spans="2:16" ht="20.100000000000001" customHeight="1">
      <c r="B106" s="44"/>
      <c r="C106" s="125" t="s">
        <v>304</v>
      </c>
      <c r="D106" s="156">
        <v>100.20646031463244</v>
      </c>
      <c r="E106" s="125" t="s">
        <v>304</v>
      </c>
      <c r="F106" s="156">
        <v>256.06659398695518</v>
      </c>
      <c r="G106" s="113"/>
      <c r="H106" s="124"/>
      <c r="I106" s="113"/>
      <c r="J106" s="124"/>
      <c r="K106" s="111"/>
      <c r="L106" s="106"/>
      <c r="M106" s="124"/>
      <c r="N106" s="111"/>
      <c r="O106" s="124"/>
      <c r="P106" s="111"/>
    </row>
    <row r="107" spans="2:16" ht="20.100000000000001" customHeight="1">
      <c r="B107" s="44"/>
      <c r="C107" s="125" t="s">
        <v>305</v>
      </c>
      <c r="D107" s="156">
        <v>262.51075567329679</v>
      </c>
      <c r="E107" s="125" t="s">
        <v>305</v>
      </c>
      <c r="F107" s="156">
        <v>107.57088934561955</v>
      </c>
      <c r="G107" s="113"/>
      <c r="H107" s="124"/>
      <c r="I107" s="113"/>
      <c r="J107" s="124"/>
      <c r="K107" s="111"/>
      <c r="L107" s="106"/>
      <c r="M107" s="124"/>
      <c r="N107" s="111"/>
      <c r="O107" s="124"/>
      <c r="P107" s="111"/>
    </row>
    <row r="108" spans="2:16" ht="20.100000000000001" customHeight="1">
      <c r="B108" s="44"/>
      <c r="C108" s="125" t="s">
        <v>306</v>
      </c>
      <c r="D108" s="156">
        <v>100.8723392913404</v>
      </c>
      <c r="E108" s="125" t="s">
        <v>306</v>
      </c>
      <c r="F108" s="156">
        <v>256.73247296366316</v>
      </c>
      <c r="G108" s="113"/>
      <c r="H108" s="124"/>
      <c r="I108" s="113"/>
      <c r="J108" s="124"/>
      <c r="K108" s="111"/>
      <c r="L108" s="106"/>
      <c r="M108" s="124"/>
      <c r="N108" s="111"/>
      <c r="O108" s="124"/>
      <c r="P108" s="111"/>
    </row>
    <row r="109" spans="2:16" ht="20.100000000000001" customHeight="1">
      <c r="B109" s="44"/>
      <c r="C109" s="125" t="s">
        <v>307</v>
      </c>
      <c r="D109" s="156">
        <v>263.17663465000476</v>
      </c>
      <c r="E109" s="125" t="s">
        <v>307</v>
      </c>
      <c r="F109" s="156">
        <v>108.23676832232752</v>
      </c>
      <c r="G109" s="113"/>
      <c r="H109" s="124"/>
      <c r="I109" s="113"/>
      <c r="J109" s="124"/>
      <c r="K109" s="111"/>
      <c r="L109" s="106"/>
      <c r="M109" s="124"/>
      <c r="N109" s="111"/>
      <c r="O109" s="124"/>
      <c r="P109" s="111"/>
    </row>
    <row r="110" spans="2:16" ht="20.100000000000001" customHeight="1">
      <c r="B110" s="44"/>
      <c r="C110" s="125" t="s">
        <v>308</v>
      </c>
      <c r="D110" s="156">
        <v>101.53821826804838</v>
      </c>
      <c r="E110" s="125" t="s">
        <v>308</v>
      </c>
      <c r="F110" s="156">
        <v>257.39835194037113</v>
      </c>
      <c r="G110" s="113"/>
      <c r="H110" s="124"/>
      <c r="I110" s="113"/>
      <c r="J110" s="124"/>
      <c r="K110" s="111"/>
      <c r="L110" s="106"/>
      <c r="M110" s="124"/>
      <c r="N110" s="111"/>
      <c r="O110" s="124"/>
      <c r="P110" s="111"/>
    </row>
    <row r="111" spans="2:16" ht="20.100000000000001" customHeight="1">
      <c r="B111" s="44"/>
      <c r="C111" s="125" t="s">
        <v>309</v>
      </c>
      <c r="D111" s="156">
        <v>263.84251362671273</v>
      </c>
      <c r="E111" s="125" t="s">
        <v>309</v>
      </c>
      <c r="F111" s="156">
        <v>108.90264729903549</v>
      </c>
      <c r="G111" s="113"/>
      <c r="H111" s="124"/>
      <c r="I111" s="113"/>
      <c r="J111" s="124"/>
      <c r="K111" s="111"/>
      <c r="L111" s="106"/>
      <c r="M111" s="124"/>
      <c r="N111" s="111"/>
      <c r="O111" s="124"/>
      <c r="P111" s="111"/>
    </row>
    <row r="112" spans="2:16" ht="20.100000000000001" customHeight="1">
      <c r="B112" s="44"/>
      <c r="C112" s="125" t="s">
        <v>310</v>
      </c>
      <c r="D112" s="156">
        <v>102.20409724475635</v>
      </c>
      <c r="E112" s="125" t="s">
        <v>310</v>
      </c>
      <c r="F112" s="156">
        <v>258.0642309170791</v>
      </c>
      <c r="G112" s="113"/>
      <c r="H112" s="124"/>
      <c r="I112" s="113"/>
      <c r="J112" s="124"/>
      <c r="K112" s="111"/>
      <c r="L112" s="106"/>
      <c r="M112" s="124"/>
      <c r="N112" s="111"/>
      <c r="O112" s="124"/>
      <c r="P112" s="111"/>
    </row>
    <row r="113" spans="2:16" ht="20.100000000000001" customHeight="1">
      <c r="B113" s="44"/>
      <c r="C113" s="125" t="s">
        <v>311</v>
      </c>
      <c r="D113" s="156">
        <v>264.5083926034207</v>
      </c>
      <c r="E113" s="125" t="s">
        <v>311</v>
      </c>
      <c r="F113" s="156">
        <v>109.56852627574347</v>
      </c>
      <c r="G113" s="113"/>
      <c r="H113" s="124"/>
      <c r="I113" s="113"/>
      <c r="J113" s="124"/>
      <c r="K113" s="111"/>
      <c r="L113" s="106"/>
      <c r="M113" s="124"/>
      <c r="N113" s="111"/>
      <c r="O113" s="124"/>
      <c r="P113" s="111"/>
    </row>
    <row r="114" spans="2:16" ht="20.100000000000001" customHeight="1">
      <c r="B114" s="44"/>
      <c r="C114" s="125" t="s">
        <v>312</v>
      </c>
      <c r="D114" s="156">
        <v>102.86997622146433</v>
      </c>
      <c r="E114" s="125" t="s">
        <v>312</v>
      </c>
      <c r="F114" s="156">
        <v>258.73010989378707</v>
      </c>
      <c r="G114" s="113"/>
      <c r="H114" s="124"/>
      <c r="I114" s="113"/>
      <c r="J114" s="124"/>
      <c r="K114" s="111"/>
      <c r="L114" s="106"/>
      <c r="M114" s="124"/>
      <c r="N114" s="111"/>
      <c r="O114" s="124"/>
      <c r="P114" s="111"/>
    </row>
    <row r="115" spans="2:16" ht="20.100000000000001" customHeight="1">
      <c r="B115" s="44"/>
      <c r="C115" s="125" t="s">
        <v>313</v>
      </c>
      <c r="D115" s="156">
        <v>265.17427158012867</v>
      </c>
      <c r="E115" s="125" t="s">
        <v>313</v>
      </c>
      <c r="F115" s="156">
        <v>110.23440525245144</v>
      </c>
      <c r="G115" s="113"/>
      <c r="H115" s="124"/>
      <c r="I115" s="113"/>
      <c r="J115" s="124"/>
      <c r="K115" s="111"/>
      <c r="L115" s="106"/>
      <c r="M115" s="124"/>
      <c r="N115" s="111"/>
      <c r="O115" s="124"/>
      <c r="P115" s="111"/>
    </row>
    <row r="116" spans="2:16" ht="20.100000000000001" customHeight="1">
      <c r="B116" s="44"/>
      <c r="C116" s="125" t="s">
        <v>314</v>
      </c>
      <c r="D116" s="156">
        <v>103.5358551981723</v>
      </c>
      <c r="E116" s="125" t="s">
        <v>314</v>
      </c>
      <c r="F116" s="156">
        <v>259.39598887049505</v>
      </c>
      <c r="G116" s="113"/>
      <c r="H116" s="124"/>
      <c r="I116" s="113"/>
      <c r="J116" s="124"/>
      <c r="K116" s="111"/>
      <c r="L116" s="106"/>
      <c r="M116" s="124"/>
      <c r="N116" s="111"/>
      <c r="O116" s="124"/>
      <c r="P116" s="111"/>
    </row>
    <row r="117" spans="2:16" ht="20.100000000000001" customHeight="1">
      <c r="B117" s="44"/>
      <c r="C117" s="125" t="s">
        <v>315</v>
      </c>
      <c r="D117" s="156">
        <v>265.84015055683665</v>
      </c>
      <c r="E117" s="125" t="s">
        <v>315</v>
      </c>
      <c r="F117" s="156">
        <v>110.90028422915941</v>
      </c>
      <c r="G117" s="113"/>
      <c r="H117" s="124"/>
      <c r="I117" s="113"/>
      <c r="J117" s="124"/>
      <c r="K117" s="111"/>
      <c r="L117" s="106"/>
      <c r="M117" s="124"/>
      <c r="N117" s="111"/>
      <c r="O117" s="124"/>
      <c r="P117" s="111"/>
    </row>
    <row r="118" spans="2:16" ht="20.100000000000001" customHeight="1">
      <c r="B118" s="44"/>
      <c r="C118" s="125" t="s">
        <v>316</v>
      </c>
      <c r="D118" s="156">
        <v>104.20173417488027</v>
      </c>
      <c r="E118" s="125" t="s">
        <v>316</v>
      </c>
      <c r="F118" s="156">
        <v>260.06186784720302</v>
      </c>
      <c r="G118" s="113"/>
      <c r="H118" s="124"/>
      <c r="I118" s="113"/>
      <c r="J118" s="124"/>
      <c r="K118" s="111"/>
      <c r="L118" s="106"/>
      <c r="M118" s="124"/>
      <c r="N118" s="111"/>
      <c r="O118" s="124"/>
      <c r="P118" s="111"/>
    </row>
    <row r="119" spans="2:16" ht="20.100000000000001" customHeight="1">
      <c r="B119" s="44"/>
      <c r="C119" s="125" t="s">
        <v>317</v>
      </c>
      <c r="D119" s="156">
        <v>266.50602953354462</v>
      </c>
      <c r="E119" s="125" t="s">
        <v>317</v>
      </c>
      <c r="F119" s="156">
        <v>111.56616320586738</v>
      </c>
      <c r="G119" s="113"/>
      <c r="H119" s="124"/>
      <c r="I119" s="113"/>
      <c r="J119" s="124"/>
      <c r="K119" s="111"/>
      <c r="L119" s="106"/>
      <c r="M119" s="124"/>
      <c r="N119" s="111"/>
      <c r="O119" s="124"/>
      <c r="P119" s="111"/>
    </row>
    <row r="120" spans="2:16" ht="20.100000000000001" customHeight="1">
      <c r="B120" s="44"/>
      <c r="C120" s="125" t="s">
        <v>318</v>
      </c>
      <c r="D120" s="156">
        <v>104.86761315158824</v>
      </c>
      <c r="E120" s="125" t="s">
        <v>318</v>
      </c>
      <c r="F120" s="156">
        <v>260.72774682391099</v>
      </c>
      <c r="G120" s="113"/>
      <c r="H120" s="124"/>
      <c r="I120" s="113"/>
      <c r="J120" s="124"/>
      <c r="K120" s="111"/>
      <c r="L120" s="106"/>
      <c r="M120" s="124"/>
      <c r="N120" s="111"/>
      <c r="O120" s="124"/>
      <c r="P120" s="111"/>
    </row>
    <row r="121" spans="2:16" ht="20.100000000000001" customHeight="1">
      <c r="B121" s="44"/>
      <c r="C121" s="125" t="s">
        <v>319</v>
      </c>
      <c r="D121" s="156">
        <v>267.17190851025259</v>
      </c>
      <c r="E121" s="125" t="s">
        <v>319</v>
      </c>
      <c r="F121" s="156">
        <v>112.23204218257536</v>
      </c>
      <c r="G121" s="113"/>
      <c r="H121" s="124"/>
      <c r="I121" s="113"/>
      <c r="J121" s="124"/>
      <c r="K121" s="111"/>
      <c r="L121" s="106"/>
      <c r="M121" s="124"/>
      <c r="N121" s="111"/>
      <c r="O121" s="124"/>
      <c r="P121" s="111"/>
    </row>
    <row r="122" spans="2:16" ht="20.100000000000001" customHeight="1">
      <c r="B122" s="44"/>
      <c r="C122" s="125" t="s">
        <v>320</v>
      </c>
      <c r="D122" s="156">
        <v>105.53349212829622</v>
      </c>
      <c r="E122" s="125" t="s">
        <v>320</v>
      </c>
      <c r="F122" s="156">
        <v>261.39362580061896</v>
      </c>
      <c r="G122" s="113"/>
      <c r="H122" s="124"/>
      <c r="I122" s="113"/>
      <c r="J122" s="124"/>
      <c r="K122" s="111"/>
      <c r="L122" s="106"/>
      <c r="M122" s="124"/>
      <c r="N122" s="111"/>
      <c r="O122" s="124"/>
      <c r="P122" s="111"/>
    </row>
    <row r="123" spans="2:16" ht="20.100000000000001" customHeight="1">
      <c r="B123" s="44"/>
      <c r="C123" s="125" t="s">
        <v>321</v>
      </c>
      <c r="D123" s="156">
        <v>267.83778748696056</v>
      </c>
      <c r="E123" s="125" t="s">
        <v>321</v>
      </c>
      <c r="F123" s="156">
        <v>112.89792115928333</v>
      </c>
      <c r="G123" s="113"/>
      <c r="H123" s="124"/>
      <c r="I123" s="113"/>
      <c r="J123" s="124"/>
      <c r="K123" s="111"/>
      <c r="L123" s="106"/>
      <c r="M123" s="124"/>
      <c r="N123" s="111"/>
      <c r="O123" s="124"/>
      <c r="P123" s="111"/>
    </row>
    <row r="124" spans="2:16" ht="20.100000000000001" customHeight="1">
      <c r="B124" s="44"/>
      <c r="C124" s="125" t="s">
        <v>322</v>
      </c>
      <c r="D124" s="156">
        <v>106.19937110500419</v>
      </c>
      <c r="E124" s="125" t="s">
        <v>322</v>
      </c>
      <c r="F124" s="156">
        <v>262.05950477732694</v>
      </c>
      <c r="G124" s="113"/>
      <c r="H124" s="124"/>
      <c r="I124" s="113"/>
      <c r="J124" s="124"/>
      <c r="K124" s="111"/>
      <c r="L124" s="106"/>
      <c r="M124" s="124"/>
      <c r="N124" s="111"/>
      <c r="O124" s="124"/>
      <c r="P124" s="111"/>
    </row>
    <row r="125" spans="2:16" ht="20.100000000000001" customHeight="1">
      <c r="B125" s="44"/>
      <c r="C125" s="125" t="s">
        <v>323</v>
      </c>
      <c r="D125" s="156">
        <v>268.50366646366854</v>
      </c>
      <c r="E125" s="125" t="s">
        <v>323</v>
      </c>
      <c r="F125" s="156">
        <v>113.5638001359913</v>
      </c>
      <c r="G125" s="113"/>
      <c r="H125" s="124"/>
      <c r="I125" s="113"/>
      <c r="J125" s="124"/>
      <c r="K125" s="111"/>
      <c r="L125" s="106"/>
      <c r="M125" s="124"/>
      <c r="N125" s="111"/>
      <c r="O125" s="124"/>
      <c r="P125" s="111"/>
    </row>
    <row r="126" spans="2:16" ht="20.100000000000001" customHeight="1">
      <c r="B126" s="44"/>
      <c r="C126" s="125" t="s">
        <v>324</v>
      </c>
      <c r="D126" s="156">
        <v>106.86525008171216</v>
      </c>
      <c r="E126" s="125" t="s">
        <v>324</v>
      </c>
      <c r="F126" s="156">
        <v>262.72538375403491</v>
      </c>
      <c r="G126" s="113"/>
      <c r="H126" s="124"/>
      <c r="I126" s="113"/>
      <c r="J126" s="124"/>
      <c r="K126" s="111"/>
      <c r="L126" s="106"/>
      <c r="M126" s="124"/>
      <c r="N126" s="111"/>
      <c r="O126" s="124"/>
      <c r="P126" s="111"/>
    </row>
    <row r="127" spans="2:16" ht="20.100000000000001" customHeight="1">
      <c r="B127" s="44"/>
      <c r="C127" s="125" t="s">
        <v>325</v>
      </c>
      <c r="D127" s="156">
        <v>269.16954544037651</v>
      </c>
      <c r="E127" s="125" t="s">
        <v>325</v>
      </c>
      <c r="F127" s="156">
        <v>114.22967911269927</v>
      </c>
      <c r="G127" s="113"/>
      <c r="H127" s="124"/>
      <c r="I127" s="113"/>
      <c r="J127" s="124"/>
      <c r="K127" s="111"/>
      <c r="L127" s="106"/>
      <c r="M127" s="124"/>
      <c r="N127" s="111"/>
      <c r="O127" s="124"/>
      <c r="P127" s="111"/>
    </row>
    <row r="128" spans="2:16" ht="20.100000000000001" customHeight="1">
      <c r="B128" s="44"/>
      <c r="C128" s="125" t="s">
        <v>326</v>
      </c>
      <c r="D128" s="156">
        <v>107.53112905842013</v>
      </c>
      <c r="E128" s="125" t="s">
        <v>326</v>
      </c>
      <c r="F128" s="156">
        <v>263.39126273074288</v>
      </c>
      <c r="G128" s="113"/>
      <c r="H128" s="124"/>
      <c r="I128" s="113"/>
      <c r="J128" s="124"/>
      <c r="K128" s="111"/>
      <c r="L128" s="106"/>
      <c r="M128" s="124"/>
      <c r="N128" s="111"/>
      <c r="O128" s="124"/>
      <c r="P128" s="111"/>
    </row>
    <row r="129" spans="2:16" ht="20.100000000000001" customHeight="1">
      <c r="B129" s="44"/>
      <c r="C129" s="125" t="s">
        <v>327</v>
      </c>
      <c r="D129" s="156">
        <v>269.83542441708448</v>
      </c>
      <c r="E129" s="125" t="s">
        <v>327</v>
      </c>
      <c r="F129" s="156">
        <v>114.89555808940725</v>
      </c>
      <c r="G129" s="113"/>
      <c r="H129" s="124"/>
      <c r="I129" s="113"/>
      <c r="J129" s="124"/>
      <c r="K129" s="111"/>
      <c r="L129" s="106"/>
      <c r="M129" s="124"/>
      <c r="N129" s="111"/>
      <c r="O129" s="124"/>
      <c r="P129" s="111"/>
    </row>
    <row r="130" spans="2:16" ht="20.100000000000001" customHeight="1">
      <c r="B130" s="44"/>
      <c r="C130" s="125" t="s">
        <v>328</v>
      </c>
      <c r="D130" s="156">
        <v>108.19700803512811</v>
      </c>
      <c r="E130" s="125" t="s">
        <v>328</v>
      </c>
      <c r="F130" s="156">
        <v>264.05714170745085</v>
      </c>
      <c r="G130" s="113"/>
      <c r="H130" s="124"/>
      <c r="I130" s="113"/>
      <c r="J130" s="124"/>
      <c r="K130" s="111"/>
      <c r="L130" s="106"/>
      <c r="M130" s="124"/>
      <c r="N130" s="111"/>
      <c r="O130" s="124"/>
      <c r="P130" s="111"/>
    </row>
    <row r="131" spans="2:16" ht="20.100000000000001" customHeight="1">
      <c r="B131" s="44"/>
      <c r="C131" s="125" t="s">
        <v>329</v>
      </c>
      <c r="D131" s="156">
        <v>270.50130339379245</v>
      </c>
      <c r="E131" s="125" t="s">
        <v>329</v>
      </c>
      <c r="F131" s="156">
        <v>115.56143706611523</v>
      </c>
      <c r="G131" s="113"/>
      <c r="H131" s="124"/>
      <c r="I131" s="113"/>
      <c r="J131" s="124"/>
      <c r="K131" s="111"/>
      <c r="L131" s="106"/>
      <c r="M131" s="124"/>
      <c r="N131" s="111"/>
      <c r="O131" s="124"/>
      <c r="P131" s="111"/>
    </row>
    <row r="132" spans="2:16" ht="20.100000000000001" customHeight="1">
      <c r="B132" s="44"/>
      <c r="C132" s="125" t="s">
        <v>330</v>
      </c>
      <c r="D132" s="156">
        <v>108.86288701183608</v>
      </c>
      <c r="E132" s="125" t="s">
        <v>330</v>
      </c>
      <c r="F132" s="156">
        <v>264.72302068415883</v>
      </c>
      <c r="G132" s="113"/>
      <c r="H132" s="124"/>
      <c r="I132" s="113"/>
      <c r="J132" s="124"/>
      <c r="K132" s="111"/>
      <c r="L132" s="106"/>
      <c r="M132" s="124"/>
      <c r="N132" s="111"/>
      <c r="O132" s="124"/>
      <c r="P132" s="111"/>
    </row>
    <row r="133" spans="2:16" ht="20.100000000000001" customHeight="1">
      <c r="B133" s="44"/>
      <c r="C133" s="125" t="s">
        <v>331</v>
      </c>
      <c r="D133" s="156">
        <v>271.16718237050048</v>
      </c>
      <c r="E133" s="125" t="s">
        <v>331</v>
      </c>
      <c r="F133" s="156">
        <v>116.2273160428232</v>
      </c>
      <c r="G133" s="113"/>
      <c r="H133" s="124"/>
      <c r="I133" s="113"/>
      <c r="J133" s="124"/>
      <c r="K133" s="111"/>
      <c r="L133" s="106"/>
      <c r="M133" s="124"/>
      <c r="N133" s="111"/>
      <c r="O133" s="124"/>
      <c r="P133" s="111"/>
    </row>
    <row r="134" spans="2:16" ht="20.100000000000001" customHeight="1">
      <c r="B134" s="44"/>
      <c r="C134" s="125" t="s">
        <v>332</v>
      </c>
      <c r="D134" s="156">
        <v>109.52876598854405</v>
      </c>
      <c r="E134" s="125" t="s">
        <v>332</v>
      </c>
      <c r="F134" s="156">
        <v>265.3888996608668</v>
      </c>
      <c r="G134" s="113"/>
      <c r="H134" s="124"/>
      <c r="I134" s="113"/>
      <c r="J134" s="124"/>
      <c r="K134" s="111"/>
      <c r="L134" s="106"/>
      <c r="M134" s="124"/>
      <c r="N134" s="111"/>
      <c r="O134" s="124"/>
      <c r="P134" s="111"/>
    </row>
    <row r="135" spans="2:16" ht="20.100000000000001" customHeight="1">
      <c r="B135" s="44"/>
      <c r="C135" s="125" t="s">
        <v>333</v>
      </c>
      <c r="D135" s="156">
        <v>271.8330613472084</v>
      </c>
      <c r="E135" s="125" t="s">
        <v>333</v>
      </c>
      <c r="F135" s="156">
        <v>116.89319501953116</v>
      </c>
      <c r="G135" s="113"/>
      <c r="H135" s="124"/>
      <c r="I135" s="113"/>
      <c r="J135" s="124"/>
      <c r="K135" s="111"/>
      <c r="L135" s="106"/>
      <c r="M135" s="124"/>
      <c r="N135" s="111"/>
      <c r="O135" s="124"/>
      <c r="P135" s="111"/>
    </row>
    <row r="136" spans="2:16" ht="20.100000000000001" customHeight="1">
      <c r="B136" s="44"/>
      <c r="C136" s="125" t="s">
        <v>334</v>
      </c>
      <c r="D136" s="156">
        <v>110.19464496525202</v>
      </c>
      <c r="E136" s="125" t="s">
        <v>334</v>
      </c>
      <c r="F136" s="156">
        <v>266.05477863757477</v>
      </c>
      <c r="G136" s="113"/>
      <c r="H136" s="124"/>
      <c r="I136" s="113"/>
      <c r="J136" s="124"/>
      <c r="K136" s="111"/>
      <c r="L136" s="106"/>
      <c r="M136" s="124"/>
      <c r="N136" s="111"/>
      <c r="O136" s="124"/>
      <c r="P136" s="111"/>
    </row>
    <row r="137" spans="2:16" ht="20.100000000000001" customHeight="1">
      <c r="B137" s="44"/>
      <c r="C137" s="125" t="s">
        <v>335</v>
      </c>
      <c r="D137" s="156">
        <v>272.49894032391643</v>
      </c>
      <c r="E137" s="125" t="s">
        <v>335</v>
      </c>
      <c r="F137" s="156">
        <v>117.55907399623915</v>
      </c>
      <c r="G137" s="113"/>
      <c r="H137" s="124"/>
      <c r="I137" s="113"/>
      <c r="J137" s="124"/>
      <c r="K137" s="111"/>
      <c r="L137" s="106"/>
      <c r="M137" s="124"/>
      <c r="N137" s="111"/>
      <c r="O137" s="124"/>
      <c r="P137" s="111"/>
    </row>
    <row r="138" spans="2:16" ht="20.100000000000001" customHeight="1">
      <c r="B138" s="44"/>
      <c r="C138" s="125" t="s">
        <v>336</v>
      </c>
      <c r="D138" s="156">
        <v>110.86052394196</v>
      </c>
      <c r="E138" s="125" t="s">
        <v>336</v>
      </c>
      <c r="F138" s="156">
        <v>266.72065761428274</v>
      </c>
      <c r="G138" s="113"/>
      <c r="H138" s="124"/>
      <c r="I138" s="113"/>
      <c r="J138" s="124"/>
      <c r="K138" s="111"/>
      <c r="L138" s="106"/>
      <c r="M138" s="124"/>
      <c r="N138" s="111"/>
      <c r="O138" s="124"/>
      <c r="P138" s="111"/>
    </row>
    <row r="139" spans="2:16" ht="20.100000000000001" customHeight="1">
      <c r="B139" s="44"/>
      <c r="C139" s="125" t="s">
        <v>337</v>
      </c>
      <c r="D139" s="156">
        <v>273.1648193006244</v>
      </c>
      <c r="E139" s="125" t="s">
        <v>337</v>
      </c>
      <c r="F139" s="156">
        <v>118.22495297294711</v>
      </c>
      <c r="G139" s="113"/>
      <c r="H139" s="110"/>
      <c r="I139" s="113"/>
      <c r="J139" s="110"/>
      <c r="K139" s="111"/>
      <c r="L139" s="106"/>
      <c r="M139" s="110"/>
      <c r="N139" s="111"/>
      <c r="O139" s="110"/>
      <c r="P139" s="111"/>
    </row>
    <row r="140" spans="2:16" ht="20.100000000000001" customHeight="1">
      <c r="B140" s="44"/>
      <c r="C140" s="125" t="s">
        <v>338</v>
      </c>
      <c r="D140" s="156">
        <v>111.52640291866797</v>
      </c>
      <c r="E140" s="125" t="s">
        <v>338</v>
      </c>
      <c r="F140" s="156">
        <v>267.38653659099072</v>
      </c>
      <c r="G140" s="113"/>
      <c r="H140" s="110"/>
      <c r="I140" s="113"/>
      <c r="J140" s="110"/>
      <c r="K140" s="111"/>
      <c r="L140" s="106"/>
      <c r="M140" s="110"/>
      <c r="N140" s="111"/>
      <c r="O140" s="110"/>
      <c r="P140" s="111"/>
    </row>
    <row r="141" spans="2:16" ht="20.100000000000001" customHeight="1">
      <c r="B141" s="44"/>
      <c r="C141" s="125" t="s">
        <v>339</v>
      </c>
      <c r="D141" s="156">
        <v>273.83069827733237</v>
      </c>
      <c r="E141" s="125" t="s">
        <v>339</v>
      </c>
      <c r="F141" s="156">
        <v>118.89083194965509</v>
      </c>
      <c r="G141" s="113"/>
      <c r="H141" s="110"/>
      <c r="I141" s="113"/>
      <c r="J141" s="110"/>
      <c r="K141" s="111"/>
      <c r="L141" s="106"/>
      <c r="M141" s="110"/>
      <c r="N141" s="111"/>
      <c r="O141" s="110"/>
      <c r="P141" s="111"/>
    </row>
    <row r="142" spans="2:16" ht="20.100000000000001" customHeight="1">
      <c r="B142" s="44"/>
      <c r="C142" s="125" t="s">
        <v>340</v>
      </c>
      <c r="D142" s="156">
        <v>112.19228189537594</v>
      </c>
      <c r="E142" s="125" t="s">
        <v>340</v>
      </c>
      <c r="F142" s="156">
        <v>268.05241556769869</v>
      </c>
      <c r="G142" s="113"/>
      <c r="H142" s="110"/>
      <c r="I142" s="113"/>
      <c r="J142" s="110"/>
      <c r="K142" s="111"/>
      <c r="L142" s="106"/>
      <c r="M142" s="110"/>
      <c r="N142" s="111"/>
      <c r="O142" s="110"/>
      <c r="P142" s="111"/>
    </row>
    <row r="143" spans="2:16" ht="20.100000000000001" customHeight="1">
      <c r="B143" s="44"/>
      <c r="C143" s="125" t="s">
        <v>341</v>
      </c>
      <c r="D143" s="156">
        <v>274.49657725404035</v>
      </c>
      <c r="E143" s="125" t="s">
        <v>341</v>
      </c>
      <c r="F143" s="156">
        <v>119.55671092636307</v>
      </c>
      <c r="G143" s="113"/>
      <c r="H143" s="110"/>
      <c r="I143" s="113"/>
      <c r="J143" s="110"/>
      <c r="K143" s="111"/>
      <c r="L143" s="106"/>
      <c r="M143" s="110"/>
      <c r="N143" s="111"/>
      <c r="O143" s="110"/>
      <c r="P143" s="111"/>
    </row>
    <row r="144" spans="2:16" ht="20.100000000000001" customHeight="1">
      <c r="B144" s="44"/>
      <c r="C144" s="125" t="s">
        <v>342</v>
      </c>
      <c r="D144" s="156">
        <v>112.85816087208391</v>
      </c>
      <c r="E144" s="125" t="s">
        <v>342</v>
      </c>
      <c r="F144" s="156">
        <v>268.71829454440666</v>
      </c>
      <c r="G144" s="113"/>
      <c r="H144" s="110"/>
      <c r="I144" s="113"/>
      <c r="J144" s="110"/>
      <c r="K144" s="111"/>
      <c r="L144" s="106"/>
      <c r="M144" s="110"/>
      <c r="N144" s="111"/>
      <c r="O144" s="110"/>
      <c r="P144" s="111"/>
    </row>
    <row r="145" spans="2:16" ht="20.100000000000001" customHeight="1">
      <c r="B145" s="44"/>
      <c r="C145" s="125" t="s">
        <v>343</v>
      </c>
      <c r="D145" s="156">
        <v>275.16245623074832</v>
      </c>
      <c r="E145" s="125" t="s">
        <v>343</v>
      </c>
      <c r="F145" s="156">
        <v>120.22258990307104</v>
      </c>
      <c r="G145" s="113"/>
      <c r="H145" s="110"/>
      <c r="I145" s="113"/>
      <c r="J145" s="110"/>
      <c r="K145" s="111"/>
      <c r="L145" s="106"/>
      <c r="M145" s="110"/>
      <c r="N145" s="111"/>
      <c r="O145" s="110"/>
      <c r="P145" s="111"/>
    </row>
    <row r="146" spans="2:16" ht="20.100000000000001" customHeight="1">
      <c r="B146" s="44"/>
      <c r="C146" s="125" t="s">
        <v>344</v>
      </c>
      <c r="D146" s="156">
        <v>113.52403984879189</v>
      </c>
      <c r="E146" s="125" t="s">
        <v>344</v>
      </c>
      <c r="F146" s="156">
        <v>269.38417352111463</v>
      </c>
      <c r="G146" s="113"/>
      <c r="H146" s="110"/>
      <c r="I146" s="113"/>
      <c r="J146" s="110"/>
      <c r="K146" s="111"/>
      <c r="L146" s="106"/>
      <c r="M146" s="110"/>
      <c r="N146" s="111"/>
      <c r="O146" s="110"/>
      <c r="P146" s="111"/>
    </row>
    <row r="147" spans="2:16" ht="20.100000000000001" customHeight="1">
      <c r="B147" s="44"/>
      <c r="C147" s="125" t="s">
        <v>345</v>
      </c>
      <c r="D147" s="156">
        <v>275.82833520745629</v>
      </c>
      <c r="E147" s="125" t="s">
        <v>345</v>
      </c>
      <c r="F147" s="156">
        <v>120.88846887977901</v>
      </c>
      <c r="G147" s="113"/>
      <c r="H147" s="110"/>
      <c r="I147" s="113"/>
      <c r="J147" s="110"/>
      <c r="K147" s="111"/>
      <c r="L147" s="106"/>
      <c r="M147" s="110"/>
      <c r="N147" s="111"/>
      <c r="O147" s="110"/>
      <c r="P147" s="111"/>
    </row>
    <row r="148" spans="2:16" ht="20.100000000000001" customHeight="1">
      <c r="B148" s="44"/>
      <c r="C148" s="125" t="s">
        <v>346</v>
      </c>
      <c r="D148" s="156">
        <v>114.18991882549987</v>
      </c>
      <c r="E148" s="125" t="s">
        <v>346</v>
      </c>
      <c r="F148" s="156">
        <v>270.05005249782261</v>
      </c>
      <c r="G148" s="113"/>
      <c r="H148" s="110"/>
      <c r="I148" s="113"/>
      <c r="J148" s="110"/>
      <c r="K148" s="111"/>
      <c r="L148" s="106"/>
      <c r="M148" s="110"/>
      <c r="N148" s="111"/>
      <c r="O148" s="110"/>
      <c r="P148" s="111"/>
    </row>
    <row r="149" spans="2:16" ht="20.100000000000001" customHeight="1">
      <c r="B149" s="44"/>
      <c r="C149" s="125" t="s">
        <v>347</v>
      </c>
      <c r="D149" s="156">
        <v>276.49421418416426</v>
      </c>
      <c r="E149" s="125" t="s">
        <v>347</v>
      </c>
      <c r="F149" s="156">
        <v>121.55434785648698</v>
      </c>
      <c r="G149" s="113"/>
      <c r="H149" s="110"/>
      <c r="I149" s="113"/>
      <c r="J149" s="110"/>
      <c r="K149" s="111"/>
      <c r="L149" s="106"/>
      <c r="M149" s="110"/>
      <c r="N149" s="111"/>
      <c r="O149" s="110"/>
      <c r="P149" s="111"/>
    </row>
    <row r="150" spans="2:16" ht="20.100000000000001" customHeight="1">
      <c r="B150" s="44"/>
      <c r="C150" s="125" t="s">
        <v>348</v>
      </c>
      <c r="D150" s="156">
        <v>114.85579780220785</v>
      </c>
      <c r="E150" s="125" t="s">
        <v>348</v>
      </c>
      <c r="F150" s="156">
        <v>270.71593147453058</v>
      </c>
      <c r="G150" s="113"/>
      <c r="H150" s="110"/>
      <c r="I150" s="113"/>
      <c r="J150" s="110"/>
      <c r="K150" s="111"/>
      <c r="L150" s="106"/>
      <c r="M150" s="110"/>
      <c r="N150" s="111"/>
      <c r="O150" s="110"/>
      <c r="P150" s="111"/>
    </row>
    <row r="151" spans="2:16" ht="20.100000000000001" customHeight="1">
      <c r="B151" s="44"/>
      <c r="C151" s="125" t="s">
        <v>349</v>
      </c>
      <c r="D151" s="156">
        <v>277.16009316087224</v>
      </c>
      <c r="E151" s="125" t="s">
        <v>349</v>
      </c>
      <c r="F151" s="156">
        <v>122.22022683319496</v>
      </c>
      <c r="G151" s="113"/>
      <c r="H151" s="110"/>
      <c r="I151" s="113"/>
      <c r="J151" s="110"/>
      <c r="K151" s="111"/>
      <c r="L151" s="106"/>
      <c r="M151" s="110"/>
      <c r="N151" s="111"/>
      <c r="O151" s="110"/>
      <c r="P151" s="111"/>
    </row>
    <row r="152" spans="2:16" ht="20.100000000000001" customHeight="1">
      <c r="B152" s="44"/>
      <c r="C152" s="169" t="s">
        <v>350</v>
      </c>
      <c r="D152" s="156">
        <v>115.5216767789158</v>
      </c>
      <c r="E152" s="169" t="s">
        <v>350</v>
      </c>
      <c r="F152" s="156">
        <v>271.38181045123855</v>
      </c>
      <c r="G152" s="113"/>
      <c r="H152" s="168"/>
      <c r="I152" s="113"/>
      <c r="J152" s="168"/>
      <c r="K152" s="111"/>
      <c r="L152" s="106"/>
      <c r="M152" s="168"/>
      <c r="N152" s="111"/>
      <c r="O152" s="168"/>
      <c r="P152" s="111"/>
    </row>
    <row r="153" spans="2:16" ht="20.100000000000001" customHeight="1">
      <c r="B153" s="44"/>
      <c r="C153" s="169" t="s">
        <v>351</v>
      </c>
      <c r="D153" s="156">
        <v>277.82597213758021</v>
      </c>
      <c r="E153" s="169" t="s">
        <v>351</v>
      </c>
      <c r="F153" s="156">
        <v>122.88610580990293</v>
      </c>
      <c r="G153" s="113"/>
      <c r="H153" s="168"/>
      <c r="I153" s="113"/>
      <c r="J153" s="168"/>
      <c r="K153" s="111"/>
      <c r="L153" s="106"/>
      <c r="M153" s="168"/>
      <c r="N153" s="111"/>
      <c r="O153" s="168"/>
      <c r="P153" s="111"/>
    </row>
    <row r="154" spans="2:16" ht="20.100000000000001" customHeight="1">
      <c r="B154" s="44"/>
      <c r="C154" s="169" t="s">
        <v>352</v>
      </c>
      <c r="D154" s="156">
        <v>116.18755575562379</v>
      </c>
      <c r="E154" s="169" t="s">
        <v>352</v>
      </c>
      <c r="F154" s="156">
        <v>272.04768942794652</v>
      </c>
      <c r="G154" s="113"/>
      <c r="H154" s="168"/>
      <c r="I154" s="113"/>
      <c r="J154" s="168"/>
      <c r="K154" s="111"/>
      <c r="L154" s="106"/>
      <c r="M154" s="168"/>
      <c r="N154" s="111"/>
      <c r="O154" s="168"/>
      <c r="P154" s="111"/>
    </row>
    <row r="155" spans="2:16" ht="20.100000000000001" customHeight="1">
      <c r="B155" s="44"/>
      <c r="C155" s="169" t="s">
        <v>353</v>
      </c>
      <c r="D155" s="156">
        <v>278.49185111428818</v>
      </c>
      <c r="E155" s="169" t="s">
        <v>353</v>
      </c>
      <c r="F155" s="156">
        <v>123.5519847866109</v>
      </c>
      <c r="G155" s="113"/>
      <c r="H155" s="168"/>
      <c r="I155" s="113"/>
      <c r="J155" s="168"/>
      <c r="K155" s="111"/>
      <c r="L155" s="106"/>
      <c r="M155" s="168"/>
      <c r="N155" s="111"/>
      <c r="O155" s="168"/>
      <c r="P155" s="111"/>
    </row>
    <row r="156" spans="2:16" ht="20.100000000000001" customHeight="1">
      <c r="B156" s="44"/>
      <c r="C156" s="169" t="s">
        <v>354</v>
      </c>
      <c r="D156" s="156">
        <v>116.85343473233175</v>
      </c>
      <c r="E156" s="169" t="s">
        <v>354</v>
      </c>
      <c r="F156" s="156">
        <v>272.7135684046545</v>
      </c>
      <c r="G156" s="113"/>
      <c r="H156" s="168"/>
      <c r="I156" s="113"/>
      <c r="J156" s="168"/>
      <c r="K156" s="111"/>
      <c r="L156" s="106"/>
      <c r="M156" s="168"/>
      <c r="N156" s="111"/>
      <c r="O156" s="168"/>
      <c r="P156" s="111"/>
    </row>
    <row r="157" spans="2:16" ht="20.100000000000001" customHeight="1">
      <c r="B157" s="44"/>
      <c r="C157" s="169" t="s">
        <v>355</v>
      </c>
      <c r="D157" s="156">
        <v>279.15773009099615</v>
      </c>
      <c r="E157" s="169" t="s">
        <v>355</v>
      </c>
      <c r="F157" s="156">
        <v>124.21786376331887</v>
      </c>
      <c r="G157" s="113"/>
      <c r="H157" s="168"/>
      <c r="I157" s="113"/>
      <c r="J157" s="168"/>
      <c r="K157" s="111"/>
      <c r="L157" s="106"/>
      <c r="M157" s="168"/>
      <c r="N157" s="111"/>
      <c r="O157" s="168"/>
      <c r="P157" s="111"/>
    </row>
    <row r="158" spans="2:16" ht="20.100000000000001" customHeight="1">
      <c r="B158" s="44"/>
      <c r="C158" s="169" t="s">
        <v>356</v>
      </c>
      <c r="D158" s="156">
        <v>117.51931370903974</v>
      </c>
      <c r="E158" s="169" t="s">
        <v>356</v>
      </c>
      <c r="F158" s="156">
        <v>273.37944738136252</v>
      </c>
      <c r="G158" s="113"/>
      <c r="H158" s="168"/>
      <c r="I158" s="113"/>
      <c r="J158" s="168"/>
      <c r="K158" s="111"/>
      <c r="L158" s="106"/>
      <c r="M158" s="168"/>
      <c r="N158" s="111"/>
      <c r="O158" s="168"/>
      <c r="P158" s="111"/>
    </row>
    <row r="159" spans="2:16" ht="20.100000000000001" customHeight="1">
      <c r="B159" s="44"/>
      <c r="C159" s="169" t="s">
        <v>357</v>
      </c>
      <c r="D159" s="156">
        <v>279.82360906770413</v>
      </c>
      <c r="E159" s="169" t="s">
        <v>357</v>
      </c>
      <c r="F159" s="156">
        <v>124.88374274002686</v>
      </c>
      <c r="G159" s="113"/>
      <c r="H159" s="168"/>
      <c r="I159" s="113"/>
      <c r="J159" s="168"/>
      <c r="K159" s="111"/>
      <c r="L159" s="106"/>
      <c r="M159" s="168"/>
      <c r="N159" s="111"/>
      <c r="O159" s="168"/>
      <c r="P159" s="111"/>
    </row>
    <row r="160" spans="2:16" ht="20.100000000000001" customHeight="1">
      <c r="B160" s="44"/>
      <c r="C160" s="169" t="s">
        <v>358</v>
      </c>
      <c r="D160" s="156">
        <v>118.18519268574771</v>
      </c>
      <c r="E160" s="169" t="s">
        <v>358</v>
      </c>
      <c r="F160" s="156">
        <v>274.04532635807044</v>
      </c>
      <c r="G160" s="113"/>
      <c r="H160" s="110"/>
      <c r="I160" s="113"/>
      <c r="J160" s="110"/>
      <c r="K160" s="111"/>
      <c r="L160" s="106"/>
      <c r="M160" s="110"/>
      <c r="N160" s="111"/>
      <c r="O160" s="110"/>
      <c r="P160" s="111"/>
    </row>
    <row r="161" spans="2:43" ht="20.100000000000001" customHeight="1">
      <c r="B161" s="44"/>
      <c r="C161" s="169" t="s">
        <v>369</v>
      </c>
      <c r="D161" s="156">
        <v>280.4894880444121</v>
      </c>
      <c r="E161" s="169" t="s">
        <v>369</v>
      </c>
      <c r="F161" s="156">
        <v>125.54962171673482</v>
      </c>
      <c r="G161" s="113"/>
      <c r="H161" s="110"/>
      <c r="I161" s="113"/>
      <c r="J161" s="110"/>
      <c r="K161" s="111"/>
      <c r="L161" s="106"/>
      <c r="M161" s="110"/>
      <c r="N161" s="111"/>
      <c r="O161" s="110"/>
      <c r="P161" s="111"/>
    </row>
    <row r="162" spans="2:43" ht="20.100000000000001" customHeight="1">
      <c r="B162" s="44"/>
      <c r="C162" s="169" t="s">
        <v>370</v>
      </c>
      <c r="D162" s="156">
        <v>118.85107166245568</v>
      </c>
      <c r="E162" s="169" t="s">
        <v>370</v>
      </c>
      <c r="F162" s="156">
        <v>123.62204609439141</v>
      </c>
      <c r="G162" s="113"/>
      <c r="H162" s="124"/>
      <c r="I162" s="113"/>
      <c r="J162" s="124"/>
      <c r="K162" s="111"/>
      <c r="L162" s="106"/>
      <c r="M162" s="124"/>
      <c r="N162" s="111"/>
      <c r="O162" s="124"/>
      <c r="P162" s="111"/>
    </row>
    <row r="163" spans="2:43" ht="20.100000000000001" customHeight="1">
      <c r="B163" s="44"/>
      <c r="C163" s="169" t="s">
        <v>371</v>
      </c>
      <c r="D163" s="156">
        <v>281.15536702112007</v>
      </c>
      <c r="E163" s="169"/>
      <c r="F163" s="156"/>
      <c r="G163" s="113"/>
      <c r="H163" s="124"/>
      <c r="I163" s="113"/>
      <c r="J163" s="124"/>
      <c r="K163" s="111"/>
      <c r="L163" s="106"/>
      <c r="M163" s="124"/>
      <c r="N163" s="111"/>
      <c r="O163" s="124"/>
      <c r="P163" s="111"/>
    </row>
    <row r="164" spans="2:43" ht="20.100000000000001" customHeight="1">
      <c r="B164" s="44"/>
      <c r="C164" s="169" t="s">
        <v>372</v>
      </c>
      <c r="D164" s="156">
        <v>87.17349522472432</v>
      </c>
      <c r="E164" s="169"/>
      <c r="F164" s="156"/>
      <c r="G164" s="113"/>
      <c r="H164" s="124"/>
      <c r="I164" s="113"/>
      <c r="J164" s="124"/>
      <c r="K164" s="111"/>
      <c r="L164" s="106"/>
      <c r="M164" s="124"/>
      <c r="N164" s="111"/>
      <c r="O164" s="124"/>
      <c r="P164" s="111"/>
    </row>
    <row r="165" spans="2:43" ht="20.100000000000001" customHeight="1">
      <c r="C165" s="155"/>
      <c r="D165" s="81"/>
      <c r="E165" s="155"/>
      <c r="F165" s="9"/>
      <c r="H165" s="107"/>
      <c r="I165" s="108"/>
      <c r="J165" s="108"/>
      <c r="K165" s="109"/>
      <c r="L165" s="108"/>
      <c r="M165" s="108"/>
      <c r="N165" s="108"/>
      <c r="O165" s="108"/>
      <c r="P165" s="108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spans="2:43" ht="20.100000000000001" customHeight="1">
      <c r="C166" s="155"/>
      <c r="E166" s="155"/>
      <c r="G166" s="9"/>
    </row>
    <row r="167" spans="2:43" ht="20.100000000000001" customHeight="1">
      <c r="C167" s="155"/>
      <c r="E167" s="155"/>
    </row>
    <row r="168" spans="2:43">
      <c r="C168" s="155"/>
      <c r="E168" s="155"/>
    </row>
    <row r="169" spans="2:43">
      <c r="C169" s="155"/>
      <c r="E169" s="155"/>
    </row>
    <row r="170" spans="2:43">
      <c r="C170" s="155"/>
      <c r="E170" s="155"/>
    </row>
    <row r="171" spans="2:43">
      <c r="C171" s="155"/>
      <c r="E171" s="155"/>
    </row>
    <row r="172" spans="2:43">
      <c r="C172" s="155"/>
      <c r="E172" s="155"/>
    </row>
    <row r="173" spans="2:43">
      <c r="C173" s="155"/>
      <c r="E173" s="155"/>
    </row>
    <row r="174" spans="2:43">
      <c r="C174" s="155"/>
      <c r="E174" s="155"/>
    </row>
    <row r="175" spans="2:43">
      <c r="C175" s="155"/>
      <c r="E175" s="155"/>
    </row>
    <row r="176" spans="2:43">
      <c r="C176" s="155"/>
      <c r="E176" s="155"/>
    </row>
    <row r="177" spans="3:5">
      <c r="C177" s="155"/>
      <c r="E177" s="155"/>
    </row>
    <row r="178" spans="3:5">
      <c r="C178" s="155"/>
      <c r="E178" s="155"/>
    </row>
    <row r="179" spans="3:5">
      <c r="C179" s="155"/>
      <c r="E179" s="155"/>
    </row>
    <row r="180" spans="3:5">
      <c r="C180" s="155"/>
      <c r="E180" s="155"/>
    </row>
    <row r="181" spans="3:5">
      <c r="C181" s="155"/>
      <c r="E181" s="155"/>
    </row>
    <row r="182" spans="3:5">
      <c r="C182" s="155"/>
      <c r="E182" s="155"/>
    </row>
    <row r="183" spans="3:5">
      <c r="C183" s="155"/>
      <c r="E183" s="155"/>
    </row>
    <row r="184" spans="3:5">
      <c r="C184" s="155"/>
      <c r="E184" s="155"/>
    </row>
    <row r="185" spans="3:5">
      <c r="C185" s="155"/>
      <c r="E185" s="155"/>
    </row>
    <row r="186" spans="3:5">
      <c r="C186" s="155"/>
      <c r="E186" s="155"/>
    </row>
    <row r="187" spans="3:5">
      <c r="C187" s="155"/>
      <c r="E187" s="155"/>
    </row>
    <row r="188" spans="3:5">
      <c r="C188" s="155"/>
      <c r="E188" s="155"/>
    </row>
    <row r="189" spans="3:5">
      <c r="C189" s="155"/>
      <c r="E189" s="155"/>
    </row>
    <row r="190" spans="3:5">
      <c r="C190" s="155"/>
      <c r="E190" s="155"/>
    </row>
    <row r="191" spans="3:5">
      <c r="C191" s="155"/>
      <c r="E191" s="155"/>
    </row>
    <row r="192" spans="3:5">
      <c r="C192" s="155"/>
      <c r="E192" s="155"/>
    </row>
    <row r="193" spans="3:5">
      <c r="C193" s="155"/>
      <c r="E193" s="155"/>
    </row>
    <row r="194" spans="3:5">
      <c r="C194" s="155"/>
      <c r="E194" s="155"/>
    </row>
    <row r="195" spans="3:5">
      <c r="C195" s="155"/>
      <c r="E195" s="155"/>
    </row>
    <row r="196" spans="3:5">
      <c r="C196" s="155"/>
      <c r="E196" s="155"/>
    </row>
    <row r="197" spans="3:5">
      <c r="C197" s="155"/>
      <c r="E197" s="155"/>
    </row>
    <row r="198" spans="3:5">
      <c r="C198" s="155"/>
      <c r="E198" s="155"/>
    </row>
    <row r="199" spans="3:5">
      <c r="C199" s="155"/>
      <c r="E199" s="155"/>
    </row>
    <row r="200" spans="3:5">
      <c r="C200" s="155"/>
      <c r="E200" s="155"/>
    </row>
    <row r="201" spans="3:5">
      <c r="C201" s="155"/>
      <c r="E201" s="155"/>
    </row>
    <row r="202" spans="3:5">
      <c r="C202" s="155"/>
      <c r="E202" s="155"/>
    </row>
    <row r="203" spans="3:5">
      <c r="C203" s="155"/>
      <c r="E203" s="155"/>
    </row>
    <row r="204" spans="3:5">
      <c r="C204" s="155"/>
      <c r="E204" s="155"/>
    </row>
    <row r="205" spans="3:5">
      <c r="C205" s="155"/>
      <c r="E205" s="155"/>
    </row>
    <row r="206" spans="3:5">
      <c r="C206" s="155"/>
      <c r="E206" s="155"/>
    </row>
    <row r="207" spans="3:5">
      <c r="C207" s="155"/>
      <c r="E207" s="155"/>
    </row>
    <row r="208" spans="3:5">
      <c r="C208" s="155"/>
      <c r="E208" s="155"/>
    </row>
    <row r="209" spans="3:5">
      <c r="C209" s="155"/>
      <c r="E209" s="155"/>
    </row>
    <row r="210" spans="3:5">
      <c r="C210" s="155"/>
      <c r="E210" s="155"/>
    </row>
    <row r="211" spans="3:5">
      <c r="C211" s="155"/>
      <c r="E211" s="155"/>
    </row>
    <row r="212" spans="3:5">
      <c r="C212" s="155"/>
      <c r="E212" s="155"/>
    </row>
    <row r="213" spans="3:5">
      <c r="C213" s="155"/>
      <c r="E213" s="155"/>
    </row>
    <row r="214" spans="3:5">
      <c r="C214" s="155"/>
      <c r="E214" s="155"/>
    </row>
    <row r="215" spans="3:5">
      <c r="C215" s="155"/>
      <c r="E215" s="155"/>
    </row>
    <row r="216" spans="3:5">
      <c r="C216" s="155"/>
      <c r="E216" s="155"/>
    </row>
    <row r="217" spans="3:5">
      <c r="C217" s="155"/>
      <c r="E217" s="155"/>
    </row>
    <row r="218" spans="3:5">
      <c r="C218" s="155"/>
      <c r="E218" s="155"/>
    </row>
    <row r="219" spans="3:5">
      <c r="C219" s="155"/>
      <c r="E219" s="155"/>
    </row>
    <row r="220" spans="3:5">
      <c r="C220" s="155"/>
      <c r="E220" s="155"/>
    </row>
    <row r="221" spans="3:5">
      <c r="C221" s="155"/>
      <c r="E221" s="155"/>
    </row>
    <row r="222" spans="3:5">
      <c r="C222" s="155"/>
      <c r="E222" s="155"/>
    </row>
    <row r="223" spans="3:5">
      <c r="C223" s="155"/>
      <c r="E223" s="155"/>
    </row>
    <row r="224" spans="3:5">
      <c r="C224" s="155"/>
      <c r="E224" s="155"/>
    </row>
    <row r="225" spans="3:5">
      <c r="C225" s="155"/>
      <c r="E225" s="155"/>
    </row>
    <row r="226" spans="3:5">
      <c r="C226" s="155"/>
      <c r="E226" s="155"/>
    </row>
    <row r="227" spans="3:5">
      <c r="C227" s="155"/>
      <c r="E227" s="155"/>
    </row>
    <row r="228" spans="3:5">
      <c r="C228" s="155"/>
      <c r="E228" s="155"/>
    </row>
    <row r="229" spans="3:5">
      <c r="C229" s="155"/>
      <c r="E229" s="155"/>
    </row>
    <row r="230" spans="3:5">
      <c r="C230" s="155"/>
      <c r="E230" s="155"/>
    </row>
    <row r="231" spans="3:5">
      <c r="C231" s="155"/>
      <c r="E231" s="155"/>
    </row>
    <row r="232" spans="3:5">
      <c r="C232" s="155"/>
      <c r="E232" s="155"/>
    </row>
    <row r="233" spans="3:5">
      <c r="C233" s="155"/>
      <c r="E233" s="155"/>
    </row>
    <row r="234" spans="3:5">
      <c r="C234" s="155"/>
      <c r="E234" s="155"/>
    </row>
    <row r="235" spans="3:5">
      <c r="C235" s="155"/>
      <c r="E235" s="155"/>
    </row>
    <row r="236" spans="3:5">
      <c r="C236" s="155"/>
      <c r="E236" s="155"/>
    </row>
    <row r="237" spans="3:5">
      <c r="C237" s="155"/>
      <c r="E237" s="155"/>
    </row>
    <row r="238" spans="3:5">
      <c r="C238" s="155"/>
      <c r="E238" s="155"/>
    </row>
    <row r="239" spans="3:5">
      <c r="C239" s="155"/>
      <c r="E239" s="155"/>
    </row>
    <row r="240" spans="3:5">
      <c r="C240" s="155"/>
      <c r="E240" s="155"/>
    </row>
    <row r="241" spans="3:5">
      <c r="C241" s="155"/>
      <c r="E241" s="155"/>
    </row>
    <row r="242" spans="3:5">
      <c r="C242" s="155"/>
      <c r="E242" s="155"/>
    </row>
    <row r="243" spans="3:5">
      <c r="C243" s="155"/>
      <c r="E243" s="155"/>
    </row>
    <row r="244" spans="3:5">
      <c r="C244" s="155"/>
      <c r="E244" s="155"/>
    </row>
    <row r="245" spans="3:5">
      <c r="C245" s="155"/>
      <c r="E245" s="155"/>
    </row>
    <row r="246" spans="3:5">
      <c r="C246" s="155"/>
      <c r="E246" s="155"/>
    </row>
    <row r="247" spans="3:5">
      <c r="C247" s="155"/>
      <c r="E247" s="155"/>
    </row>
    <row r="248" spans="3:5">
      <c r="C248" s="155"/>
      <c r="E248" s="155"/>
    </row>
  </sheetData>
  <mergeCells count="33">
    <mergeCell ref="M57:N57"/>
    <mergeCell ref="O57:P57"/>
    <mergeCell ref="D17:D18"/>
    <mergeCell ref="H56:K56"/>
    <mergeCell ref="H57:I57"/>
    <mergeCell ref="J57:K57"/>
    <mergeCell ref="F33:G33"/>
    <mergeCell ref="F32:G32"/>
    <mergeCell ref="F26:G26"/>
    <mergeCell ref="F25:G25"/>
    <mergeCell ref="F27:G27"/>
    <mergeCell ref="F28:G28"/>
    <mergeCell ref="F21:G21"/>
    <mergeCell ref="C57:D57"/>
    <mergeCell ref="E57:F57"/>
    <mergeCell ref="F38:G38"/>
    <mergeCell ref="C3:F5"/>
    <mergeCell ref="B6:F6"/>
    <mergeCell ref="F29:G29"/>
    <mergeCell ref="C11:C18"/>
    <mergeCell ref="F31:G31"/>
    <mergeCell ref="M56:P56"/>
    <mergeCell ref="F18:G18"/>
    <mergeCell ref="C56:F56"/>
    <mergeCell ref="F39:G39"/>
    <mergeCell ref="F34:G34"/>
    <mergeCell ref="F35:G35"/>
    <mergeCell ref="F36:G36"/>
    <mergeCell ref="F37:G37"/>
    <mergeCell ref="F19:G19"/>
    <mergeCell ref="F24:G24"/>
    <mergeCell ref="C19:C39"/>
    <mergeCell ref="F30:G30"/>
  </mergeCells>
  <phoneticPr fontId="2" type="noConversion"/>
  <pageMargins left="0.7" right="0.7" top="0.75" bottom="0.75" header="0.3" footer="0.3"/>
  <pageSetup paperSize="9" scale="51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43"/>
  <sheetViews>
    <sheetView showGridLines="0" topLeftCell="A22" zoomScaleNormal="100" zoomScaleSheetLayoutView="120" workbookViewId="0">
      <selection activeCell="G17" sqref="G17"/>
    </sheetView>
  </sheetViews>
  <sheetFormatPr defaultColWidth="9" defaultRowHeight="13.8"/>
  <cols>
    <col min="1" max="1" width="0.88671875" style="39" customWidth="1"/>
    <col min="2" max="2" width="1.88671875" style="39" customWidth="1"/>
    <col min="3" max="3" width="11.21875" style="38" customWidth="1"/>
    <col min="4" max="4" width="26.33203125" style="36" customWidth="1"/>
    <col min="5" max="5" width="8.6640625" style="38" customWidth="1"/>
    <col min="6" max="6" width="25.109375" style="38" customWidth="1"/>
    <col min="7" max="7" width="22.33203125" style="38" customWidth="1"/>
    <col min="8" max="8" width="35" style="39" customWidth="1"/>
    <col min="9" max="9" width="4.77734375" style="39" customWidth="1"/>
    <col min="10" max="10" width="9" style="39"/>
    <col min="11" max="11" width="15.6640625" style="39" customWidth="1"/>
    <col min="12" max="12" width="11.88671875" style="39" customWidth="1"/>
    <col min="13" max="13" width="15" style="39" customWidth="1"/>
    <col min="14" max="14" width="13" style="39" customWidth="1"/>
    <col min="15" max="16384" width="9" style="39"/>
  </cols>
  <sheetData>
    <row r="1" spans="2:26" ht="6" customHeight="1"/>
    <row r="2" spans="2:26" ht="16.5" customHeight="1">
      <c r="B2" s="45"/>
      <c r="C2" s="46"/>
      <c r="D2" s="78"/>
      <c r="E2" s="46"/>
      <c r="F2" s="46"/>
      <c r="G2" s="46"/>
      <c r="H2" s="47"/>
      <c r="I2" s="48"/>
    </row>
    <row r="3" spans="2:26" ht="18.75" customHeight="1">
      <c r="B3" s="49"/>
      <c r="C3" s="337" t="str">
        <f>封面!B7</f>
        <v>L246N183A-B2验证样-设计制程标准</v>
      </c>
      <c r="D3" s="337"/>
      <c r="E3" s="337"/>
      <c r="F3" s="338"/>
      <c r="G3" s="70" t="s">
        <v>15</v>
      </c>
      <c r="H3" s="71" t="str">
        <f>封面!E14</f>
        <v>L246N183A-B2样-ZCBZ</v>
      </c>
      <c r="I3" s="52"/>
    </row>
    <row r="4" spans="2:26" ht="15.75" customHeight="1">
      <c r="B4" s="49"/>
      <c r="C4" s="337"/>
      <c r="D4" s="337"/>
      <c r="E4" s="337"/>
      <c r="F4" s="338"/>
      <c r="G4" s="70" t="s">
        <v>16</v>
      </c>
      <c r="H4" s="71" t="str">
        <f>封面!E15</f>
        <v>B2</v>
      </c>
      <c r="I4" s="52"/>
    </row>
    <row r="5" spans="2:26" ht="17.25" customHeight="1">
      <c r="B5" s="49"/>
      <c r="C5" s="337"/>
      <c r="D5" s="337"/>
      <c r="E5" s="337"/>
      <c r="F5" s="338"/>
      <c r="G5" s="70" t="s">
        <v>2</v>
      </c>
      <c r="H5" s="96">
        <f>封面!E16</f>
        <v>45824</v>
      </c>
      <c r="I5" s="52"/>
    </row>
    <row r="6" spans="2:26" ht="18.600000000000001" customHeight="1">
      <c r="B6" s="49"/>
      <c r="C6" s="339" t="s">
        <v>163</v>
      </c>
      <c r="D6" s="339"/>
      <c r="E6" s="339"/>
      <c r="F6" s="339"/>
      <c r="G6" s="40"/>
      <c r="I6" s="52"/>
    </row>
    <row r="7" spans="2:26" ht="14.4" thickBot="1">
      <c r="B7" s="53"/>
      <c r="C7" s="54"/>
      <c r="D7" s="56"/>
      <c r="E7" s="55"/>
      <c r="F7" s="55"/>
      <c r="G7" s="56"/>
      <c r="H7" s="55"/>
      <c r="I7" s="57"/>
    </row>
    <row r="8" spans="2:26" ht="5.4" customHeight="1" thickTop="1">
      <c r="B8" s="49"/>
      <c r="E8" s="39"/>
      <c r="F8" s="39"/>
      <c r="G8" s="36"/>
      <c r="I8" s="52"/>
    </row>
    <row r="9" spans="2:26" ht="20.100000000000001" customHeight="1" thickBot="1">
      <c r="B9" s="49"/>
      <c r="C9" s="14" t="s">
        <v>17</v>
      </c>
      <c r="D9" s="79"/>
      <c r="E9" s="15"/>
      <c r="F9" s="15"/>
      <c r="G9" s="15"/>
      <c r="H9" s="15"/>
      <c r="I9" s="2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  <c r="X9" s="15"/>
      <c r="Y9" s="15"/>
      <c r="Z9" s="15"/>
    </row>
    <row r="10" spans="2:26" ht="27" customHeight="1" thickBot="1">
      <c r="B10" s="49"/>
      <c r="C10" s="21" t="s">
        <v>55</v>
      </c>
      <c r="D10" s="82" t="s">
        <v>54</v>
      </c>
      <c r="E10" s="32" t="s">
        <v>68</v>
      </c>
      <c r="F10" s="21" t="s">
        <v>69</v>
      </c>
      <c r="G10" s="21" t="s">
        <v>70</v>
      </c>
      <c r="H10" s="102" t="s">
        <v>177</v>
      </c>
      <c r="I10" s="52"/>
      <c r="K10" s="365" t="s">
        <v>532</v>
      </c>
      <c r="L10" s="367"/>
      <c r="M10" s="368"/>
      <c r="N10" s="365" t="s">
        <v>532</v>
      </c>
    </row>
    <row r="11" spans="2:26" ht="22.65" customHeight="1" thickTop="1" thickBot="1">
      <c r="B11" s="49"/>
      <c r="C11" s="342" t="s">
        <v>84</v>
      </c>
      <c r="D11" s="94" t="s">
        <v>183</v>
      </c>
      <c r="E11" s="22" t="s">
        <v>178</v>
      </c>
      <c r="F11" s="293" t="s">
        <v>512</v>
      </c>
      <c r="G11" s="294" t="s">
        <v>511</v>
      </c>
      <c r="H11" s="201" t="s">
        <v>569</v>
      </c>
      <c r="I11" s="52"/>
      <c r="K11" s="366"/>
      <c r="L11" s="309" t="s">
        <v>533</v>
      </c>
      <c r="M11" s="309" t="s">
        <v>534</v>
      </c>
      <c r="N11" s="366"/>
    </row>
    <row r="12" spans="2:26" ht="22.65" customHeight="1" thickBot="1">
      <c r="B12" s="49"/>
      <c r="C12" s="335"/>
      <c r="D12" s="84" t="s">
        <v>73</v>
      </c>
      <c r="E12" s="93" t="s">
        <v>29</v>
      </c>
      <c r="F12" s="293" t="s">
        <v>512</v>
      </c>
      <c r="G12" s="294" t="s">
        <v>511</v>
      </c>
      <c r="H12" s="153" t="s">
        <v>570</v>
      </c>
      <c r="I12" s="52"/>
      <c r="K12" s="310" t="s">
        <v>588</v>
      </c>
      <c r="L12" s="311" t="s">
        <v>539</v>
      </c>
      <c r="M12" s="311" t="s">
        <v>540</v>
      </c>
      <c r="N12" s="312" t="s">
        <v>541</v>
      </c>
    </row>
    <row r="13" spans="2:26" s="74" customFormat="1" ht="20.100000000000001" customHeight="1" thickBot="1">
      <c r="B13" s="72"/>
      <c r="C13" s="335"/>
      <c r="D13" s="83" t="s">
        <v>566</v>
      </c>
      <c r="E13" s="34" t="s">
        <v>29</v>
      </c>
      <c r="F13" s="229" t="s">
        <v>571</v>
      </c>
      <c r="G13" s="167" t="s">
        <v>564</v>
      </c>
      <c r="H13" s="201"/>
      <c r="I13" s="73"/>
      <c r="K13" s="313"/>
      <c r="L13" s="314"/>
      <c r="M13" s="314"/>
      <c r="N13" s="313"/>
    </row>
    <row r="14" spans="2:26" s="74" customFormat="1" ht="19.05" customHeight="1" thickBot="1">
      <c r="B14" s="72"/>
      <c r="C14" s="335"/>
      <c r="D14" s="320" t="s">
        <v>565</v>
      </c>
      <c r="E14" s="34" t="s">
        <v>29</v>
      </c>
      <c r="F14" s="322" t="s">
        <v>568</v>
      </c>
      <c r="G14" s="167" t="s">
        <v>567</v>
      </c>
      <c r="H14" s="201"/>
      <c r="I14" s="73"/>
      <c r="K14" s="313"/>
      <c r="L14" s="315"/>
      <c r="M14" s="315"/>
      <c r="N14" s="313"/>
    </row>
    <row r="15" spans="2:26" s="74" customFormat="1" ht="20.100000000000001" customHeight="1" thickBot="1">
      <c r="B15" s="72"/>
      <c r="C15" s="335"/>
      <c r="D15" s="83" t="s">
        <v>85</v>
      </c>
      <c r="E15" s="34" t="s">
        <v>86</v>
      </c>
      <c r="F15" s="295" t="s">
        <v>550</v>
      </c>
      <c r="G15" s="302" t="s">
        <v>518</v>
      </c>
      <c r="H15" s="153" t="s">
        <v>410</v>
      </c>
      <c r="I15" s="73"/>
      <c r="K15" s="313"/>
      <c r="L15" s="314"/>
      <c r="M15" s="314"/>
      <c r="N15" s="313"/>
    </row>
    <row r="16" spans="2:26" s="74" customFormat="1" ht="20.100000000000001" customHeight="1" thickBot="1">
      <c r="B16" s="72"/>
      <c r="C16" s="335"/>
      <c r="D16" s="84" t="s">
        <v>37</v>
      </c>
      <c r="E16" s="31" t="s">
        <v>76</v>
      </c>
      <c r="F16" s="207" t="s">
        <v>185</v>
      </c>
      <c r="G16" s="207" t="s">
        <v>184</v>
      </c>
      <c r="H16" s="202"/>
      <c r="I16" s="73"/>
      <c r="K16" s="313"/>
      <c r="L16" s="314"/>
      <c r="M16" s="314"/>
      <c r="N16" s="313"/>
    </row>
    <row r="17" spans="2:14" s="74" customFormat="1" ht="20.100000000000001" customHeight="1" thickBot="1">
      <c r="B17" s="72"/>
      <c r="C17" s="335"/>
      <c r="D17" s="84" t="s">
        <v>392</v>
      </c>
      <c r="E17" s="203" t="s">
        <v>76</v>
      </c>
      <c r="F17" s="207" t="s">
        <v>393</v>
      </c>
      <c r="G17" s="226" t="s">
        <v>422</v>
      </c>
      <c r="H17" s="202"/>
      <c r="I17" s="73"/>
      <c r="K17" s="313"/>
      <c r="L17" s="314"/>
      <c r="M17" s="314"/>
      <c r="N17" s="313"/>
    </row>
    <row r="18" spans="2:14" s="74" customFormat="1" ht="20.100000000000001" customHeight="1" thickBot="1">
      <c r="B18" s="72"/>
      <c r="C18" s="336"/>
      <c r="D18" s="84" t="s">
        <v>198</v>
      </c>
      <c r="E18" s="31" t="s">
        <v>145</v>
      </c>
      <c r="F18" s="207" t="s">
        <v>394</v>
      </c>
      <c r="G18" s="207" t="s">
        <v>394</v>
      </c>
      <c r="H18" s="202"/>
      <c r="I18" s="73"/>
      <c r="K18" s="313"/>
      <c r="L18" s="314"/>
      <c r="M18" s="314"/>
      <c r="N18" s="313"/>
    </row>
    <row r="19" spans="2:14" s="74" customFormat="1" ht="20.100000000000001" customHeight="1" thickBot="1">
      <c r="B19" s="72"/>
      <c r="C19" s="334" t="s">
        <v>140</v>
      </c>
      <c r="D19" s="84" t="s">
        <v>136</v>
      </c>
      <c r="E19" s="33" t="s">
        <v>137</v>
      </c>
      <c r="F19" s="369">
        <v>2</v>
      </c>
      <c r="G19" s="370"/>
      <c r="H19" s="153"/>
      <c r="I19" s="73"/>
      <c r="K19" s="312" t="s">
        <v>542</v>
      </c>
      <c r="L19" s="316" t="s">
        <v>543</v>
      </c>
      <c r="M19" s="316" t="s">
        <v>544</v>
      </c>
      <c r="N19" s="312" t="s">
        <v>545</v>
      </c>
    </row>
    <row r="20" spans="2:14" s="74" customFormat="1" ht="20.100000000000001" customHeight="1" thickBot="1">
      <c r="B20" s="72"/>
      <c r="C20" s="335"/>
      <c r="D20" s="84" t="s">
        <v>138</v>
      </c>
      <c r="E20" s="31" t="s">
        <v>45</v>
      </c>
      <c r="F20" s="292">
        <v>68</v>
      </c>
      <c r="G20" s="292">
        <v>69</v>
      </c>
      <c r="H20" s="153" t="s">
        <v>548</v>
      </c>
      <c r="I20" s="73"/>
      <c r="K20" s="313"/>
      <c r="L20" s="314"/>
      <c r="M20" s="317" t="s">
        <v>535</v>
      </c>
      <c r="N20" s="318" t="s">
        <v>536</v>
      </c>
    </row>
    <row r="21" spans="2:14" s="74" customFormat="1" ht="20.100000000000001" customHeight="1" thickBot="1">
      <c r="B21" s="72"/>
      <c r="C21" s="335"/>
      <c r="D21" s="84" t="s">
        <v>139</v>
      </c>
      <c r="E21" s="31" t="s">
        <v>76</v>
      </c>
      <c r="F21" s="295" t="s">
        <v>519</v>
      </c>
      <c r="G21" s="295" t="s">
        <v>551</v>
      </c>
      <c r="H21" s="153" t="s">
        <v>520</v>
      </c>
      <c r="I21" s="73"/>
      <c r="K21" s="313"/>
      <c r="L21" s="314"/>
      <c r="M21" s="317" t="s">
        <v>537</v>
      </c>
      <c r="N21" s="318" t="s">
        <v>538</v>
      </c>
    </row>
    <row r="22" spans="2:14" s="74" customFormat="1" ht="20.100000000000001" customHeight="1">
      <c r="B22" s="72"/>
      <c r="C22" s="335"/>
      <c r="D22" s="84" t="s">
        <v>152</v>
      </c>
      <c r="E22" s="31" t="s">
        <v>153</v>
      </c>
      <c r="F22" s="371" t="s">
        <v>442</v>
      </c>
      <c r="G22" s="372"/>
      <c r="H22" s="236"/>
      <c r="I22" s="73"/>
    </row>
    <row r="23" spans="2:14" s="74" customFormat="1" ht="20.100000000000001" customHeight="1">
      <c r="B23" s="72"/>
      <c r="C23" s="335"/>
      <c r="D23" s="84" t="s">
        <v>28</v>
      </c>
      <c r="E23" s="31" t="s">
        <v>29</v>
      </c>
      <c r="F23" s="352">
        <v>235</v>
      </c>
      <c r="G23" s="352"/>
      <c r="H23" s="153"/>
      <c r="I23" s="73"/>
    </row>
    <row r="24" spans="2:14" s="74" customFormat="1" ht="20.100000000000001" customHeight="1">
      <c r="B24" s="72"/>
      <c r="C24" s="335"/>
      <c r="D24" s="85" t="s">
        <v>397</v>
      </c>
      <c r="E24" s="31" t="s">
        <v>45</v>
      </c>
      <c r="F24" s="352" t="s">
        <v>446</v>
      </c>
      <c r="G24" s="352"/>
      <c r="H24" s="208"/>
      <c r="I24" s="73"/>
    </row>
    <row r="25" spans="2:14" s="74" customFormat="1" ht="20.100000000000001" customHeight="1">
      <c r="B25" s="72"/>
      <c r="C25" s="335"/>
      <c r="D25" s="84" t="s">
        <v>38</v>
      </c>
      <c r="E25" s="31" t="s">
        <v>29</v>
      </c>
      <c r="F25" s="352" t="s">
        <v>429</v>
      </c>
      <c r="G25" s="352"/>
      <c r="H25" s="202"/>
      <c r="I25" s="73"/>
    </row>
    <row r="26" spans="2:14" s="74" customFormat="1" ht="20.100000000000001" customHeight="1">
      <c r="B26" s="72"/>
      <c r="C26" s="335"/>
      <c r="D26" s="84" t="s">
        <v>39</v>
      </c>
      <c r="E26" s="31" t="s">
        <v>29</v>
      </c>
      <c r="F26" s="352" t="s">
        <v>429</v>
      </c>
      <c r="G26" s="352"/>
      <c r="H26" s="202"/>
      <c r="I26" s="73"/>
    </row>
    <row r="27" spans="2:14" s="74" customFormat="1" ht="20.100000000000001" customHeight="1">
      <c r="B27" s="72"/>
      <c r="C27" s="335"/>
      <c r="D27" s="216" t="s">
        <v>40</v>
      </c>
      <c r="E27" s="217" t="s">
        <v>29</v>
      </c>
      <c r="F27" s="351" t="s">
        <v>430</v>
      </c>
      <c r="G27" s="351"/>
      <c r="H27" s="202"/>
      <c r="I27" s="73"/>
    </row>
    <row r="28" spans="2:14" s="74" customFormat="1" ht="20.100000000000001" customHeight="1">
      <c r="B28" s="72"/>
      <c r="C28" s="335"/>
      <c r="D28" s="216" t="s">
        <v>41</v>
      </c>
      <c r="E28" s="217" t="s">
        <v>29</v>
      </c>
      <c r="F28" s="351" t="s">
        <v>430</v>
      </c>
      <c r="G28" s="351"/>
      <c r="H28" s="202"/>
      <c r="I28" s="73"/>
    </row>
    <row r="29" spans="2:14" s="74" customFormat="1" ht="20.100000000000001" customHeight="1">
      <c r="B29" s="72"/>
      <c r="C29" s="335"/>
      <c r="D29" s="84" t="s">
        <v>87</v>
      </c>
      <c r="E29" s="31" t="s">
        <v>29</v>
      </c>
      <c r="F29" s="351" t="s">
        <v>437</v>
      </c>
      <c r="G29" s="351"/>
      <c r="H29" s="202"/>
      <c r="I29" s="73"/>
    </row>
    <row r="30" spans="2:14" s="74" customFormat="1" ht="20.100000000000001" customHeight="1">
      <c r="B30" s="72"/>
      <c r="C30" s="335"/>
      <c r="D30" s="84" t="s">
        <v>88</v>
      </c>
      <c r="E30" s="31" t="s">
        <v>29</v>
      </c>
      <c r="F30" s="351" t="s">
        <v>438</v>
      </c>
      <c r="G30" s="351"/>
      <c r="H30" s="202"/>
      <c r="I30" s="73"/>
    </row>
    <row r="31" spans="2:14" s="74" customFormat="1" ht="20.100000000000001" customHeight="1">
      <c r="B31" s="72"/>
      <c r="C31" s="335"/>
      <c r="D31" s="216" t="s">
        <v>403</v>
      </c>
      <c r="E31" s="217" t="s">
        <v>29</v>
      </c>
      <c r="F31" s="351" t="s">
        <v>436</v>
      </c>
      <c r="G31" s="351"/>
      <c r="H31" s="202"/>
      <c r="I31" s="73"/>
    </row>
    <row r="32" spans="2:14" s="74" customFormat="1" ht="20.100000000000001" customHeight="1">
      <c r="B32" s="72"/>
      <c r="C32" s="335"/>
      <c r="D32" s="216" t="s">
        <v>404</v>
      </c>
      <c r="E32" s="217" t="s">
        <v>29</v>
      </c>
      <c r="F32" s="375" t="s">
        <v>434</v>
      </c>
      <c r="G32" s="376"/>
      <c r="H32" s="202"/>
      <c r="I32" s="73"/>
    </row>
    <row r="33" spans="2:43" s="74" customFormat="1" ht="20.100000000000001" customHeight="1">
      <c r="B33" s="72"/>
      <c r="C33" s="335"/>
      <c r="D33" s="84" t="s">
        <v>144</v>
      </c>
      <c r="E33" s="31" t="s">
        <v>29</v>
      </c>
      <c r="F33" s="348" t="s">
        <v>141</v>
      </c>
      <c r="G33" s="349"/>
      <c r="H33" s="202"/>
      <c r="I33" s="73"/>
    </row>
    <row r="34" spans="2:43" s="74" customFormat="1" ht="20.100000000000001" customHeight="1">
      <c r="B34" s="72"/>
      <c r="C34" s="335"/>
      <c r="D34" s="84" t="s">
        <v>30</v>
      </c>
      <c r="E34" s="31" t="s">
        <v>29</v>
      </c>
      <c r="F34" s="373" t="s">
        <v>572</v>
      </c>
      <c r="G34" s="373"/>
      <c r="H34" s="153" t="s">
        <v>408</v>
      </c>
      <c r="I34" s="73"/>
    </row>
    <row r="35" spans="2:43" s="74" customFormat="1" ht="20.100000000000001" customHeight="1">
      <c r="B35" s="72"/>
      <c r="C35" s="335"/>
      <c r="D35" s="84" t="s">
        <v>31</v>
      </c>
      <c r="E35" s="31" t="s">
        <v>34</v>
      </c>
      <c r="F35" s="374" t="s">
        <v>521</v>
      </c>
      <c r="G35" s="374"/>
      <c r="H35" s="153" t="s">
        <v>409</v>
      </c>
      <c r="I35" s="73"/>
    </row>
    <row r="36" spans="2:43" ht="20.100000000000001" customHeight="1">
      <c r="B36" s="49"/>
      <c r="C36" s="335"/>
      <c r="D36" s="84" t="s">
        <v>36</v>
      </c>
      <c r="E36" s="31" t="s">
        <v>29</v>
      </c>
      <c r="F36" s="375" t="s">
        <v>423</v>
      </c>
      <c r="G36" s="376"/>
      <c r="H36" s="153"/>
      <c r="I36" s="52"/>
    </row>
    <row r="37" spans="2:43" ht="20.100000000000001" customHeight="1">
      <c r="B37" s="49"/>
      <c r="C37" s="335"/>
      <c r="D37" s="84" t="s">
        <v>573</v>
      </c>
      <c r="E37" s="33" t="s">
        <v>575</v>
      </c>
      <c r="F37" s="351" t="s">
        <v>581</v>
      </c>
      <c r="G37" s="351"/>
      <c r="H37" s="202"/>
      <c r="I37" s="52"/>
    </row>
    <row r="38" spans="2:43" ht="20.100000000000001" customHeight="1">
      <c r="B38" s="49"/>
      <c r="C38" s="335"/>
      <c r="D38" s="84" t="s">
        <v>574</v>
      </c>
      <c r="E38" s="321" t="s">
        <v>576</v>
      </c>
      <c r="F38" s="351" t="s">
        <v>580</v>
      </c>
      <c r="G38" s="351"/>
      <c r="H38" s="202"/>
      <c r="I38" s="52"/>
    </row>
    <row r="39" spans="2:43" ht="20.100000000000001" customHeight="1">
      <c r="B39" s="49"/>
      <c r="C39" s="336"/>
      <c r="D39" s="84" t="s">
        <v>577</v>
      </c>
      <c r="E39" s="33" t="s">
        <v>578</v>
      </c>
      <c r="F39" s="351" t="s">
        <v>579</v>
      </c>
      <c r="G39" s="351"/>
      <c r="H39" s="202"/>
      <c r="I39" s="52"/>
    </row>
    <row r="40" spans="2:43" ht="20.100000000000001" customHeight="1">
      <c r="B40" s="64"/>
      <c r="C40" s="26"/>
      <c r="D40" s="86"/>
      <c r="E40" s="27"/>
      <c r="F40" s="28"/>
      <c r="G40" s="28"/>
      <c r="H40" s="105"/>
      <c r="I40" s="68"/>
    </row>
    <row r="41" spans="2:43" ht="20.100000000000001" customHeight="1">
      <c r="D41" s="81"/>
      <c r="E41" s="9"/>
      <c r="F41" s="9"/>
      <c r="H41" s="69" t="s">
        <v>48</v>
      </c>
      <c r="I41" s="5"/>
      <c r="J41" s="5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spans="2:43" ht="20.100000000000001" customHeight="1">
      <c r="G42" s="9"/>
    </row>
    <row r="43" spans="2:43" ht="20.100000000000001" customHeight="1"/>
  </sheetData>
  <mergeCells count="26">
    <mergeCell ref="F38:G38"/>
    <mergeCell ref="F39:G39"/>
    <mergeCell ref="F31:G31"/>
    <mergeCell ref="F29:G29"/>
    <mergeCell ref="F30:G30"/>
    <mergeCell ref="F25:G25"/>
    <mergeCell ref="F26:G26"/>
    <mergeCell ref="F27:G27"/>
    <mergeCell ref="F28:G28"/>
    <mergeCell ref="F37:G37"/>
    <mergeCell ref="K10:K11"/>
    <mergeCell ref="L10:M10"/>
    <mergeCell ref="N10:N11"/>
    <mergeCell ref="F19:G19"/>
    <mergeCell ref="C3:F5"/>
    <mergeCell ref="C6:F6"/>
    <mergeCell ref="C11:C18"/>
    <mergeCell ref="C19:C39"/>
    <mergeCell ref="F22:G22"/>
    <mergeCell ref="F34:G34"/>
    <mergeCell ref="F35:G35"/>
    <mergeCell ref="F36:G36"/>
    <mergeCell ref="F32:G32"/>
    <mergeCell ref="F23:G23"/>
    <mergeCell ref="F24:G24"/>
    <mergeCell ref="F33:G33"/>
  </mergeCells>
  <phoneticPr fontId="2" type="noConversion"/>
  <pageMargins left="0.7" right="0.7" top="0.75" bottom="0.75" header="0.3" footer="0.3"/>
  <pageSetup paperSize="9" scale="63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80"/>
  <sheetViews>
    <sheetView showGridLines="0" view="pageBreakPreview" topLeftCell="A19" zoomScaleNormal="100" zoomScaleSheetLayoutView="100" workbookViewId="0">
      <selection activeCell="G13" sqref="G13"/>
    </sheetView>
  </sheetViews>
  <sheetFormatPr defaultColWidth="9" defaultRowHeight="13.8"/>
  <cols>
    <col min="1" max="1" width="0.88671875" style="39" customWidth="1"/>
    <col min="2" max="2" width="1.33203125" style="39" customWidth="1"/>
    <col min="3" max="3" width="11.21875" style="38" customWidth="1"/>
    <col min="4" max="4" width="27.33203125" style="36" customWidth="1"/>
    <col min="5" max="5" width="15" style="38" customWidth="1"/>
    <col min="6" max="7" width="24.33203125" style="38" customWidth="1"/>
    <col min="8" max="8" width="31.21875" style="39" customWidth="1"/>
    <col min="9" max="9" width="16.88671875" style="39" customWidth="1"/>
    <col min="10" max="16384" width="9" style="39"/>
  </cols>
  <sheetData>
    <row r="1" spans="2:26" ht="6" customHeight="1"/>
    <row r="2" spans="2:26">
      <c r="B2" s="45"/>
      <c r="C2" s="46"/>
      <c r="D2" s="78"/>
      <c r="E2" s="46"/>
      <c r="F2" s="46"/>
      <c r="G2" s="46"/>
      <c r="H2" s="47"/>
      <c r="I2" s="48"/>
    </row>
    <row r="3" spans="2:26" ht="13.65" customHeight="1">
      <c r="B3" s="49"/>
      <c r="C3" s="355" t="str">
        <f>封面!B7</f>
        <v>L246N183A-B2验证样-设计制程标准</v>
      </c>
      <c r="D3" s="355"/>
      <c r="E3" s="355"/>
      <c r="F3" s="356"/>
      <c r="G3" s="50" t="s">
        <v>15</v>
      </c>
      <c r="H3" s="71" t="str">
        <f>封面!E14</f>
        <v>L246N183A-B2样-ZCBZ</v>
      </c>
      <c r="I3" s="52"/>
    </row>
    <row r="4" spans="2:26" ht="15.75" customHeight="1">
      <c r="B4" s="49"/>
      <c r="C4" s="355"/>
      <c r="D4" s="355"/>
      <c r="E4" s="355"/>
      <c r="F4" s="356"/>
      <c r="G4" s="50" t="s">
        <v>16</v>
      </c>
      <c r="H4" s="71" t="str">
        <f>封面!E15</f>
        <v>B2</v>
      </c>
      <c r="I4" s="52"/>
    </row>
    <row r="5" spans="2:26" ht="13.65" customHeight="1">
      <c r="B5" s="49"/>
      <c r="C5" s="355"/>
      <c r="D5" s="355"/>
      <c r="E5" s="355"/>
      <c r="F5" s="356"/>
      <c r="G5" s="50" t="s">
        <v>2</v>
      </c>
      <c r="H5" s="96">
        <f>封面!E16</f>
        <v>45824</v>
      </c>
      <c r="I5" s="52"/>
    </row>
    <row r="6" spans="2:26" ht="19.649999999999999" customHeight="1">
      <c r="B6" s="357" t="s">
        <v>162</v>
      </c>
      <c r="C6" s="358"/>
      <c r="D6" s="358"/>
      <c r="E6" s="358"/>
      <c r="F6" s="358"/>
      <c r="G6" s="40"/>
      <c r="I6" s="52"/>
    </row>
    <row r="7" spans="2:26" ht="14.4" thickBot="1">
      <c r="B7" s="53"/>
      <c r="C7" s="54"/>
      <c r="D7" s="56"/>
      <c r="E7" s="55"/>
      <c r="F7" s="55"/>
      <c r="G7" s="56"/>
      <c r="H7" s="55"/>
      <c r="I7" s="57"/>
    </row>
    <row r="8" spans="2:26" ht="7.65" customHeight="1" thickTop="1">
      <c r="B8" s="49"/>
      <c r="E8" s="39"/>
      <c r="F8" s="39"/>
      <c r="G8" s="36"/>
      <c r="I8" s="52"/>
    </row>
    <row r="9" spans="2:26" ht="20.100000000000001" customHeight="1">
      <c r="B9" s="49"/>
      <c r="C9" s="14" t="s">
        <v>17</v>
      </c>
      <c r="D9" s="79"/>
      <c r="E9" s="15"/>
      <c r="F9" s="15"/>
      <c r="G9" s="15"/>
      <c r="H9" s="15"/>
      <c r="I9" s="2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  <c r="X9" s="15"/>
      <c r="Y9" s="15"/>
      <c r="Z9" s="15"/>
    </row>
    <row r="10" spans="2:26" ht="27" customHeight="1" thickBot="1">
      <c r="B10" s="49"/>
      <c r="C10" s="21" t="s">
        <v>55</v>
      </c>
      <c r="D10" s="82" t="s">
        <v>54</v>
      </c>
      <c r="E10" s="21" t="s">
        <v>68</v>
      </c>
      <c r="F10" s="21" t="s">
        <v>69</v>
      </c>
      <c r="G10" s="21" t="s">
        <v>70</v>
      </c>
      <c r="H10" s="21" t="s">
        <v>158</v>
      </c>
      <c r="I10" s="52"/>
    </row>
    <row r="11" spans="2:26" ht="27" customHeight="1" thickTop="1">
      <c r="B11" s="49"/>
      <c r="C11" s="342" t="s">
        <v>67</v>
      </c>
      <c r="D11" s="84" t="s">
        <v>180</v>
      </c>
      <c r="E11" s="114" t="s">
        <v>98</v>
      </c>
      <c r="F11" s="130" t="s">
        <v>206</v>
      </c>
      <c r="G11" s="130" t="s">
        <v>207</v>
      </c>
      <c r="H11" s="131" t="s">
        <v>219</v>
      </c>
      <c r="I11" s="52"/>
    </row>
    <row r="12" spans="2:26" ht="27" customHeight="1">
      <c r="B12" s="49"/>
      <c r="C12" s="335"/>
      <c r="D12" s="84" t="s">
        <v>238</v>
      </c>
      <c r="E12" s="114" t="s">
        <v>98</v>
      </c>
      <c r="F12" s="132" t="s">
        <v>220</v>
      </c>
      <c r="G12" s="132" t="s">
        <v>220</v>
      </c>
      <c r="H12" s="133"/>
      <c r="I12" s="52"/>
    </row>
    <row r="13" spans="2:26" s="74" customFormat="1" ht="31.65" customHeight="1">
      <c r="B13" s="72"/>
      <c r="C13" s="335"/>
      <c r="D13" s="84" t="s">
        <v>73</v>
      </c>
      <c r="E13" s="114" t="s">
        <v>29</v>
      </c>
      <c r="F13" s="126" t="s">
        <v>218</v>
      </c>
      <c r="G13" s="127" t="s">
        <v>211</v>
      </c>
      <c r="H13" s="134"/>
      <c r="I13" s="73"/>
    </row>
    <row r="14" spans="2:26" s="74" customFormat="1" ht="20.100000000000001" customHeight="1">
      <c r="B14" s="72"/>
      <c r="C14" s="335"/>
      <c r="D14" s="84" t="s">
        <v>46</v>
      </c>
      <c r="E14" s="114" t="s">
        <v>29</v>
      </c>
      <c r="F14" s="126" t="s">
        <v>223</v>
      </c>
      <c r="G14" s="126" t="s">
        <v>224</v>
      </c>
      <c r="H14" s="135"/>
      <c r="I14" s="73"/>
    </row>
    <row r="15" spans="2:26" s="74" customFormat="1" ht="20.100000000000001" customHeight="1">
      <c r="B15" s="72"/>
      <c r="C15" s="335"/>
      <c r="D15" s="84" t="s">
        <v>37</v>
      </c>
      <c r="E15" s="114" t="s">
        <v>76</v>
      </c>
      <c r="F15" s="136" t="s">
        <v>186</v>
      </c>
      <c r="G15" s="136" t="s">
        <v>185</v>
      </c>
      <c r="H15" s="133"/>
      <c r="I15" s="73"/>
    </row>
    <row r="16" spans="2:26" s="74" customFormat="1" ht="20.100000000000001" customHeight="1">
      <c r="B16" s="72"/>
      <c r="C16" s="335"/>
      <c r="D16" s="84" t="s">
        <v>197</v>
      </c>
      <c r="E16" s="114" t="s">
        <v>76</v>
      </c>
      <c r="F16" s="136" t="s">
        <v>185</v>
      </c>
      <c r="G16" s="136" t="s">
        <v>185</v>
      </c>
      <c r="H16" s="133"/>
      <c r="I16" s="73"/>
    </row>
    <row r="17" spans="2:9" s="74" customFormat="1" ht="20.100000000000001" customHeight="1">
      <c r="B17" s="72"/>
      <c r="C17" s="335"/>
      <c r="D17" s="361" t="s">
        <v>101</v>
      </c>
      <c r="E17" s="114" t="s">
        <v>103</v>
      </c>
      <c r="F17" s="126" t="s">
        <v>229</v>
      </c>
      <c r="G17" s="126" t="s">
        <v>229</v>
      </c>
      <c r="H17" s="135"/>
      <c r="I17" s="73"/>
    </row>
    <row r="18" spans="2:9" s="74" customFormat="1" ht="20.100000000000001" customHeight="1">
      <c r="B18" s="72"/>
      <c r="C18" s="336"/>
      <c r="D18" s="362"/>
      <c r="E18" s="114" t="s">
        <v>102</v>
      </c>
      <c r="F18" s="378" t="s">
        <v>179</v>
      </c>
      <c r="G18" s="379"/>
      <c r="H18" s="135"/>
      <c r="I18" s="73"/>
    </row>
    <row r="19" spans="2:9" s="74" customFormat="1" ht="20.100000000000001" customHeight="1">
      <c r="B19" s="72"/>
      <c r="C19" s="354"/>
      <c r="D19" s="88" t="s">
        <v>52</v>
      </c>
      <c r="E19" s="114" t="s">
        <v>45</v>
      </c>
      <c r="F19" s="378">
        <v>40</v>
      </c>
      <c r="G19" s="379"/>
      <c r="H19" s="135"/>
      <c r="I19" s="73"/>
    </row>
    <row r="20" spans="2:9" s="74" customFormat="1" ht="20.100000000000001" customHeight="1">
      <c r="B20" s="72"/>
      <c r="C20" s="354"/>
      <c r="D20" s="88" t="s">
        <v>249</v>
      </c>
      <c r="E20" s="114" t="s">
        <v>29</v>
      </c>
      <c r="F20" s="377">
        <v>2</v>
      </c>
      <c r="G20" s="377"/>
      <c r="H20" s="139" t="s">
        <v>208</v>
      </c>
      <c r="I20" s="73"/>
    </row>
    <row r="21" spans="2:9" s="74" customFormat="1" ht="20.100000000000001" customHeight="1">
      <c r="B21" s="72"/>
      <c r="C21" s="354"/>
      <c r="D21" s="88" t="s">
        <v>250</v>
      </c>
      <c r="E21" s="114" t="s">
        <v>29</v>
      </c>
      <c r="F21" s="377">
        <v>3</v>
      </c>
      <c r="G21" s="377"/>
      <c r="H21" s="139"/>
      <c r="I21" s="73"/>
    </row>
    <row r="22" spans="2:9" s="74" customFormat="1" ht="20.100000000000001" customHeight="1">
      <c r="B22" s="72"/>
      <c r="C22" s="354"/>
      <c r="D22" s="88" t="s">
        <v>251</v>
      </c>
      <c r="E22" s="114" t="s">
        <v>230</v>
      </c>
      <c r="F22" s="377">
        <v>87</v>
      </c>
      <c r="G22" s="377"/>
      <c r="H22" s="139"/>
      <c r="I22" s="73"/>
    </row>
    <row r="23" spans="2:9" s="74" customFormat="1" ht="28.35" customHeight="1">
      <c r="B23" s="72"/>
      <c r="C23" s="354"/>
      <c r="D23" s="88" t="s">
        <v>133</v>
      </c>
      <c r="E23" s="114" t="s">
        <v>76</v>
      </c>
      <c r="F23" s="126" t="s">
        <v>222</v>
      </c>
      <c r="G23" s="126" t="s">
        <v>252</v>
      </c>
      <c r="H23" s="140" t="s">
        <v>217</v>
      </c>
      <c r="I23" s="73"/>
    </row>
    <row r="24" spans="2:9" s="74" customFormat="1" ht="23.4" customHeight="1">
      <c r="B24" s="72"/>
      <c r="C24" s="354"/>
      <c r="D24" s="122" t="s">
        <v>85</v>
      </c>
      <c r="E24" s="123" t="s">
        <v>86</v>
      </c>
      <c r="F24" s="141"/>
      <c r="G24" s="141"/>
      <c r="H24" s="142"/>
      <c r="I24" s="73"/>
    </row>
    <row r="25" spans="2:9" s="74" customFormat="1" ht="20.100000000000001" customHeight="1">
      <c r="B25" s="72"/>
      <c r="C25" s="354"/>
      <c r="D25" s="88" t="s">
        <v>152</v>
      </c>
      <c r="E25" s="115" t="s">
        <v>153</v>
      </c>
      <c r="F25" s="378" t="s">
        <v>154</v>
      </c>
      <c r="G25" s="379"/>
      <c r="H25" s="135"/>
      <c r="I25" s="73"/>
    </row>
    <row r="26" spans="2:9" s="74" customFormat="1" ht="20.100000000000001" customHeight="1">
      <c r="B26" s="72"/>
      <c r="C26" s="354"/>
      <c r="D26" s="88" t="s">
        <v>28</v>
      </c>
      <c r="E26" s="114" t="s">
        <v>29</v>
      </c>
      <c r="F26" s="377" t="s">
        <v>216</v>
      </c>
      <c r="G26" s="377"/>
      <c r="H26" s="135"/>
      <c r="I26" s="73"/>
    </row>
    <row r="27" spans="2:9" s="74" customFormat="1" ht="20.100000000000001" customHeight="1">
      <c r="B27" s="72"/>
      <c r="C27" s="354"/>
      <c r="D27" s="88" t="s">
        <v>128</v>
      </c>
      <c r="E27" s="114" t="s">
        <v>45</v>
      </c>
      <c r="F27" s="377" t="s">
        <v>129</v>
      </c>
      <c r="G27" s="377"/>
      <c r="H27" s="135"/>
      <c r="I27" s="73"/>
    </row>
    <row r="28" spans="2:9" s="74" customFormat="1" ht="20.100000000000001" customHeight="1">
      <c r="B28" s="72"/>
      <c r="C28" s="354"/>
      <c r="D28" s="88" t="s">
        <v>25</v>
      </c>
      <c r="E28" s="114" t="s">
        <v>29</v>
      </c>
      <c r="F28" s="377" t="s">
        <v>172</v>
      </c>
      <c r="G28" s="377"/>
      <c r="H28" s="143"/>
      <c r="I28" s="73"/>
    </row>
    <row r="29" spans="2:9" s="74" customFormat="1" ht="20.100000000000001" customHeight="1">
      <c r="B29" s="72"/>
      <c r="C29" s="354"/>
      <c r="D29" s="88" t="s">
        <v>26</v>
      </c>
      <c r="E29" s="114" t="s">
        <v>29</v>
      </c>
      <c r="F29" s="377" t="s">
        <v>173</v>
      </c>
      <c r="G29" s="377"/>
      <c r="H29" s="143"/>
      <c r="I29" s="73"/>
    </row>
    <row r="30" spans="2:9" s="74" customFormat="1" ht="20.100000000000001" customHeight="1">
      <c r="B30" s="72"/>
      <c r="C30" s="354"/>
      <c r="D30" s="88" t="s">
        <v>231</v>
      </c>
      <c r="E30" s="114" t="s">
        <v>29</v>
      </c>
      <c r="F30" s="377" t="s">
        <v>174</v>
      </c>
      <c r="G30" s="377"/>
      <c r="H30" s="143"/>
      <c r="I30" s="73"/>
    </row>
    <row r="31" spans="2:9" s="74" customFormat="1" ht="20.100000000000001" customHeight="1">
      <c r="B31" s="72"/>
      <c r="C31" s="354"/>
      <c r="D31" s="88" t="s">
        <v>232</v>
      </c>
      <c r="E31" s="114" t="s">
        <v>29</v>
      </c>
      <c r="F31" s="377" t="s">
        <v>175</v>
      </c>
      <c r="G31" s="377"/>
      <c r="H31" s="143"/>
      <c r="I31" s="73"/>
    </row>
    <row r="32" spans="2:9" s="74" customFormat="1" ht="20.100000000000001" customHeight="1">
      <c r="B32" s="72"/>
      <c r="C32" s="354"/>
      <c r="D32" s="88" t="s">
        <v>233</v>
      </c>
      <c r="E32" s="114" t="s">
        <v>29</v>
      </c>
      <c r="F32" s="377" t="s">
        <v>209</v>
      </c>
      <c r="G32" s="377"/>
      <c r="H32" s="143"/>
      <c r="I32" s="73"/>
    </row>
    <row r="33" spans="2:9" s="74" customFormat="1" ht="20.100000000000001" customHeight="1">
      <c r="B33" s="72"/>
      <c r="C33" s="354"/>
      <c r="D33" s="88" t="s">
        <v>234</v>
      </c>
      <c r="E33" s="114" t="s">
        <v>29</v>
      </c>
      <c r="F33" s="377" t="s">
        <v>210</v>
      </c>
      <c r="G33" s="377"/>
      <c r="H33" s="143"/>
      <c r="I33" s="73"/>
    </row>
    <row r="34" spans="2:9" s="74" customFormat="1" ht="20.100000000000001" customHeight="1">
      <c r="B34" s="72"/>
      <c r="C34" s="354"/>
      <c r="D34" s="88" t="s">
        <v>235</v>
      </c>
      <c r="E34" s="114" t="s">
        <v>29</v>
      </c>
      <c r="F34" s="378" t="s">
        <v>225</v>
      </c>
      <c r="G34" s="379"/>
      <c r="H34" s="139"/>
      <c r="I34" s="73"/>
    </row>
    <row r="35" spans="2:9" s="74" customFormat="1" ht="20.100000000000001" customHeight="1">
      <c r="B35" s="72"/>
      <c r="C35" s="354"/>
      <c r="D35" s="88" t="s">
        <v>236</v>
      </c>
      <c r="E35" s="114" t="s">
        <v>212</v>
      </c>
      <c r="F35" s="377" t="s">
        <v>226</v>
      </c>
      <c r="G35" s="377"/>
      <c r="H35" s="139"/>
      <c r="I35" s="73"/>
    </row>
    <row r="36" spans="2:9" s="74" customFormat="1" ht="20.100000000000001" customHeight="1">
      <c r="B36" s="72"/>
      <c r="C36" s="354"/>
      <c r="D36" s="88" t="s">
        <v>237</v>
      </c>
      <c r="E36" s="114" t="s">
        <v>131</v>
      </c>
      <c r="F36" s="377" t="s">
        <v>214</v>
      </c>
      <c r="G36" s="377"/>
      <c r="H36" s="144"/>
      <c r="I36" s="73"/>
    </row>
    <row r="37" spans="2:9" ht="20.100000000000001" customHeight="1">
      <c r="B37" s="64"/>
      <c r="C37" s="26"/>
      <c r="D37" s="86"/>
      <c r="E37" s="27"/>
      <c r="F37" s="28"/>
      <c r="G37" s="28"/>
      <c r="H37" s="65"/>
      <c r="I37" s="68"/>
    </row>
    <row r="38" spans="2:9" ht="20.100000000000001" customHeight="1">
      <c r="C38" s="29"/>
      <c r="D38" s="89"/>
      <c r="E38" s="41"/>
      <c r="F38" s="42" t="s">
        <v>213</v>
      </c>
      <c r="G38" s="42"/>
    </row>
    <row r="39" spans="2:9" ht="20.100000000000001" customHeight="1">
      <c r="C39" s="29"/>
      <c r="D39" s="89"/>
      <c r="E39" s="41"/>
      <c r="F39" s="42"/>
      <c r="G39" s="42"/>
    </row>
    <row r="40" spans="2:9" ht="20.100000000000001" customHeight="1">
      <c r="C40" s="29"/>
      <c r="D40" s="89"/>
      <c r="E40" s="41"/>
      <c r="F40" s="42"/>
      <c r="G40" s="42"/>
    </row>
    <row r="41" spans="2:9" ht="20.100000000000001" customHeight="1">
      <c r="C41" s="29"/>
      <c r="D41" s="89"/>
      <c r="E41" s="41"/>
      <c r="F41" s="42"/>
      <c r="G41" s="42"/>
    </row>
    <row r="42" spans="2:9" ht="20.100000000000001" customHeight="1">
      <c r="C42" s="29"/>
      <c r="D42" s="89"/>
      <c r="E42" s="41"/>
      <c r="F42" s="42"/>
      <c r="G42" s="42"/>
    </row>
    <row r="43" spans="2:9" ht="20.100000000000001" customHeight="1">
      <c r="C43" s="29"/>
      <c r="D43" s="89"/>
      <c r="E43" s="41"/>
      <c r="F43" s="42"/>
      <c r="G43" s="42"/>
    </row>
    <row r="44" spans="2:9" ht="20.100000000000001" customHeight="1">
      <c r="C44" s="29"/>
      <c r="D44" s="89"/>
      <c r="E44" s="41"/>
      <c r="F44" s="42"/>
      <c r="G44" s="42"/>
    </row>
    <row r="45" spans="2:9" ht="20.100000000000001" customHeight="1">
      <c r="C45" s="29"/>
      <c r="D45" s="89"/>
      <c r="E45" s="41"/>
      <c r="F45" s="42"/>
      <c r="G45" s="42"/>
    </row>
    <row r="46" spans="2:9" ht="20.100000000000001" customHeight="1">
      <c r="C46" s="29"/>
      <c r="D46" s="89"/>
      <c r="E46" s="41"/>
      <c r="F46" s="42"/>
      <c r="G46" s="42"/>
    </row>
    <row r="47" spans="2:9" ht="20.100000000000001" customHeight="1">
      <c r="C47" s="29"/>
      <c r="D47" s="89"/>
      <c r="E47" s="41"/>
      <c r="F47" s="42"/>
      <c r="G47" s="42"/>
    </row>
    <row r="48" spans="2:9" ht="20.100000000000001" customHeight="1">
      <c r="C48" s="29"/>
      <c r="D48" s="89"/>
      <c r="E48" s="41"/>
      <c r="F48" s="42"/>
      <c r="G48" s="42"/>
    </row>
    <row r="49" spans="2:16" ht="20.100000000000001" customHeight="1">
      <c r="C49" s="29"/>
      <c r="D49" s="89"/>
      <c r="E49" s="41"/>
      <c r="F49" s="42"/>
      <c r="G49" s="42"/>
    </row>
    <row r="50" spans="2:16" ht="20.100000000000001" customHeight="1">
      <c r="C50" s="29"/>
      <c r="D50" s="89"/>
      <c r="E50" s="41"/>
      <c r="F50" s="42"/>
      <c r="G50" s="42"/>
    </row>
    <row r="51" spans="2:16" ht="20.100000000000001" customHeight="1">
      <c r="C51" s="29"/>
      <c r="D51" s="89"/>
      <c r="E51" s="41"/>
      <c r="F51" s="42"/>
      <c r="G51" s="42"/>
    </row>
    <row r="52" spans="2:16" ht="20.100000000000001" customHeight="1">
      <c r="C52" s="29"/>
      <c r="D52" s="89"/>
      <c r="E52" s="41"/>
      <c r="F52" s="42"/>
      <c r="G52" s="42"/>
    </row>
    <row r="53" spans="2:16" ht="20.100000000000001" customHeight="1">
      <c r="C53" s="350" t="s">
        <v>221</v>
      </c>
      <c r="D53" s="350"/>
      <c r="E53" s="350"/>
      <c r="F53" s="350"/>
      <c r="G53" s="42"/>
      <c r="H53" s="347"/>
      <c r="I53" s="347"/>
      <c r="J53" s="347"/>
      <c r="K53" s="347"/>
      <c r="L53" s="106"/>
      <c r="M53" s="347"/>
      <c r="N53" s="347"/>
      <c r="O53" s="347"/>
      <c r="P53" s="347"/>
    </row>
    <row r="54" spans="2:16" ht="20.100000000000001" customHeight="1">
      <c r="B54" s="43"/>
      <c r="C54" s="363" t="s">
        <v>104</v>
      </c>
      <c r="D54" s="364"/>
      <c r="E54" s="363" t="s">
        <v>105</v>
      </c>
      <c r="F54" s="364"/>
      <c r="G54" s="42"/>
      <c r="H54" s="359"/>
      <c r="I54" s="360"/>
      <c r="J54" s="359"/>
      <c r="K54" s="360"/>
      <c r="L54" s="106"/>
      <c r="M54" s="359"/>
      <c r="N54" s="360"/>
      <c r="O54" s="359"/>
      <c r="P54" s="360"/>
    </row>
    <row r="55" spans="2:16" ht="20.100000000000001" customHeight="1">
      <c r="B55" s="44"/>
      <c r="C55" s="119" t="s">
        <v>106</v>
      </c>
      <c r="D55" s="117">
        <v>239.2565486677646</v>
      </c>
      <c r="E55" s="119" t="s">
        <v>106</v>
      </c>
      <c r="F55" s="117">
        <v>146.48901333816542</v>
      </c>
      <c r="G55" s="113"/>
      <c r="H55" s="120"/>
      <c r="I55" s="113"/>
      <c r="J55" s="120"/>
      <c r="K55" s="111"/>
      <c r="L55" s="106"/>
      <c r="M55" s="120"/>
      <c r="N55" s="111"/>
      <c r="O55" s="120"/>
      <c r="P55" s="111"/>
    </row>
    <row r="56" spans="2:16" ht="20.100000000000001" customHeight="1">
      <c r="B56" s="44"/>
      <c r="C56" s="119" t="s">
        <v>107</v>
      </c>
      <c r="D56" s="117">
        <v>266.18188079991961</v>
      </c>
      <c r="E56" s="119" t="s">
        <v>107</v>
      </c>
      <c r="F56" s="117">
        <v>267.18673948152286</v>
      </c>
      <c r="G56" s="113"/>
      <c r="H56" s="120"/>
      <c r="I56" s="113"/>
      <c r="J56" s="120"/>
      <c r="K56" s="111"/>
      <c r="L56" s="106"/>
      <c r="M56" s="120"/>
      <c r="N56" s="111"/>
      <c r="O56" s="120"/>
      <c r="P56" s="111"/>
    </row>
    <row r="57" spans="2:16" ht="20.100000000000001" customHeight="1">
      <c r="B57" s="44"/>
      <c r="C57" s="119" t="s">
        <v>108</v>
      </c>
      <c r="D57" s="117">
        <v>268.0078111048532</v>
      </c>
      <c r="E57" s="119" t="s">
        <v>108</v>
      </c>
      <c r="F57" s="117">
        <v>269.11266978645642</v>
      </c>
      <c r="G57" s="113"/>
      <c r="H57" s="120"/>
      <c r="I57" s="113"/>
      <c r="J57" s="120"/>
      <c r="K57" s="111"/>
      <c r="L57" s="106"/>
      <c r="M57" s="120"/>
      <c r="N57" s="111"/>
      <c r="O57" s="120"/>
      <c r="P57" s="111"/>
    </row>
    <row r="58" spans="2:16" ht="20.100000000000001" customHeight="1">
      <c r="B58" s="44"/>
      <c r="C58" s="119" t="s">
        <v>109</v>
      </c>
      <c r="D58" s="117">
        <v>269.8337414097868</v>
      </c>
      <c r="E58" s="119" t="s">
        <v>109</v>
      </c>
      <c r="F58" s="117">
        <v>271.03860009139009</v>
      </c>
      <c r="G58" s="113"/>
      <c r="H58" s="120"/>
      <c r="I58" s="113"/>
      <c r="J58" s="120"/>
      <c r="K58" s="111"/>
      <c r="L58" s="106"/>
      <c r="M58" s="120"/>
      <c r="N58" s="111"/>
      <c r="O58" s="120"/>
      <c r="P58" s="111"/>
    </row>
    <row r="59" spans="2:16" ht="20.100000000000001" customHeight="1">
      <c r="B59" s="44"/>
      <c r="C59" s="119" t="s">
        <v>110</v>
      </c>
      <c r="D59" s="117">
        <v>271.65967171472039</v>
      </c>
      <c r="E59" s="119" t="s">
        <v>110</v>
      </c>
      <c r="F59" s="117">
        <v>272.96453039632365</v>
      </c>
      <c r="G59" s="113"/>
      <c r="H59" s="120"/>
      <c r="I59" s="113"/>
      <c r="J59" s="120"/>
      <c r="K59" s="111"/>
      <c r="L59" s="106"/>
      <c r="M59" s="120"/>
      <c r="N59" s="111"/>
      <c r="O59" s="120"/>
      <c r="P59" s="111"/>
    </row>
    <row r="60" spans="2:16" ht="20.100000000000001" customHeight="1">
      <c r="B60" s="44"/>
      <c r="C60" s="119" t="s">
        <v>111</v>
      </c>
      <c r="D60" s="117">
        <v>273.48560201965404</v>
      </c>
      <c r="E60" s="119" t="s">
        <v>111</v>
      </c>
      <c r="F60" s="117">
        <v>274.89046070125733</v>
      </c>
      <c r="G60" s="113"/>
      <c r="H60" s="120"/>
      <c r="I60" s="113"/>
      <c r="J60" s="120"/>
      <c r="K60" s="111"/>
      <c r="L60" s="106"/>
      <c r="M60" s="120"/>
      <c r="N60" s="111"/>
      <c r="O60" s="120"/>
      <c r="P60" s="111"/>
    </row>
    <row r="61" spans="2:16" ht="20.100000000000001" customHeight="1">
      <c r="B61" s="44"/>
      <c r="C61" s="119" t="s">
        <v>112</v>
      </c>
      <c r="D61" s="117">
        <v>275.31153232458769</v>
      </c>
      <c r="E61" s="119" t="s">
        <v>112</v>
      </c>
      <c r="F61" s="117">
        <v>276.81639100619088</v>
      </c>
      <c r="G61" s="113"/>
      <c r="H61" s="120"/>
      <c r="I61" s="113"/>
      <c r="J61" s="120"/>
      <c r="K61" s="111"/>
      <c r="L61" s="106"/>
      <c r="M61" s="120"/>
      <c r="N61" s="111"/>
      <c r="O61" s="120"/>
      <c r="P61" s="111"/>
    </row>
    <row r="62" spans="2:16" ht="20.100000000000001" customHeight="1">
      <c r="B62" s="44"/>
      <c r="C62" s="119" t="s">
        <v>113</v>
      </c>
      <c r="D62" s="117">
        <v>277.13746262952122</v>
      </c>
      <c r="E62" s="119" t="s">
        <v>113</v>
      </c>
      <c r="F62" s="117">
        <v>278.7423213111245</v>
      </c>
      <c r="G62" s="113"/>
      <c r="H62" s="120"/>
      <c r="I62" s="113"/>
      <c r="J62" s="120"/>
      <c r="K62" s="111"/>
      <c r="L62" s="106"/>
      <c r="M62" s="120"/>
      <c r="N62" s="111"/>
      <c r="O62" s="120"/>
      <c r="P62" s="111"/>
    </row>
    <row r="63" spans="2:16" ht="20.100000000000001" customHeight="1">
      <c r="B63" s="44"/>
      <c r="C63" s="119" t="s">
        <v>114</v>
      </c>
      <c r="D63" s="117">
        <v>278.96339293445487</v>
      </c>
      <c r="E63" s="119" t="s">
        <v>114</v>
      </c>
      <c r="F63" s="117">
        <v>280.66825161605811</v>
      </c>
      <c r="G63" s="113"/>
      <c r="H63" s="120"/>
      <c r="I63" s="113"/>
      <c r="J63" s="120"/>
      <c r="K63" s="111"/>
      <c r="L63" s="106"/>
      <c r="M63" s="120"/>
      <c r="N63" s="111"/>
      <c r="O63" s="120"/>
      <c r="P63" s="111"/>
    </row>
    <row r="64" spans="2:16" ht="20.100000000000001" customHeight="1">
      <c r="B64" s="44"/>
      <c r="C64" s="119" t="s">
        <v>115</v>
      </c>
      <c r="D64" s="117">
        <v>280.78932323938847</v>
      </c>
      <c r="E64" s="119" t="s">
        <v>115</v>
      </c>
      <c r="F64" s="117">
        <v>282.59418192099179</v>
      </c>
      <c r="G64" s="113"/>
      <c r="H64" s="120"/>
      <c r="I64" s="113"/>
      <c r="J64" s="120"/>
      <c r="K64" s="111"/>
      <c r="L64" s="106"/>
      <c r="M64" s="120"/>
      <c r="N64" s="111"/>
      <c r="O64" s="120"/>
      <c r="P64" s="111"/>
    </row>
    <row r="65" spans="2:43" ht="20.100000000000001" customHeight="1">
      <c r="B65" s="44"/>
      <c r="C65" s="119" t="s">
        <v>116</v>
      </c>
      <c r="D65" s="117">
        <v>282.61525354432206</v>
      </c>
      <c r="E65" s="119" t="s">
        <v>116</v>
      </c>
      <c r="F65" s="117">
        <v>284.5201122259254</v>
      </c>
      <c r="G65" s="113"/>
      <c r="H65" s="120"/>
      <c r="I65" s="113"/>
      <c r="J65" s="120"/>
      <c r="K65" s="111"/>
      <c r="L65" s="106"/>
      <c r="M65" s="120"/>
      <c r="N65" s="111"/>
      <c r="O65" s="120"/>
      <c r="P65" s="111"/>
    </row>
    <row r="66" spans="2:43" ht="20.100000000000001" customHeight="1">
      <c r="B66" s="44"/>
      <c r="C66" s="119" t="s">
        <v>117</v>
      </c>
      <c r="D66" s="117">
        <v>284.44118384925571</v>
      </c>
      <c r="E66" s="119" t="s">
        <v>117</v>
      </c>
      <c r="F66" s="117">
        <v>286.4460425308589</v>
      </c>
      <c r="G66" s="113"/>
      <c r="H66" s="120"/>
      <c r="I66" s="113"/>
      <c r="J66" s="120"/>
      <c r="K66" s="111"/>
      <c r="L66" s="106"/>
      <c r="M66" s="120"/>
      <c r="N66" s="111"/>
      <c r="O66" s="120"/>
      <c r="P66" s="111"/>
    </row>
    <row r="67" spans="2:43" ht="20.100000000000001" customHeight="1">
      <c r="B67" s="44"/>
      <c r="C67" s="119" t="s">
        <v>118</v>
      </c>
      <c r="D67" s="117">
        <v>286.2671141541893</v>
      </c>
      <c r="E67" s="119" t="s">
        <v>118</v>
      </c>
      <c r="F67" s="117">
        <v>288.37197283579258</v>
      </c>
      <c r="G67" s="113"/>
      <c r="H67" s="120"/>
      <c r="I67" s="113"/>
      <c r="J67" s="120"/>
      <c r="K67" s="111"/>
      <c r="L67" s="106"/>
      <c r="M67" s="120"/>
      <c r="N67" s="111"/>
      <c r="O67" s="120"/>
      <c r="P67" s="111"/>
    </row>
    <row r="68" spans="2:43" ht="20.100000000000001" customHeight="1">
      <c r="B68" s="44"/>
      <c r="C68" s="119" t="s">
        <v>119</v>
      </c>
      <c r="D68" s="117">
        <v>288.09304445912289</v>
      </c>
      <c r="E68" s="119" t="s">
        <v>119</v>
      </c>
      <c r="F68" s="117">
        <v>290.29790314072613</v>
      </c>
      <c r="G68" s="113"/>
      <c r="H68" s="120"/>
      <c r="I68" s="113"/>
      <c r="J68" s="120"/>
      <c r="K68" s="111"/>
      <c r="L68" s="106"/>
      <c r="M68" s="120"/>
      <c r="N68" s="111"/>
      <c r="O68" s="120"/>
      <c r="P68" s="111"/>
    </row>
    <row r="69" spans="2:43" ht="20.100000000000001" customHeight="1">
      <c r="B69" s="44"/>
      <c r="C69" s="119" t="s">
        <v>120</v>
      </c>
      <c r="D69" s="117">
        <v>289.91897476405654</v>
      </c>
      <c r="E69" s="119" t="s">
        <v>120</v>
      </c>
      <c r="F69" s="117">
        <v>292.22383344565981</v>
      </c>
      <c r="G69" s="113"/>
      <c r="H69" s="120"/>
      <c r="I69" s="113"/>
      <c r="J69" s="120"/>
      <c r="K69" s="111"/>
      <c r="L69" s="106"/>
      <c r="M69" s="120"/>
      <c r="N69" s="111"/>
      <c r="O69" s="120"/>
      <c r="P69" s="111"/>
    </row>
    <row r="70" spans="2:43" ht="20.100000000000001" customHeight="1">
      <c r="B70" s="44"/>
      <c r="C70" s="119" t="s">
        <v>121</v>
      </c>
      <c r="D70" s="117">
        <v>291.74490506899019</v>
      </c>
      <c r="E70" s="119" t="s">
        <v>121</v>
      </c>
      <c r="F70" s="117">
        <v>294.14976375059342</v>
      </c>
      <c r="G70" s="113"/>
      <c r="H70" s="120"/>
      <c r="I70" s="113"/>
      <c r="J70" s="120"/>
      <c r="K70" s="111"/>
      <c r="L70" s="106"/>
      <c r="M70" s="120"/>
      <c r="N70" s="111"/>
      <c r="O70" s="120"/>
      <c r="P70" s="111"/>
    </row>
    <row r="71" spans="2:43" ht="20.100000000000001" customHeight="1">
      <c r="B71" s="44"/>
      <c r="C71" s="119" t="s">
        <v>122</v>
      </c>
      <c r="D71" s="117">
        <v>293.57083537392373</v>
      </c>
      <c r="E71" s="119" t="s">
        <v>122</v>
      </c>
      <c r="F71" s="117">
        <v>296.07569405552704</v>
      </c>
      <c r="G71" s="113"/>
      <c r="H71" s="120"/>
      <c r="I71" s="113"/>
      <c r="J71" s="120"/>
      <c r="K71" s="111"/>
      <c r="L71" s="106"/>
      <c r="M71" s="120"/>
      <c r="N71" s="111"/>
      <c r="O71" s="120"/>
      <c r="P71" s="111"/>
    </row>
    <row r="72" spans="2:43" ht="20.100000000000001" customHeight="1">
      <c r="B72" s="44"/>
      <c r="C72" s="119" t="s">
        <v>123</v>
      </c>
      <c r="D72" s="117">
        <v>295.39676567885738</v>
      </c>
      <c r="E72" s="119" t="s">
        <v>123</v>
      </c>
      <c r="F72" s="117">
        <v>298.0016243604606</v>
      </c>
      <c r="G72" s="113"/>
      <c r="H72" s="120"/>
      <c r="I72" s="113"/>
      <c r="J72" s="120"/>
      <c r="K72" s="111"/>
      <c r="L72" s="106"/>
      <c r="M72" s="120"/>
      <c r="N72" s="111"/>
      <c r="O72" s="120"/>
      <c r="P72" s="111"/>
    </row>
    <row r="73" spans="2:43" ht="20.100000000000001" customHeight="1">
      <c r="B73" s="44"/>
      <c r="C73" s="119" t="s">
        <v>124</v>
      </c>
      <c r="D73" s="117">
        <v>297.22269598379097</v>
      </c>
      <c r="E73" s="119" t="s">
        <v>124</v>
      </c>
      <c r="F73" s="117">
        <v>299.92755466539433</v>
      </c>
      <c r="G73" s="113"/>
      <c r="H73" s="120"/>
      <c r="I73" s="113"/>
      <c r="J73" s="120"/>
      <c r="K73" s="111"/>
      <c r="L73" s="106"/>
      <c r="M73" s="120"/>
      <c r="N73" s="111"/>
      <c r="O73" s="120"/>
      <c r="P73" s="111"/>
    </row>
    <row r="74" spans="2:43" ht="20.100000000000001" customHeight="1">
      <c r="B74" s="44"/>
      <c r="C74" s="119" t="s">
        <v>125</v>
      </c>
      <c r="D74" s="117">
        <v>299.04862628872462</v>
      </c>
      <c r="E74" s="119" t="s">
        <v>125</v>
      </c>
      <c r="F74" s="117">
        <v>301.85348497032783</v>
      </c>
      <c r="G74" s="113"/>
      <c r="H74" s="120"/>
      <c r="I74" s="113"/>
      <c r="J74" s="120"/>
      <c r="K74" s="111"/>
      <c r="L74" s="106"/>
      <c r="M74" s="120"/>
      <c r="N74" s="111"/>
      <c r="O74" s="120"/>
      <c r="P74" s="111"/>
    </row>
    <row r="75" spans="2:43" ht="20.100000000000001" customHeight="1">
      <c r="B75" s="44"/>
      <c r="C75" s="119" t="s">
        <v>126</v>
      </c>
      <c r="D75" s="117">
        <v>300.87455659365821</v>
      </c>
      <c r="E75" s="119" t="s">
        <v>126</v>
      </c>
      <c r="F75" s="117">
        <v>123.79948317475737</v>
      </c>
      <c r="G75" s="113"/>
      <c r="H75" s="120"/>
      <c r="I75" s="113"/>
      <c r="J75" s="120"/>
      <c r="K75" s="111"/>
      <c r="L75" s="106"/>
      <c r="M75" s="120"/>
      <c r="N75" s="111"/>
      <c r="O75" s="120"/>
      <c r="P75" s="111"/>
    </row>
    <row r="76" spans="2:43" ht="20.100000000000001" customHeight="1">
      <c r="B76" s="44"/>
      <c r="C76" s="119" t="s">
        <v>127</v>
      </c>
      <c r="D76" s="117">
        <v>47.54850108059054</v>
      </c>
      <c r="E76" s="119" t="s">
        <v>127</v>
      </c>
      <c r="F76" s="118"/>
      <c r="G76" s="113"/>
      <c r="H76" s="120"/>
      <c r="I76" s="113"/>
      <c r="J76" s="120"/>
      <c r="K76" s="112"/>
      <c r="L76" s="106"/>
      <c r="M76" s="120"/>
      <c r="N76" s="111"/>
      <c r="O76" s="120"/>
      <c r="P76" s="112"/>
    </row>
    <row r="77" spans="2:43" ht="20.100000000000001" customHeight="1">
      <c r="C77" s="29"/>
      <c r="D77" s="89"/>
      <c r="E77" s="41"/>
      <c r="F77" s="42"/>
      <c r="G77" s="42"/>
      <c r="H77" s="106"/>
      <c r="I77" s="106"/>
      <c r="J77" s="106"/>
      <c r="K77" s="106"/>
      <c r="L77" s="106"/>
      <c r="M77" s="106"/>
      <c r="N77" s="106"/>
      <c r="O77" s="106"/>
      <c r="P77" s="106"/>
    </row>
    <row r="78" spans="2:43" ht="20.100000000000001" customHeight="1">
      <c r="D78" s="81"/>
      <c r="E78" s="9"/>
      <c r="F78" s="9"/>
      <c r="H78" s="107"/>
      <c r="I78" s="108"/>
      <c r="J78" s="108"/>
      <c r="K78" s="109"/>
      <c r="L78" s="108"/>
      <c r="M78" s="108"/>
      <c r="N78" s="108"/>
      <c r="O78" s="108"/>
      <c r="P78" s="108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spans="2:43" ht="20.100000000000001" customHeight="1">
      <c r="G79" s="9"/>
    </row>
    <row r="80" spans="2:43" ht="20.100000000000001" customHeight="1"/>
  </sheetData>
  <mergeCells count="31">
    <mergeCell ref="C3:F5"/>
    <mergeCell ref="B6:F6"/>
    <mergeCell ref="C11:C18"/>
    <mergeCell ref="D17:D18"/>
    <mergeCell ref="F18:G18"/>
    <mergeCell ref="O54:P54"/>
    <mergeCell ref="F34:G34"/>
    <mergeCell ref="F35:G35"/>
    <mergeCell ref="F36:G36"/>
    <mergeCell ref="F27:G27"/>
    <mergeCell ref="F28:G28"/>
    <mergeCell ref="F29:G29"/>
    <mergeCell ref="F30:G30"/>
    <mergeCell ref="F31:G31"/>
    <mergeCell ref="F32:G32"/>
    <mergeCell ref="F33:G33"/>
    <mergeCell ref="C54:D54"/>
    <mergeCell ref="E54:F54"/>
    <mergeCell ref="H54:I54"/>
    <mergeCell ref="J54:K54"/>
    <mergeCell ref="M54:N54"/>
    <mergeCell ref="F21:G21"/>
    <mergeCell ref="F22:G22"/>
    <mergeCell ref="C53:F53"/>
    <mergeCell ref="H53:K53"/>
    <mergeCell ref="M53:P53"/>
    <mergeCell ref="C19:C36"/>
    <mergeCell ref="F19:G19"/>
    <mergeCell ref="F20:G20"/>
    <mergeCell ref="F25:G25"/>
    <mergeCell ref="F26:G26"/>
  </mergeCells>
  <phoneticPr fontId="2" type="noConversion"/>
  <pageMargins left="0.7" right="0.7" top="0.75" bottom="0.75" header="0.3" footer="0.3"/>
  <pageSetup paperSize="9" scale="51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42"/>
  <sheetViews>
    <sheetView showGridLines="0" topLeftCell="A22" zoomScale="85" zoomScaleNormal="85" zoomScaleSheetLayoutView="110" workbookViewId="0">
      <selection activeCell="D34" sqref="D34"/>
    </sheetView>
  </sheetViews>
  <sheetFormatPr defaultColWidth="9" defaultRowHeight="13.8"/>
  <cols>
    <col min="1" max="1" width="3.77734375" style="39" customWidth="1"/>
    <col min="2" max="2" width="5.6640625" style="39" customWidth="1"/>
    <col min="3" max="3" width="10.21875" style="38" customWidth="1"/>
    <col min="4" max="4" width="26.77734375" style="36" customWidth="1"/>
    <col min="5" max="5" width="8.6640625" style="38" customWidth="1"/>
    <col min="6" max="6" width="38.6640625" style="38" customWidth="1"/>
    <col min="7" max="7" width="37.33203125" style="38" customWidth="1"/>
    <col min="8" max="8" width="21.21875" style="39" customWidth="1"/>
    <col min="9" max="9" width="2.6640625" style="39" customWidth="1"/>
    <col min="10" max="16384" width="9" style="39"/>
  </cols>
  <sheetData>
    <row r="1" spans="2:26" ht="6.75" customHeight="1"/>
    <row r="2" spans="2:26">
      <c r="B2" s="45"/>
      <c r="C2" s="46"/>
      <c r="D2" s="78"/>
      <c r="E2" s="46"/>
      <c r="F2" s="46"/>
      <c r="G2" s="46"/>
      <c r="H2" s="47"/>
      <c r="I2" s="48"/>
    </row>
    <row r="3" spans="2:26" ht="13.65" customHeight="1">
      <c r="B3" s="49"/>
      <c r="C3" s="337" t="str">
        <f>封面!B7</f>
        <v>L246N183A-B2验证样-设计制程标准</v>
      </c>
      <c r="D3" s="337"/>
      <c r="E3" s="337"/>
      <c r="F3" s="338"/>
      <c r="G3" s="70" t="s">
        <v>15</v>
      </c>
      <c r="H3" s="51" t="str">
        <f>封面!E14</f>
        <v>L246N183A-B2样-ZCBZ</v>
      </c>
      <c r="I3" s="52"/>
    </row>
    <row r="4" spans="2:26" ht="15.75" customHeight="1">
      <c r="B4" s="49"/>
      <c r="C4" s="337"/>
      <c r="D4" s="337"/>
      <c r="E4" s="337"/>
      <c r="F4" s="338"/>
      <c r="G4" s="70" t="s">
        <v>16</v>
      </c>
      <c r="H4" s="51" t="str">
        <f>封面!E15</f>
        <v>B2</v>
      </c>
      <c r="I4" s="52"/>
    </row>
    <row r="5" spans="2:26" ht="13.65" customHeight="1">
      <c r="B5" s="49"/>
      <c r="C5" s="337"/>
      <c r="D5" s="337"/>
      <c r="E5" s="337"/>
      <c r="F5" s="338"/>
      <c r="G5" s="70" t="s">
        <v>2</v>
      </c>
      <c r="H5" s="97">
        <f>封面!E16</f>
        <v>45824</v>
      </c>
      <c r="I5" s="52"/>
    </row>
    <row r="6" spans="2:26" ht="27.6" customHeight="1">
      <c r="B6" s="384" t="s">
        <v>164</v>
      </c>
      <c r="C6" s="339"/>
      <c r="D6" s="339"/>
      <c r="E6" s="339"/>
      <c r="F6" s="339"/>
      <c r="G6" s="40"/>
      <c r="I6" s="52"/>
    </row>
    <row r="7" spans="2:26" ht="14.4" thickBot="1">
      <c r="B7" s="53"/>
      <c r="C7" s="54"/>
      <c r="D7" s="56"/>
      <c r="E7" s="55"/>
      <c r="F7" s="55"/>
      <c r="G7" s="56"/>
      <c r="H7" s="55"/>
      <c r="I7" s="57"/>
    </row>
    <row r="8" spans="2:26" ht="7.65" customHeight="1" thickTop="1">
      <c r="B8" s="49"/>
      <c r="E8" s="39"/>
      <c r="F8" s="39"/>
      <c r="G8" s="36"/>
      <c r="I8" s="52"/>
    </row>
    <row r="9" spans="2:26" ht="20.100000000000001" customHeight="1">
      <c r="B9" s="49"/>
      <c r="C9" s="14" t="s">
        <v>17</v>
      </c>
      <c r="D9" s="79"/>
      <c r="E9" s="15"/>
      <c r="F9" s="15"/>
      <c r="G9" s="15"/>
      <c r="H9" s="15"/>
      <c r="I9" s="2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  <c r="X9" s="15"/>
      <c r="Y9" s="15"/>
      <c r="Z9" s="15"/>
    </row>
    <row r="10" spans="2:26" s="59" customFormat="1" ht="24" customHeight="1" thickBot="1">
      <c r="B10" s="58"/>
      <c r="C10" s="23" t="s">
        <v>80</v>
      </c>
      <c r="D10" s="80" t="s">
        <v>81</v>
      </c>
      <c r="E10" s="35" t="s">
        <v>77</v>
      </c>
      <c r="F10" s="35" t="s">
        <v>78</v>
      </c>
      <c r="G10" s="35" t="s">
        <v>79</v>
      </c>
      <c r="I10" s="60"/>
    </row>
    <row r="11" spans="2:26" s="59" customFormat="1" ht="24" customHeight="1" thickTop="1">
      <c r="B11" s="58"/>
      <c r="C11" s="380" t="s">
        <v>187</v>
      </c>
      <c r="D11" s="90" t="s">
        <v>191</v>
      </c>
      <c r="E11" s="157" t="s">
        <v>50</v>
      </c>
      <c r="F11" s="288" t="s">
        <v>215</v>
      </c>
      <c r="G11" s="104" t="s">
        <v>414</v>
      </c>
      <c r="I11" s="60"/>
    </row>
    <row r="12" spans="2:26" s="59" customFormat="1" ht="20.100000000000001" customHeight="1">
      <c r="B12" s="58"/>
      <c r="C12" s="381"/>
      <c r="D12" s="90" t="s">
        <v>400</v>
      </c>
      <c r="E12" s="206" t="s">
        <v>399</v>
      </c>
      <c r="F12" s="304" t="s">
        <v>552</v>
      </c>
      <c r="G12" s="104" t="s">
        <v>431</v>
      </c>
      <c r="I12" s="60"/>
    </row>
    <row r="13" spans="2:26" s="59" customFormat="1" ht="20.100000000000001" customHeight="1">
      <c r="B13" s="58"/>
      <c r="C13" s="381"/>
      <c r="D13" s="90" t="s">
        <v>150</v>
      </c>
      <c r="E13" s="157" t="s">
        <v>151</v>
      </c>
      <c r="F13" s="396" t="s">
        <v>582</v>
      </c>
      <c r="G13" s="104"/>
      <c r="I13" s="60"/>
    </row>
    <row r="14" spans="2:26" s="59" customFormat="1" ht="20.100000000000001" customHeight="1">
      <c r="B14" s="58"/>
      <c r="C14" s="381"/>
      <c r="D14" s="158" t="s">
        <v>405</v>
      </c>
      <c r="E14" s="146" t="s">
        <v>49</v>
      </c>
      <c r="F14" s="218" t="s">
        <v>45</v>
      </c>
      <c r="G14" s="104" t="s">
        <v>440</v>
      </c>
      <c r="H14" s="62"/>
      <c r="I14" s="63"/>
    </row>
    <row r="15" spans="2:26" s="62" customFormat="1" ht="20.100000000000001" customHeight="1">
      <c r="B15" s="61"/>
      <c r="C15" s="381"/>
      <c r="D15" s="158" t="s">
        <v>529</v>
      </c>
      <c r="E15" s="300" t="s">
        <v>530</v>
      </c>
      <c r="F15" s="301" t="s">
        <v>583</v>
      </c>
      <c r="G15" s="104" t="s">
        <v>531</v>
      </c>
      <c r="I15" s="63"/>
    </row>
    <row r="16" spans="2:26" s="62" customFormat="1" ht="34.200000000000003" customHeight="1">
      <c r="B16" s="61"/>
      <c r="C16" s="381"/>
      <c r="D16" s="158" t="s">
        <v>147</v>
      </c>
      <c r="E16" s="146" t="s">
        <v>49</v>
      </c>
      <c r="F16" s="299" t="s">
        <v>584</v>
      </c>
      <c r="G16" s="397" t="s">
        <v>585</v>
      </c>
      <c r="I16" s="63"/>
    </row>
    <row r="17" spans="2:9" s="62" customFormat="1" ht="25.2" customHeight="1">
      <c r="B17" s="61"/>
      <c r="C17" s="382"/>
      <c r="D17" s="158" t="s">
        <v>94</v>
      </c>
      <c r="E17" s="146" t="s">
        <v>89</v>
      </c>
      <c r="F17" s="221" t="s">
        <v>398</v>
      </c>
      <c r="G17" s="104"/>
      <c r="I17" s="63"/>
    </row>
    <row r="18" spans="2:9" s="62" customFormat="1" ht="20.100000000000001" customHeight="1">
      <c r="B18" s="61"/>
      <c r="C18" s="383" t="s">
        <v>193</v>
      </c>
      <c r="D18" s="305" t="s">
        <v>523</v>
      </c>
      <c r="E18" s="306" t="s">
        <v>524</v>
      </c>
      <c r="F18" s="307" t="s">
        <v>525</v>
      </c>
      <c r="G18" s="308" t="s">
        <v>526</v>
      </c>
      <c r="I18" s="63"/>
    </row>
    <row r="19" spans="2:9" s="62" customFormat="1" ht="20.100000000000001" customHeight="1">
      <c r="B19" s="61"/>
      <c r="C19" s="381"/>
      <c r="D19" s="305" t="s">
        <v>527</v>
      </c>
      <c r="E19" s="306" t="s">
        <v>524</v>
      </c>
      <c r="F19" s="307" t="s">
        <v>528</v>
      </c>
      <c r="G19" s="308"/>
      <c r="I19" s="63"/>
    </row>
    <row r="20" spans="2:9" s="62" customFormat="1" ht="34.799999999999997" customHeight="1">
      <c r="B20" s="61"/>
      <c r="C20" s="381"/>
      <c r="D20" s="204" t="s">
        <v>192</v>
      </c>
      <c r="E20" s="205" t="s">
        <v>32</v>
      </c>
      <c r="F20" s="296" t="s">
        <v>586</v>
      </c>
      <c r="G20" s="297" t="s">
        <v>513</v>
      </c>
      <c r="I20" s="63"/>
    </row>
    <row r="21" spans="2:9" s="62" customFormat="1" ht="34.5" customHeight="1">
      <c r="B21" s="61"/>
      <c r="C21" s="381"/>
      <c r="D21" s="84" t="s">
        <v>188</v>
      </c>
      <c r="E21" s="157" t="s">
        <v>33</v>
      </c>
      <c r="F21" s="221" t="s">
        <v>45</v>
      </c>
      <c r="G21" s="104" t="s">
        <v>425</v>
      </c>
      <c r="I21" s="63"/>
    </row>
    <row r="22" spans="2:9" s="62" customFormat="1" ht="20.100000000000001" customHeight="1">
      <c r="B22" s="61"/>
      <c r="C22" s="381"/>
      <c r="D22" s="84" t="s">
        <v>189</v>
      </c>
      <c r="E22" s="157" t="s">
        <v>33</v>
      </c>
      <c r="F22" s="221" t="s">
        <v>45</v>
      </c>
      <c r="G22" s="104" t="s">
        <v>424</v>
      </c>
      <c r="I22" s="63"/>
    </row>
    <row r="23" spans="2:9" s="62" customFormat="1" ht="29.25" customHeight="1">
      <c r="B23" s="61"/>
      <c r="C23" s="381"/>
      <c r="D23" s="235" t="s">
        <v>444</v>
      </c>
      <c r="E23" s="157" t="s">
        <v>205</v>
      </c>
      <c r="F23" s="223" t="s">
        <v>587</v>
      </c>
      <c r="G23" s="104" t="s">
        <v>415</v>
      </c>
      <c r="I23" s="63"/>
    </row>
    <row r="24" spans="2:9" s="62" customFormat="1" ht="20.100000000000001" customHeight="1">
      <c r="B24" s="61"/>
      <c r="C24" s="381"/>
      <c r="D24" s="84" t="s">
        <v>149</v>
      </c>
      <c r="E24" s="157" t="s">
        <v>34</v>
      </c>
      <c r="F24" s="289" t="s">
        <v>522</v>
      </c>
      <c r="G24" s="104" t="s">
        <v>416</v>
      </c>
      <c r="I24" s="63"/>
    </row>
    <row r="25" spans="2:9" s="62" customFormat="1" ht="20.100000000000001" customHeight="1">
      <c r="B25" s="61"/>
      <c r="C25" s="381"/>
      <c r="D25" s="84" t="s">
        <v>239</v>
      </c>
      <c r="E25" s="157" t="s">
        <v>240</v>
      </c>
      <c r="F25" s="224" t="s">
        <v>253</v>
      </c>
      <c r="G25" s="104"/>
      <c r="I25" s="63"/>
    </row>
    <row r="26" spans="2:9" s="62" customFormat="1" ht="20.100000000000001" customHeight="1">
      <c r="B26" s="61"/>
      <c r="C26" s="381"/>
      <c r="D26" s="84" t="s">
        <v>148</v>
      </c>
      <c r="E26" s="157" t="s">
        <v>98</v>
      </c>
      <c r="F26" s="224" t="s">
        <v>443</v>
      </c>
      <c r="G26" s="104" t="s">
        <v>417</v>
      </c>
      <c r="I26" s="63"/>
    </row>
    <row r="27" spans="2:9" s="62" customFormat="1" ht="20.100000000000001" customHeight="1">
      <c r="B27" s="61"/>
      <c r="C27" s="381"/>
      <c r="D27" s="84" t="s">
        <v>156</v>
      </c>
      <c r="E27" s="157" t="s">
        <v>98</v>
      </c>
      <c r="F27" s="224" t="s">
        <v>435</v>
      </c>
      <c r="G27" s="104" t="s">
        <v>418</v>
      </c>
      <c r="I27" s="63"/>
    </row>
    <row r="28" spans="2:9" s="62" customFormat="1" ht="27.6" customHeight="1">
      <c r="B28" s="61"/>
      <c r="C28" s="381"/>
      <c r="D28" s="84" t="s">
        <v>155</v>
      </c>
      <c r="E28" s="157" t="s">
        <v>98</v>
      </c>
      <c r="F28" s="298" t="s">
        <v>506</v>
      </c>
      <c r="G28" s="104"/>
      <c r="I28" s="63"/>
    </row>
    <row r="29" spans="2:9" s="62" customFormat="1" ht="31.2" customHeight="1">
      <c r="B29" s="61"/>
      <c r="C29" s="381"/>
      <c r="D29" s="98" t="s">
        <v>82</v>
      </c>
      <c r="E29" s="157" t="s">
        <v>83</v>
      </c>
      <c r="F29" s="224" t="s">
        <v>45</v>
      </c>
      <c r="G29" s="228" t="s">
        <v>426</v>
      </c>
      <c r="I29" s="63"/>
    </row>
    <row r="30" spans="2:9" s="62" customFormat="1" ht="20.100000000000001" customHeight="1">
      <c r="B30" s="61"/>
      <c r="C30" s="381"/>
      <c r="D30" s="98" t="s">
        <v>194</v>
      </c>
      <c r="E30" s="157" t="s">
        <v>53</v>
      </c>
      <c r="F30" s="224" t="s">
        <v>45</v>
      </c>
      <c r="G30" s="228" t="s">
        <v>426</v>
      </c>
      <c r="I30" s="63"/>
    </row>
    <row r="31" spans="2:9" s="62" customFormat="1" ht="20.100000000000001" customHeight="1">
      <c r="B31" s="61"/>
      <c r="C31" s="381"/>
      <c r="D31" s="84" t="s">
        <v>195</v>
      </c>
      <c r="E31" s="157" t="s">
        <v>32</v>
      </c>
      <c r="F31" s="227" t="s">
        <v>45</v>
      </c>
      <c r="G31" s="228" t="s">
        <v>426</v>
      </c>
      <c r="I31" s="63"/>
    </row>
    <row r="32" spans="2:9" s="62" customFormat="1" ht="20.100000000000001" customHeight="1">
      <c r="B32" s="61"/>
      <c r="C32" s="381"/>
      <c r="D32" s="84" t="s">
        <v>196</v>
      </c>
      <c r="E32" s="157" t="s">
        <v>33</v>
      </c>
      <c r="F32" s="227" t="s">
        <v>151</v>
      </c>
      <c r="G32" s="228" t="s">
        <v>426</v>
      </c>
      <c r="I32" s="63"/>
    </row>
    <row r="33" spans="2:43" s="62" customFormat="1" ht="20.100000000000001" customHeight="1">
      <c r="B33" s="61"/>
      <c r="C33" s="381"/>
      <c r="D33" s="84" t="s">
        <v>190</v>
      </c>
      <c r="E33" s="157" t="s">
        <v>33</v>
      </c>
      <c r="F33" s="227" t="s">
        <v>45</v>
      </c>
      <c r="G33" s="228" t="s">
        <v>426</v>
      </c>
      <c r="I33" s="63"/>
    </row>
    <row r="34" spans="2:43" s="62" customFormat="1" ht="20.100000000000001" customHeight="1">
      <c r="B34" s="61"/>
      <c r="C34" s="381"/>
      <c r="D34" s="84" t="s">
        <v>411</v>
      </c>
      <c r="E34" s="222" t="s">
        <v>413</v>
      </c>
      <c r="F34" s="224" t="s">
        <v>412</v>
      </c>
      <c r="G34" s="154"/>
      <c r="I34" s="63"/>
    </row>
    <row r="35" spans="2:43" s="62" customFormat="1" ht="20.100000000000001" customHeight="1">
      <c r="B35" s="61"/>
      <c r="C35" s="381"/>
      <c r="D35" s="84" t="s">
        <v>202</v>
      </c>
      <c r="E35" s="157" t="s">
        <v>146</v>
      </c>
      <c r="F35" s="145" t="s">
        <v>45</v>
      </c>
      <c r="G35" s="104" t="s">
        <v>419</v>
      </c>
      <c r="I35" s="63"/>
    </row>
    <row r="36" spans="2:43" s="62" customFormat="1" ht="20.100000000000001" customHeight="1">
      <c r="B36" s="61"/>
      <c r="C36" s="382"/>
      <c r="D36" s="84" t="s">
        <v>157</v>
      </c>
      <c r="E36" s="157" t="s">
        <v>146</v>
      </c>
      <c r="F36" s="145" t="s">
        <v>151</v>
      </c>
      <c r="G36" s="104" t="s">
        <v>420</v>
      </c>
      <c r="I36" s="63"/>
    </row>
    <row r="37" spans="2:43" s="62" customFormat="1" ht="20.100000000000001" customHeight="1">
      <c r="B37" s="64"/>
      <c r="C37" s="25"/>
      <c r="D37" s="77"/>
      <c r="E37" s="65"/>
      <c r="F37" s="66"/>
      <c r="G37" s="67"/>
      <c r="H37" s="65"/>
      <c r="I37" s="68"/>
    </row>
    <row r="38" spans="2:43" ht="27" customHeight="1">
      <c r="G38" s="36"/>
      <c r="H38" s="69" t="s">
        <v>43</v>
      </c>
    </row>
    <row r="39" spans="2:43" ht="18" customHeight="1">
      <c r="D39" s="81"/>
      <c r="E39" s="9"/>
      <c r="F39" s="9"/>
      <c r="H39" s="5"/>
      <c r="I39" s="5"/>
    </row>
    <row r="40" spans="2:43" ht="20.100000000000001" customHeight="1">
      <c r="G40" s="9"/>
      <c r="J40" s="5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spans="2:43" ht="20.100000000000001" customHeight="1"/>
    <row r="42" spans="2:43" ht="20.100000000000001" customHeight="1"/>
  </sheetData>
  <mergeCells count="4">
    <mergeCell ref="C3:F5"/>
    <mergeCell ref="B6:F6"/>
    <mergeCell ref="C11:C17"/>
    <mergeCell ref="C18:C36"/>
  </mergeCells>
  <phoneticPr fontId="2" type="noConversion"/>
  <pageMargins left="0.7" right="0.7" top="0.75" bottom="0.75" header="0.3" footer="0.3"/>
  <pageSetup paperSize="9" scale="6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0"/>
  <sheetViews>
    <sheetView zoomScale="94" workbookViewId="0">
      <selection activeCell="G24" sqref="G24"/>
    </sheetView>
  </sheetViews>
  <sheetFormatPr defaultColWidth="9" defaultRowHeight="13.8"/>
  <cols>
    <col min="1" max="1" width="4.77734375" style="239" customWidth="1"/>
    <col min="2" max="2" width="19.88671875" style="239" customWidth="1"/>
    <col min="3" max="3" width="13.77734375" style="239" customWidth="1"/>
    <col min="4" max="4" width="15.77734375" style="239" customWidth="1"/>
    <col min="5" max="5" width="11" style="239" customWidth="1"/>
    <col min="6" max="6" width="13.21875" style="239" customWidth="1"/>
    <col min="7" max="7" width="14.33203125" style="239" customWidth="1"/>
    <col min="8" max="8" width="10.33203125" style="239" customWidth="1"/>
    <col min="9" max="9" width="15.109375" style="239" customWidth="1"/>
    <col min="10" max="10" width="11" style="239" customWidth="1"/>
    <col min="11" max="11" width="14.77734375" style="239" customWidth="1"/>
    <col min="12" max="12" width="13.44140625" style="239" customWidth="1"/>
    <col min="13" max="13" width="14" style="239" customWidth="1"/>
    <col min="14" max="14" width="15" style="239" customWidth="1"/>
    <col min="15" max="15" width="9" style="239"/>
    <col min="16" max="16" width="20.44140625" style="239" customWidth="1"/>
    <col min="17" max="16384" width="9" style="239"/>
  </cols>
  <sheetData>
    <row r="2" spans="2:14" ht="23.25" customHeight="1">
      <c r="B2" s="385" t="s">
        <v>504</v>
      </c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</row>
    <row r="3" spans="2:14" ht="3.75" customHeight="1"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</row>
    <row r="4" spans="2:14" ht="46.8">
      <c r="B4" s="260" t="s">
        <v>503</v>
      </c>
      <c r="C4" s="259" t="s">
        <v>502</v>
      </c>
      <c r="D4" s="259" t="s">
        <v>501</v>
      </c>
      <c r="E4" s="259" t="s">
        <v>500</v>
      </c>
      <c r="F4" s="259" t="s">
        <v>499</v>
      </c>
      <c r="G4" s="259" t="s">
        <v>498</v>
      </c>
      <c r="H4" s="259" t="s">
        <v>497</v>
      </c>
      <c r="I4" s="259" t="s">
        <v>496</v>
      </c>
      <c r="J4" s="259" t="s">
        <v>495</v>
      </c>
      <c r="K4" s="259" t="s">
        <v>494</v>
      </c>
      <c r="L4" s="259" t="s">
        <v>493</v>
      </c>
      <c r="M4" s="259" t="s">
        <v>492</v>
      </c>
      <c r="N4" s="259" t="s">
        <v>491</v>
      </c>
    </row>
    <row r="5" spans="2:14" ht="16.2">
      <c r="B5" s="266" t="s">
        <v>490</v>
      </c>
      <c r="C5" s="282">
        <f>[17]设计总表!G9</f>
        <v>310.35141329258977</v>
      </c>
      <c r="D5" s="266">
        <f>[17]设计总表!I9</f>
        <v>3.5059999999999998</v>
      </c>
      <c r="E5" s="281">
        <f>[17]设计总表!I5</f>
        <v>132</v>
      </c>
      <c r="F5" s="280">
        <f>C5/D5+O19*1000</f>
        <v>100.52008365447513</v>
      </c>
      <c r="G5" s="279">
        <f>[17]设计总表!C43</f>
        <v>0.01</v>
      </c>
      <c r="H5" s="285">
        <f>(F5-O19*1000)*(1+G5)+O19*1000</f>
        <v>101.40528449101988</v>
      </c>
      <c r="I5" s="279">
        <f>[17]设计总表!C44</f>
        <v>0.02</v>
      </c>
      <c r="J5" s="278">
        <f>(F5-O19*1000)*(1+I5)+O19*1000</f>
        <v>102.29048532756464</v>
      </c>
      <c r="K5" s="279">
        <f>[17]设计总表!C45</f>
        <v>0.02</v>
      </c>
      <c r="L5" s="278">
        <f>(F5-O19*1000)*(1+K5)+O19*1000</f>
        <v>102.29048532756464</v>
      </c>
      <c r="M5" s="279">
        <f>[17]设计总表!C46</f>
        <v>0.05</v>
      </c>
      <c r="N5" s="278">
        <f>(F5-O19*1000)*(1+M5)+O19*1000</f>
        <v>104.94608783719889</v>
      </c>
    </row>
    <row r="6" spans="2:14" ht="16.2">
      <c r="B6" s="277" t="s">
        <v>488</v>
      </c>
      <c r="C6" s="284"/>
      <c r="D6" s="276"/>
      <c r="E6" s="266"/>
      <c r="F6" s="275">
        <v>2</v>
      </c>
      <c r="G6" s="274">
        <v>0</v>
      </c>
      <c r="H6" s="283">
        <f>(F5+F6-O19*1000)*(1+G5)+O19*1000-H5</f>
        <v>2.019999999999996</v>
      </c>
      <c r="I6" s="274">
        <v>0.01</v>
      </c>
      <c r="J6" s="273">
        <f>(F5+F6-O19*1000)*(1+I5+I6)+O19*1000-J5</f>
        <v>2.9452008365447426</v>
      </c>
      <c r="K6" s="274">
        <v>0.01</v>
      </c>
      <c r="L6" s="273">
        <f>(F5+F6-O19*1000)*(1+K5+K6)+O19*1000-L5</f>
        <v>2.9452008365447426</v>
      </c>
      <c r="M6" s="274">
        <v>0.02</v>
      </c>
      <c r="N6" s="273">
        <f>(F5+F6-O19*1000)*(1+M5+M6)+O19*1000-N5</f>
        <v>3.9104016730895097</v>
      </c>
    </row>
    <row r="7" spans="2:14" ht="16.2">
      <c r="B7" s="266" t="s">
        <v>489</v>
      </c>
      <c r="C7" s="282">
        <f>[17]设计总表!G8</f>
        <v>199.43154337242035</v>
      </c>
      <c r="D7" s="266">
        <f>[17]设计总表!I8</f>
        <v>1.6080000000000001</v>
      </c>
      <c r="E7" s="281">
        <f>[17]设计总表!I5+[17]设计总表!P5</f>
        <v>134</v>
      </c>
      <c r="F7" s="280">
        <f>C7/D7+N19*1000</f>
        <v>129.02459164951512</v>
      </c>
      <c r="G7" s="279">
        <f>[17]设计总表!C32</f>
        <v>0.05</v>
      </c>
      <c r="H7" s="278">
        <f>(F7-N19*1000)*(1+G7)+N19*1000</f>
        <v>135.22582123199086</v>
      </c>
      <c r="I7" s="279">
        <f>[17]设计总表!C33</f>
        <v>0.24</v>
      </c>
      <c r="J7" s="278">
        <f>(F7-N19*1000)*(1+I7)+N19*1000</f>
        <v>158.79049364539875</v>
      </c>
      <c r="K7" s="279">
        <f>[17]设计总表!C34</f>
        <v>0.26</v>
      </c>
      <c r="L7" s="278">
        <f>(F7-N19*1000)*(1+K7)+N19*1000</f>
        <v>161.27098547838904</v>
      </c>
      <c r="M7" s="279">
        <f>[17]设计总表!C35</f>
        <v>0.4</v>
      </c>
      <c r="N7" s="278">
        <f>(F7-N19*1000)*(1+M7)+N19*1000</f>
        <v>178.63442830932115</v>
      </c>
    </row>
    <row r="8" spans="2:14" ht="16.2">
      <c r="B8" s="277" t="s">
        <v>488</v>
      </c>
      <c r="C8" s="276"/>
      <c r="D8" s="276"/>
      <c r="E8" s="276"/>
      <c r="F8" s="275">
        <v>2</v>
      </c>
      <c r="G8" s="274">
        <v>0.01</v>
      </c>
      <c r="H8" s="273">
        <f>(F7+F8-N19*1000)*(1+G8+G7)+N19*1000-H7</f>
        <v>3.3602459164951597</v>
      </c>
      <c r="I8" s="274">
        <v>0.02</v>
      </c>
      <c r="J8" s="273">
        <f>(F7+F8-N19*1000)*(1+I7+I8)+N19*1000-J7</f>
        <v>5.0004918329902921</v>
      </c>
      <c r="K8" s="274">
        <v>0.02</v>
      </c>
      <c r="L8" s="273">
        <f>(F7+F8-N19*1000)*(1+K7+K8)+N19*1000-L7</f>
        <v>5.0404918329903126</v>
      </c>
      <c r="M8" s="274">
        <v>0.05</v>
      </c>
      <c r="N8" s="273">
        <f>(F7+F8-N19*1000)*(1+M7+M8)+N19*1000-N7</f>
        <v>9.101229582475753</v>
      </c>
    </row>
    <row r="9" spans="2:14" ht="6.75" customHeight="1"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40"/>
      <c r="N9" s="240"/>
    </row>
    <row r="10" spans="2:14" ht="16.2">
      <c r="B10" s="260" t="s">
        <v>487</v>
      </c>
      <c r="C10" s="268"/>
      <c r="D10" s="268"/>
      <c r="E10" s="268"/>
      <c r="F10" s="268"/>
      <c r="G10" s="268"/>
      <c r="H10" s="268" t="s">
        <v>486</v>
      </c>
      <c r="I10" s="268"/>
      <c r="J10" s="268" t="s">
        <v>483</v>
      </c>
      <c r="K10" s="268"/>
      <c r="L10" s="268" t="s">
        <v>482</v>
      </c>
      <c r="M10" s="272"/>
      <c r="N10" s="268" t="s">
        <v>481</v>
      </c>
    </row>
    <row r="11" spans="2:14" ht="15.6">
      <c r="B11" s="247" t="s">
        <v>485</v>
      </c>
      <c r="C11" s="247"/>
      <c r="D11" s="247"/>
      <c r="E11" s="247"/>
      <c r="F11" s="247"/>
      <c r="G11" s="246"/>
      <c r="H11" s="246">
        <f>(H7*E7/L20+H5*E5/L20)/1000+C19*C20/L20+K19*2</f>
        <v>17.388378798950701</v>
      </c>
      <c r="I11" s="246"/>
      <c r="J11" s="246">
        <f>(J7*E7/L20+J5*E5/L20)/1000+E19*E20/L20+K19*2</f>
        <v>19.436635105860979</v>
      </c>
      <c r="K11" s="246"/>
      <c r="L11" s="246">
        <f>(L7*E7/[17]设计总表!P5+L5*E5/[17]设计总表!P5)/1000+E19*E20/[17]设计总表!P5+K19*2</f>
        <v>19.602828058671328</v>
      </c>
      <c r="M11" s="271"/>
      <c r="N11" s="264">
        <f>(N7*E7/[17]设计总表!P5+N5*E5/[17]设计总表!P5)/1000+C19*C20/[17]设计总表!P5+K19*2</f>
        <v>20.530448493979637</v>
      </c>
    </row>
    <row r="12" spans="2:14" ht="15.6">
      <c r="B12" s="247" t="s">
        <v>479</v>
      </c>
      <c r="C12" s="247"/>
      <c r="D12" s="247"/>
      <c r="E12" s="247"/>
      <c r="F12" s="247"/>
      <c r="G12" s="265"/>
      <c r="H12" s="246">
        <f>SQRT(SUMSQ(H6*E5/L20,H8*E7/L20))/1000</f>
        <v>0.26164987179079252</v>
      </c>
      <c r="I12" s="270"/>
      <c r="J12" s="246">
        <f>SQRT(SUMSQ(J6*E5/L20,J8*E7/L20))/1000</f>
        <v>0.38733955307406598</v>
      </c>
      <c r="K12" s="246"/>
      <c r="L12" s="246">
        <f>SQRT(SUMSQ(L6*E5/L20,L8*E7/L20))/1000</f>
        <v>0.38965996510121692</v>
      </c>
      <c r="M12" s="247"/>
      <c r="N12" s="246"/>
    </row>
    <row r="13" spans="2:14" ht="5.25" customHeight="1"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</row>
    <row r="14" spans="2:14" ht="16.2">
      <c r="B14" s="251" t="s">
        <v>484</v>
      </c>
      <c r="C14" s="269"/>
      <c r="D14" s="269"/>
      <c r="E14" s="269"/>
      <c r="F14" s="269"/>
      <c r="G14" s="269"/>
      <c r="H14" s="269"/>
      <c r="I14" s="268"/>
      <c r="J14" s="268" t="s">
        <v>483</v>
      </c>
      <c r="K14" s="268"/>
      <c r="L14" s="268" t="s">
        <v>482</v>
      </c>
      <c r="M14" s="269"/>
      <c r="N14" s="268" t="s">
        <v>481</v>
      </c>
    </row>
    <row r="15" spans="2:14" ht="15.6">
      <c r="B15" s="247" t="s">
        <v>480</v>
      </c>
      <c r="C15" s="247"/>
      <c r="D15" s="267"/>
      <c r="E15" s="266"/>
      <c r="F15" s="266"/>
      <c r="G15" s="266"/>
      <c r="H15" s="246"/>
      <c r="I15" s="246"/>
      <c r="J15" s="246">
        <f>J11*[17]设计总表!P5+F19*F20+G19*G20+H19*H20+J19*J20</f>
        <v>40.373270211721952</v>
      </c>
      <c r="K15" s="246"/>
      <c r="L15" s="246">
        <f>L11*[17]设计总表!P5+F19*F20+G19*G20+H19*H20+J19*J20</f>
        <v>40.705656117342649</v>
      </c>
      <c r="M15" s="247"/>
      <c r="N15" s="264">
        <f>N11*[17]设计总表!P5+F19*F20+G19*G20+H19*H20+J19*J20</f>
        <v>42.560896987959268</v>
      </c>
    </row>
    <row r="16" spans="2:14" ht="15.6">
      <c r="B16" s="247" t="s">
        <v>479</v>
      </c>
      <c r="C16" s="247"/>
      <c r="D16" s="266"/>
      <c r="E16" s="266"/>
      <c r="F16" s="266"/>
      <c r="G16" s="266"/>
      <c r="H16" s="246"/>
      <c r="I16" s="265"/>
      <c r="J16" s="246">
        <f>SQRT(SUMSQ(J12+D24,0.15+0.1+0.01))</f>
        <v>0.44456653322785683</v>
      </c>
      <c r="K16" s="246"/>
      <c r="L16" s="246"/>
      <c r="M16" s="247"/>
      <c r="N16" s="264"/>
    </row>
    <row r="17" spans="2:15" ht="15.6">
      <c r="B17" s="240"/>
      <c r="C17" s="240"/>
      <c r="D17" s="263"/>
      <c r="E17" s="261"/>
      <c r="F17" s="261"/>
      <c r="G17" s="261"/>
      <c r="H17" s="261"/>
      <c r="I17" s="240"/>
      <c r="J17" s="262"/>
      <c r="K17" s="261"/>
      <c r="L17" s="261"/>
      <c r="M17" s="240"/>
      <c r="N17" s="240"/>
    </row>
    <row r="18" spans="2:15" ht="48.6">
      <c r="B18" s="259" t="s">
        <v>478</v>
      </c>
      <c r="C18" s="259" t="s">
        <v>477</v>
      </c>
      <c r="D18" s="259" t="s">
        <v>476</v>
      </c>
      <c r="E18" s="260" t="s">
        <v>475</v>
      </c>
      <c r="F18" s="259" t="s">
        <v>474</v>
      </c>
      <c r="G18" s="259" t="s">
        <v>473</v>
      </c>
      <c r="H18" s="259" t="s">
        <v>472</v>
      </c>
      <c r="I18" s="259" t="s">
        <v>471</v>
      </c>
      <c r="J18" s="259" t="s">
        <v>470</v>
      </c>
      <c r="K18" s="259" t="s">
        <v>469</v>
      </c>
      <c r="L18" s="250" t="s">
        <v>468</v>
      </c>
      <c r="M18" s="250" t="s">
        <v>467</v>
      </c>
      <c r="N18" s="250" t="s">
        <v>466</v>
      </c>
      <c r="O18" s="250" t="s">
        <v>465</v>
      </c>
    </row>
    <row r="19" spans="2:15" ht="16.2">
      <c r="B19" s="254" t="s">
        <v>464</v>
      </c>
      <c r="C19" s="254">
        <f>[17]设计总表!D15</f>
        <v>1.15E-2</v>
      </c>
      <c r="D19" s="254">
        <v>1E-4</v>
      </c>
      <c r="E19" s="256">
        <f>[17]设计总表!D15+[17]设计总表!G15</f>
        <v>1.4499999999999999E-2</v>
      </c>
      <c r="F19" s="258">
        <f>[17]设计总表!F39</f>
        <v>0.08</v>
      </c>
      <c r="G19" s="254">
        <f>[17]设计总表!F40</f>
        <v>0.03</v>
      </c>
      <c r="H19" s="258">
        <f>[17]设计总表!F36</f>
        <v>0.5</v>
      </c>
      <c r="I19" s="247">
        <v>0.05</v>
      </c>
      <c r="J19" s="258">
        <f>[17]设计总表!F38</f>
        <v>0.08</v>
      </c>
      <c r="K19" s="258">
        <f>[17]设计总表!F37</f>
        <v>0.03</v>
      </c>
      <c r="L19" s="252"/>
      <c r="M19" s="257">
        <f>[17]设计总表!B5</f>
        <v>40.400000000000006</v>
      </c>
      <c r="N19" s="252">
        <f>[17]设计总表!I15</f>
        <v>5.0000000000000001E-3</v>
      </c>
      <c r="O19" s="252">
        <f>[17]设计总表!J15</f>
        <v>1.2E-2</v>
      </c>
    </row>
    <row r="20" spans="2:15" ht="16.2">
      <c r="B20" s="254" t="s">
        <v>463</v>
      </c>
      <c r="C20" s="254">
        <f>[17]设计总表!N5*[17]设计总表!P5</f>
        <v>274</v>
      </c>
      <c r="D20" s="254"/>
      <c r="E20" s="256">
        <f>C20</f>
        <v>274</v>
      </c>
      <c r="F20" s="254">
        <v>2</v>
      </c>
      <c r="G20" s="254">
        <v>6</v>
      </c>
      <c r="H20" s="254">
        <v>2</v>
      </c>
      <c r="I20" s="255"/>
      <c r="J20" s="254">
        <v>2</v>
      </c>
      <c r="K20" s="254">
        <v>2</v>
      </c>
      <c r="L20" s="253">
        <f>[17]设计总表!P5</f>
        <v>2</v>
      </c>
      <c r="M20" s="252"/>
      <c r="N20" s="252"/>
      <c r="O20" s="252"/>
    </row>
    <row r="21" spans="2:15" ht="15.6"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</row>
    <row r="22" spans="2:15" ht="16.2">
      <c r="B22" s="251" t="s">
        <v>462</v>
      </c>
      <c r="C22" s="250" t="s">
        <v>461</v>
      </c>
      <c r="D22" s="250" t="s">
        <v>460</v>
      </c>
      <c r="E22" s="250" t="s">
        <v>459</v>
      </c>
      <c r="F22" s="250" t="s">
        <v>458</v>
      </c>
      <c r="G22" s="240"/>
      <c r="H22" s="240"/>
      <c r="I22" s="240"/>
      <c r="J22" s="240"/>
      <c r="K22" s="240"/>
      <c r="L22" s="240"/>
    </row>
    <row r="23" spans="2:15" ht="15.6">
      <c r="B23" s="247" t="s">
        <v>457</v>
      </c>
      <c r="C23" s="249">
        <f>(H11*L20)/(M19-F19*F20-G19*G20-H19*H20-J19*J20)</f>
        <v>0.89400405135993288</v>
      </c>
      <c r="D23" s="248">
        <f>(J11*L20)/(M19-F19*F20-G19*G20-H19*H20-J19*J20)</f>
        <v>0.99931285891316057</v>
      </c>
      <c r="E23" s="248">
        <f>(L11*L20)/(M19-F19*F20-G19*G20-H19*H20-J19*J20)</f>
        <v>1.0078574837363148</v>
      </c>
      <c r="F23" s="248">
        <f>(N11*L20)/(M19-F19*F20-G19*G20-H19*H20-J19*J20)</f>
        <v>1.0555500511043512</v>
      </c>
      <c r="G23" s="240"/>
      <c r="H23" s="240"/>
      <c r="I23" s="240"/>
      <c r="J23" s="240"/>
      <c r="K23" s="240"/>
      <c r="L23" s="242"/>
    </row>
    <row r="24" spans="2:15" ht="15.6">
      <c r="B24" s="247" t="s">
        <v>456</v>
      </c>
      <c r="C24" s="247" t="s">
        <v>455</v>
      </c>
      <c r="D24" s="246">
        <f>J15-M19</f>
        <v>-2.6729788278053945E-2</v>
      </c>
      <c r="E24" s="246">
        <f>L15-M19</f>
        <v>0.30565611734264309</v>
      </c>
      <c r="F24" s="246">
        <f>N15-M19</f>
        <v>2.1608969879592621</v>
      </c>
      <c r="G24" s="240"/>
      <c r="H24" s="240"/>
      <c r="I24" s="240"/>
      <c r="J24" s="240"/>
      <c r="K24" s="240"/>
      <c r="L24" s="242"/>
    </row>
    <row r="25" spans="2:15" ht="15.6">
      <c r="B25" s="245"/>
      <c r="C25" s="245"/>
      <c r="D25" s="244"/>
      <c r="E25" s="244"/>
      <c r="F25" s="244"/>
      <c r="G25" s="244"/>
      <c r="H25" s="243"/>
      <c r="I25" s="240"/>
      <c r="J25" s="240"/>
      <c r="K25" s="240"/>
      <c r="L25" s="240"/>
      <c r="M25" s="240"/>
      <c r="N25" s="242"/>
    </row>
    <row r="26" spans="2:15" ht="15.6">
      <c r="B26" s="241" t="s">
        <v>454</v>
      </c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</row>
    <row r="27" spans="2:15" ht="15.6">
      <c r="B27" s="240" t="s">
        <v>453</v>
      </c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</row>
    <row r="28" spans="2:15" ht="15.6">
      <c r="B28" s="240" t="s">
        <v>452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</row>
    <row r="29" spans="2:15" ht="15.6">
      <c r="B29" s="240" t="s">
        <v>451</v>
      </c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</row>
    <row r="30" spans="2:15" ht="15.6">
      <c r="B30" s="240" t="s">
        <v>450</v>
      </c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</row>
  </sheetData>
  <mergeCells count="1">
    <mergeCell ref="B2:N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7</vt:i4>
      </vt:variant>
    </vt:vector>
  </HeadingPairs>
  <TitlesOfParts>
    <vt:vector size="17" baseType="lpstr">
      <vt:lpstr>封面</vt:lpstr>
      <vt:lpstr>填写说明</vt:lpstr>
      <vt:lpstr>修订履历表</vt:lpstr>
      <vt:lpstr>合浆涂布辊压一分</vt:lpstr>
      <vt:lpstr>正极模切</vt:lpstr>
      <vt:lpstr>模切二分卷绕（方形）</vt:lpstr>
      <vt:lpstr>切片叠片装配（方形）</vt:lpstr>
      <vt:lpstr>模切二分卷绕 (圆柱)</vt:lpstr>
      <vt:lpstr>干燥注液化成定容</vt:lpstr>
      <vt:lpstr>厚度尺寸链计算</vt:lpstr>
      <vt:lpstr>封面!Print_Area</vt:lpstr>
      <vt:lpstr>干燥注液化成定容!Print_Area</vt:lpstr>
      <vt:lpstr>合浆涂布辊压一分!Print_Area</vt:lpstr>
      <vt:lpstr>'模切二分卷绕 (圆柱)'!Print_Area</vt:lpstr>
      <vt:lpstr>'模切二分卷绕（方形）'!Print_Area</vt:lpstr>
      <vt:lpstr>'切片叠片装配（方形）'!Print_Area</vt:lpstr>
      <vt:lpstr>修订履历表!Print_Area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2025-06-16T10:16:58Z</dcterms:modified>
</cp:coreProperties>
</file>