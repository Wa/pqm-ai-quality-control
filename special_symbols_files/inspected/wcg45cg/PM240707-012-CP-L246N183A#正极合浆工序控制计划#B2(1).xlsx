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三元项目\L246N183A-B2-6月\"/>
    </mc:Choice>
  </mc:AlternateContent>
  <bookViews>
    <workbookView xWindow="0" yWindow="0" windowWidth="18470" windowHeight="9420" tabRatio="848"/>
  </bookViews>
  <sheets>
    <sheet name=" 修订履历" sheetId="38" r:id="rId1"/>
    <sheet name="正极合浆工序控制计划" sheetId="32" r:id="rId2"/>
    <sheet name="附图、附表" sheetId="39" r:id="rId3"/>
    <sheet name="防错清单" sheetId="50" r:id="rId4"/>
    <sheet name="PD-350L-1" sheetId="42" state="hidden" r:id="rId5"/>
    <sheet name="PD-300L" sheetId="46" state="hidden" r:id="rId6"/>
    <sheet name="备用200L" sheetId="49" state="hidden" r:id="rId7"/>
    <sheet name="备用100L" sheetId="48" state="hidden" r:id="rId8"/>
    <sheet name="PD-100L " sheetId="45" state="hidden" r:id="rId9"/>
  </sheets>
  <externalReferences>
    <externalReference r:id="rId10"/>
    <externalReference r:id="rId11"/>
    <externalReference r:id="rId12"/>
  </externalReferences>
  <definedNames>
    <definedName name="__B5" localSheetId="8" hidden="1">{#N/A,#N/A,FALSE,"Bare Battery F.G."}</definedName>
    <definedName name="__B5" localSheetId="4" hidden="1">{#N/A,#N/A,FALSE,"Bare Battery F.G."}</definedName>
    <definedName name="__B5" hidden="1">{#N/A,#N/A,FALSE,"Bare Battery F.G."}</definedName>
    <definedName name="__FAP383562" localSheetId="8">#REF!</definedName>
    <definedName name="__FAP383562" localSheetId="4">#REF!</definedName>
    <definedName name="__FAP383562" localSheetId="2">#REF!</definedName>
    <definedName name="__FAP383562">#REF!</definedName>
    <definedName name="__FCP383562" localSheetId="8">#REF!</definedName>
    <definedName name="__FCP383562" localSheetId="4">#REF!</definedName>
    <definedName name="__FCP383562" localSheetId="2">#REF!</definedName>
    <definedName name="__FCP383562">#REF!</definedName>
    <definedName name="__SK1">#N/A</definedName>
    <definedName name="__wrn1" localSheetId="8" hidden="1">{#N/A,#N/A,FALSE,"Bare Battery F.G."}</definedName>
    <definedName name="__wrn1" localSheetId="4" hidden="1">{#N/A,#N/A,FALSE,"Bare Battery F.G."}</definedName>
    <definedName name="__wrn1" hidden="1">{#N/A,#N/A,FALSE,"Bare Battery F.G."}</definedName>
    <definedName name="_B5" localSheetId="8" hidden="1">{#N/A,#N/A,FALSE,"Bare Battery F.G."}</definedName>
    <definedName name="_B5" localSheetId="4" hidden="1">{#N/A,#N/A,FALSE,"Bare Battery F.G."}</definedName>
    <definedName name="_B5" hidden="1">{#N/A,#N/A,FALSE,"Bare Battery F.G."}</definedName>
    <definedName name="_FAP383562" localSheetId="8">#REF!</definedName>
    <definedName name="_FAP383562" localSheetId="4">#REF!</definedName>
    <definedName name="_FAP383562" localSheetId="2">#REF!</definedName>
    <definedName name="_FAP383562">#REF!</definedName>
    <definedName name="_FCP383562" localSheetId="8">#REF!</definedName>
    <definedName name="_FCP383562" localSheetId="4">#REF!</definedName>
    <definedName name="_FCP383562" localSheetId="2">#REF!</definedName>
    <definedName name="_FCP383562">#REF!</definedName>
    <definedName name="_xlnm._FilterDatabase" localSheetId="1" hidden="1">正极合浆工序控制计划!$A$9:$AA$32</definedName>
    <definedName name="_SK1">#N/A</definedName>
    <definedName name="_wrn1" localSheetId="8" hidden="1">{#N/A,#N/A,FALSE,"Bare Battery F.G."}</definedName>
    <definedName name="_wrn1" localSheetId="4" hidden="1">{#N/A,#N/A,FALSE,"Bare Battery F.G."}</definedName>
    <definedName name="_wrn1" hidden="1">{#N/A,#N/A,FALSE,"Bare Battery F.G."}</definedName>
    <definedName name="A" localSheetId="8">#REF!</definedName>
    <definedName name="A" localSheetId="4">#REF!</definedName>
    <definedName name="A" localSheetId="2">#REF!</definedName>
    <definedName name="A">#REF!</definedName>
    <definedName name="abc">'[1]Equipment Req Plan'!$O:$O</definedName>
    <definedName name="abcdec" localSheetId="8" hidden="1">{#N/A,#N/A,FALSE,"Bare Battery F.G."}</definedName>
    <definedName name="abcdec" localSheetId="4" hidden="1">{#N/A,#N/A,FALSE,"Bare Battery F.G."}</definedName>
    <definedName name="abcdec" hidden="1">{#N/A,#N/A,FALSE,"Bare Battery F.G."}</definedName>
    <definedName name="ActualMonthIE" localSheetId="8">#REF!</definedName>
    <definedName name="ActualMonthIE" localSheetId="4">#REF!</definedName>
    <definedName name="ActualMonthIE" localSheetId="2">#REF!</definedName>
    <definedName name="ActualMonthIE">#REF!</definedName>
    <definedName name="ActualMonthME" localSheetId="8">#REF!</definedName>
    <definedName name="ActualMonthME" localSheetId="4">#REF!</definedName>
    <definedName name="ActualMonthME" localSheetId="2">#REF!</definedName>
    <definedName name="ActualMonthME">#REF!</definedName>
    <definedName name="ActualMonthPE">'[2]Equipment Req Plan'!$O:$O</definedName>
    <definedName name="ActualtimeIE" localSheetId="8">#REF!</definedName>
    <definedName name="ActualtimeIE" localSheetId="4">#REF!</definedName>
    <definedName name="ActualtimeIE" localSheetId="2">#REF!</definedName>
    <definedName name="ActualtimeIE">#REF!</definedName>
    <definedName name="ActualTimeME" localSheetId="8">#REF!</definedName>
    <definedName name="ActualTimeME" localSheetId="4">#REF!</definedName>
    <definedName name="ActualTimeME" localSheetId="2">#REF!</definedName>
    <definedName name="ActualTimeME">#REF!</definedName>
    <definedName name="ActualTimePE">'[2]Equipment Req Plan'!$L:$L</definedName>
    <definedName name="AL" localSheetId="8" hidden="1">{#N/A,#N/A,FALSE,"Bare Battery F.G."}</definedName>
    <definedName name="AL" localSheetId="4" hidden="1">{#N/A,#N/A,FALSE,"Bare Battery F.G."}</definedName>
    <definedName name="AL" hidden="1">{#N/A,#N/A,FALSE,"Bare Battery F.G."}</definedName>
    <definedName name="all">[3]Sheet2!$C$2:$F$529</definedName>
    <definedName name="auto" localSheetId="8" hidden="1">{#N/A,#N/A,FALSE,"Bare Battery F.G."}</definedName>
    <definedName name="auto" localSheetId="4" hidden="1">{#N/A,#N/A,FALSE,"Bare Battery F.G."}</definedName>
    <definedName name="auto" hidden="1">{#N/A,#N/A,FALSE,"Bare Battery F.G."}</definedName>
    <definedName name="B5GF" localSheetId="8" hidden="1">{#N/A,#N/A,FALSE,"Bare Battery F.G."}</definedName>
    <definedName name="B5GF" localSheetId="4" hidden="1">{#N/A,#N/A,FALSE,"Bare Battery F.G."}</definedName>
    <definedName name="B5GF" hidden="1">{#N/A,#N/A,FALSE,"Bare Battery F.G."}</definedName>
    <definedName name="capacity383562" localSheetId="8">#REF!</definedName>
    <definedName name="capacity383562" localSheetId="4">#REF!</definedName>
    <definedName name="capacity383562" localSheetId="2">#REF!</definedName>
    <definedName name="capacity383562">#REF!</definedName>
    <definedName name="ContentsIE" localSheetId="8">#REF!</definedName>
    <definedName name="ContentsIE" localSheetId="4">#REF!</definedName>
    <definedName name="ContentsIE" localSheetId="2">#REF!</definedName>
    <definedName name="ContentsIE">#REF!</definedName>
    <definedName name="ContentsME" localSheetId="8">#REF!</definedName>
    <definedName name="ContentsME" localSheetId="4">#REF!</definedName>
    <definedName name="ContentsME" localSheetId="2">#REF!</definedName>
    <definedName name="ContentsME">#REF!</definedName>
    <definedName name="ContentsPE">'[2]Equipment Req Plan'!$G:$G</definedName>
    <definedName name="cost383562" localSheetId="8">#REF!</definedName>
    <definedName name="cost383562" localSheetId="4">#REF!</definedName>
    <definedName name="cost383562" localSheetId="2">#REF!</definedName>
    <definedName name="cost383562">#REF!</definedName>
    <definedName name="fjdsk" localSheetId="8" hidden="1">{#N/A,#N/A,FALSE,"Bare Battery F.G."}</definedName>
    <definedName name="fjdsk" localSheetId="4" hidden="1">{#N/A,#N/A,FALSE,"Bare Battery F.G."}</definedName>
    <definedName name="fjdsk" hidden="1">{#N/A,#N/A,FALSE,"Bare Battery F.G."}</definedName>
    <definedName name="FUSE焊接" localSheetId="8" hidden="1">{#N/A,#N/A,FALSE,"Bare Battery F.G."}</definedName>
    <definedName name="FUSE焊接" localSheetId="4" hidden="1">{#N/A,#N/A,FALSE,"Bare Battery F.G."}</definedName>
    <definedName name="FUSE焊接" hidden="1">{#N/A,#N/A,FALSE,"Bare Battery F.G."}</definedName>
    <definedName name="LAYOUT" localSheetId="8" hidden="1">{#N/A,#N/A,FALSE,"Bare Battery F.G."}</definedName>
    <definedName name="LAYOUT" localSheetId="4" hidden="1">{#N/A,#N/A,FALSE,"Bare Battery F.G."}</definedName>
    <definedName name="LAYOUT" hidden="1">{#N/A,#N/A,FALSE,"Bare Battery F.G."}</definedName>
    <definedName name="MonthLineIE" localSheetId="8">#REF!</definedName>
    <definedName name="MonthLineIE" localSheetId="4">#REF!</definedName>
    <definedName name="MonthLineIE" localSheetId="2">#REF!</definedName>
    <definedName name="MonthLineIE">#REF!</definedName>
    <definedName name="MonthLineME" localSheetId="8">#REF!</definedName>
    <definedName name="MonthLineME" localSheetId="4">#REF!</definedName>
    <definedName name="MonthLineME" localSheetId="2">#REF!</definedName>
    <definedName name="MonthLineME">#REF!</definedName>
    <definedName name="MonthLinePE">'[2]Equipment Req Plan'!$N:$N</definedName>
    <definedName name="N" localSheetId="8" hidden="1">{#N/A,#N/A,FALSE,"Bare Battery F.G."}</definedName>
    <definedName name="N" localSheetId="4" hidden="1">{#N/A,#N/A,FALSE,"Bare Battery F.G."}</definedName>
    <definedName name="N" hidden="1">{#N/A,#N/A,FALSE,"Bare Battery F.G."}</definedName>
    <definedName name="NI" localSheetId="8" hidden="1">{#N/A,#N/A,FALSE,"Bare Battery F.G."}</definedName>
    <definedName name="NI" localSheetId="4" hidden="1">{#N/A,#N/A,FALSE,"Bare Battery F.G."}</definedName>
    <definedName name="NI" hidden="1">{#N/A,#N/A,FALSE,"Bare Battery F.G."}</definedName>
    <definedName name="opt">[3]Sheet2!$C$2:$C$529</definedName>
    <definedName name="OwnerIE" localSheetId="8">#REF!</definedName>
    <definedName name="OwnerIE" localSheetId="4">#REF!</definedName>
    <definedName name="OwnerIE" localSheetId="2">#REF!</definedName>
    <definedName name="OwnerIE">#REF!</definedName>
    <definedName name="OwnerME" localSheetId="8">#REF!</definedName>
    <definedName name="OwnerME" localSheetId="4">#REF!</definedName>
    <definedName name="OwnerME" localSheetId="2">#REF!</definedName>
    <definedName name="OwnerME">#REF!</definedName>
    <definedName name="OwnerPE">'[2]Equipment Req Plan'!$J:$J</definedName>
    <definedName name="_xlnm.Print_Area" localSheetId="0">' 修订履历'!$B$1:$J$20</definedName>
    <definedName name="_xlnm.Print_Area" localSheetId="7">备用100L!$A$1:$M$21</definedName>
    <definedName name="_xlnm.Print_Area" localSheetId="6">备用200L!$A$1:$M$21</definedName>
    <definedName name="_xlnm.Print_Area" localSheetId="2">附图、附表!$B$2:$O$19</definedName>
    <definedName name="_xlnm.Print_Area" localSheetId="1">正极合浆工序控制计划!$B$2:$Q$32</definedName>
    <definedName name="_xlnm.Print_Titles" localSheetId="1">正极合浆工序控制计划!$6:$8</definedName>
    <definedName name="PROJECTCODE" localSheetId="8">#REF!</definedName>
    <definedName name="PROJECTCODE" localSheetId="4">#REF!</definedName>
    <definedName name="PROJECTCODE" localSheetId="2">#REF!</definedName>
    <definedName name="PROJECTCODE">#REF!</definedName>
    <definedName name="ProjectType" localSheetId="8">#REF!</definedName>
    <definedName name="ProjectType" localSheetId="4">#REF!</definedName>
    <definedName name="ProjectType" localSheetId="2">#REF!</definedName>
    <definedName name="ProjectType">#REF!</definedName>
    <definedName name="sdd" localSheetId="8" hidden="1">{#N/A,#N/A,FALSE,"Bare Battery F.G."}</definedName>
    <definedName name="sdd" localSheetId="4" hidden="1">{#N/A,#N/A,FALSE,"Bare Battery F.G."}</definedName>
    <definedName name="sdd" hidden="1">{#N/A,#N/A,FALSE,"Bare Battery F.G."}</definedName>
    <definedName name="SHO" localSheetId="8" hidden="1">{#N/A,#N/A,FALSE,"Bare Battery F.G."}</definedName>
    <definedName name="SHO" localSheetId="4" hidden="1">{#N/A,#N/A,FALSE,"Bare Battery F.G."}</definedName>
    <definedName name="SHO" hidden="1">{#N/A,#N/A,FALSE,"Bare Battery F.G."}</definedName>
    <definedName name="SHORT" localSheetId="8" hidden="1">{#N/A,#N/A,FALSE,"Bare Battery F.G."}</definedName>
    <definedName name="SHORT" localSheetId="4" hidden="1">{#N/A,#N/A,FALSE,"Bare Battery F.G."}</definedName>
    <definedName name="SHORT" hidden="1">{#N/A,#N/A,FALSE,"Bare Battery F.G."}</definedName>
    <definedName name="SK">#N/A</definedName>
    <definedName name="StatusIE" localSheetId="8">#REF!</definedName>
    <definedName name="StatusIE" localSheetId="4">#REF!</definedName>
    <definedName name="StatusIE" localSheetId="2">#REF!</definedName>
    <definedName name="StatusIE">#REF!</definedName>
    <definedName name="StatusME" localSheetId="8">#REF!</definedName>
    <definedName name="StatusME" localSheetId="4">#REF!</definedName>
    <definedName name="StatusME" localSheetId="2">#REF!</definedName>
    <definedName name="StatusME">#REF!</definedName>
    <definedName name="StatusPE">'[2]Equipment Req Plan'!$M:$M</definedName>
    <definedName name="TimeLineIE" localSheetId="8">#REF!</definedName>
    <definedName name="TimeLineIE" localSheetId="4">#REF!</definedName>
    <definedName name="TimeLineIE" localSheetId="2">#REF!</definedName>
    <definedName name="TimeLineIE">#REF!</definedName>
    <definedName name="TimeLineME" localSheetId="8">#REF!</definedName>
    <definedName name="TimeLineME" localSheetId="4">#REF!</definedName>
    <definedName name="TimeLineME" localSheetId="2">#REF!</definedName>
    <definedName name="TimeLineME">#REF!</definedName>
    <definedName name="TimeLinePE">'[2]Equipment Req Plan'!$K:$K</definedName>
    <definedName name="welding" localSheetId="8" hidden="1">{#N/A,#N/A,FALSE,"Bare Battery F.G."}</definedName>
    <definedName name="welding" localSheetId="4" hidden="1">{#N/A,#N/A,FALSE,"Bare Battery F.G."}</definedName>
    <definedName name="welding" hidden="1">{#N/A,#N/A,FALSE,"Bare Battery F.G."}</definedName>
    <definedName name="wrn.report." localSheetId="8" hidden="1">{#N/A,#N/A,FALSE,"Bare Battery F.G."}</definedName>
    <definedName name="wrn.report." localSheetId="4" hidden="1">{#N/A,#N/A,FALSE,"Bare Battery F.G."}</definedName>
    <definedName name="wrn.report." hidden="1">{#N/A,#N/A,FALSE,"Bare Battery F.G."}</definedName>
    <definedName name="超声波焊接" localSheetId="8" hidden="1">{#N/A,#N/A,FALSE,"Bare Battery F.G."}</definedName>
    <definedName name="超声波焊接" localSheetId="4" hidden="1">{#N/A,#N/A,FALSE,"Bare Battery F.G."}</definedName>
    <definedName name="超声波焊接" hidden="1">{#N/A,#N/A,FALSE,"Bare Battery F.G."}</definedName>
    <definedName name="焊接" localSheetId="8" hidden="1">{#N/A,#N/A,FALSE,"Bare Battery F.G."}</definedName>
    <definedName name="焊接" localSheetId="4" hidden="1">{#N/A,#N/A,FALSE,"Bare Battery F.G."}</definedName>
    <definedName name="焊接" hidden="1">{#N/A,#N/A,FALSE,"Bare Battery F.G."}</definedName>
    <definedName name="核算项目" localSheetId="8">#REF!</definedName>
    <definedName name="核算项目" localSheetId="4">#REF!</definedName>
    <definedName name="核算项目" localSheetId="2">#REF!</definedName>
    <definedName name="核算项目">#REF!</definedName>
    <definedName name="汇率" localSheetId="8">#REF!</definedName>
    <definedName name="汇率" localSheetId="4">#REF!</definedName>
    <definedName name="汇率" localSheetId="2">#REF!</definedName>
    <definedName name="汇率">#REF!</definedName>
    <definedName name="科目" localSheetId="8">#REF!</definedName>
    <definedName name="科目" localSheetId="4">#REF!</definedName>
    <definedName name="科目" localSheetId="2">#REF!</definedName>
    <definedName name="科目">#REF!</definedName>
    <definedName name="生产列1" localSheetId="8">#REF!</definedName>
    <definedName name="生产列1" localSheetId="4">#REF!</definedName>
    <definedName name="生产列1" localSheetId="2">#REF!</definedName>
    <definedName name="生产列1">#REF!</definedName>
    <definedName name="生产列11" localSheetId="8">#REF!</definedName>
    <definedName name="生产列11" localSheetId="4">#REF!</definedName>
    <definedName name="生产列11" localSheetId="2">#REF!</definedName>
    <definedName name="生产列11">#REF!</definedName>
    <definedName name="生产列15" localSheetId="8">#REF!</definedName>
    <definedName name="生产列15" localSheetId="4">#REF!</definedName>
    <definedName name="生产列15" localSheetId="2">#REF!</definedName>
    <definedName name="生产列15">#REF!</definedName>
    <definedName name="生产列16" localSheetId="8">#REF!</definedName>
    <definedName name="生产列16" localSheetId="4">#REF!</definedName>
    <definedName name="生产列16" localSheetId="2">#REF!</definedName>
    <definedName name="生产列16">#REF!</definedName>
    <definedName name="生产列17" localSheetId="8">#REF!</definedName>
    <definedName name="生产列17" localSheetId="4">#REF!</definedName>
    <definedName name="生产列17" localSheetId="2">#REF!</definedName>
    <definedName name="生产列17">#REF!</definedName>
    <definedName name="生产列19" localSheetId="8">#REF!</definedName>
    <definedName name="生产列19" localSheetId="4">#REF!</definedName>
    <definedName name="生产列19" localSheetId="2">#REF!</definedName>
    <definedName name="生产列19">#REF!</definedName>
    <definedName name="生产列2" localSheetId="8">#REF!</definedName>
    <definedName name="生产列2" localSheetId="4">#REF!</definedName>
    <definedName name="生产列2" localSheetId="2">#REF!</definedName>
    <definedName name="生产列2">#REF!</definedName>
    <definedName name="生产列20" localSheetId="8">#REF!</definedName>
    <definedName name="生产列20" localSheetId="4">#REF!</definedName>
    <definedName name="生产列20" localSheetId="2">#REF!</definedName>
    <definedName name="生产列20">#REF!</definedName>
    <definedName name="生产列3" localSheetId="8">#REF!</definedName>
    <definedName name="生产列3" localSheetId="4">#REF!</definedName>
    <definedName name="生产列3" localSheetId="2">#REF!</definedName>
    <definedName name="生产列3">#REF!</definedName>
    <definedName name="生产列4" localSheetId="8">#REF!</definedName>
    <definedName name="生产列4" localSheetId="4">#REF!</definedName>
    <definedName name="生产列4" localSheetId="2">#REF!</definedName>
    <definedName name="生产列4">#REF!</definedName>
    <definedName name="生产列5" localSheetId="8">#REF!</definedName>
    <definedName name="生产列5" localSheetId="4">#REF!</definedName>
    <definedName name="生产列5" localSheetId="2">#REF!</definedName>
    <definedName name="生产列5">#REF!</definedName>
    <definedName name="生产列6" localSheetId="8">#REF!</definedName>
    <definedName name="生产列6" localSheetId="4">#REF!</definedName>
    <definedName name="生产列6" localSheetId="2">#REF!</definedName>
    <definedName name="生产列6">#REF!</definedName>
    <definedName name="生产列7" localSheetId="8">#REF!</definedName>
    <definedName name="生产列7" localSheetId="4">#REF!</definedName>
    <definedName name="生产列7" localSheetId="2">#REF!</definedName>
    <definedName name="生产列7">#REF!</definedName>
    <definedName name="生产列8" localSheetId="8">#REF!</definedName>
    <definedName name="生产列8" localSheetId="4">#REF!</definedName>
    <definedName name="生产列8" localSheetId="2">#REF!</definedName>
    <definedName name="生产列8">#REF!</definedName>
    <definedName name="生产列9" localSheetId="8">#REF!</definedName>
    <definedName name="生产列9" localSheetId="4">#REF!</definedName>
    <definedName name="生产列9" localSheetId="2">#REF!</definedName>
    <definedName name="生产列9">#REF!</definedName>
    <definedName name="生产期" localSheetId="8">#REF!</definedName>
    <definedName name="生产期" localSheetId="4">#REF!</definedName>
    <definedName name="生产期" localSheetId="2">#REF!</definedName>
    <definedName name="生产期">#REF!</definedName>
    <definedName name="生产期1" localSheetId="8">#REF!</definedName>
    <definedName name="生产期1" localSheetId="4">#REF!</definedName>
    <definedName name="生产期1" localSheetId="2">#REF!</definedName>
    <definedName name="生产期1">#REF!</definedName>
    <definedName name="生产期11" localSheetId="8">#REF!</definedName>
    <definedName name="生产期11" localSheetId="4">#REF!</definedName>
    <definedName name="生产期11" localSheetId="2">#REF!</definedName>
    <definedName name="生产期11">#REF!</definedName>
    <definedName name="生产期15" localSheetId="8">#REF!</definedName>
    <definedName name="生产期15" localSheetId="4">#REF!</definedName>
    <definedName name="生产期15" localSheetId="2">#REF!</definedName>
    <definedName name="生产期15">#REF!</definedName>
    <definedName name="生产期16" localSheetId="8">#REF!</definedName>
    <definedName name="生产期16" localSheetId="4">#REF!</definedName>
    <definedName name="生产期16" localSheetId="2">#REF!</definedName>
    <definedName name="生产期16">#REF!</definedName>
    <definedName name="生产期17" localSheetId="8">#REF!</definedName>
    <definedName name="生产期17" localSheetId="4">#REF!</definedName>
    <definedName name="生产期17" localSheetId="2">#REF!</definedName>
    <definedName name="生产期17">#REF!</definedName>
    <definedName name="生产期19" localSheetId="8">#REF!</definedName>
    <definedName name="生产期19" localSheetId="4">#REF!</definedName>
    <definedName name="生产期19" localSheetId="2">#REF!</definedName>
    <definedName name="生产期19">#REF!</definedName>
    <definedName name="生产期2" localSheetId="8">#REF!</definedName>
    <definedName name="生产期2" localSheetId="4">#REF!</definedName>
    <definedName name="生产期2" localSheetId="2">#REF!</definedName>
    <definedName name="生产期2">#REF!</definedName>
    <definedName name="生产期20" localSheetId="8">#REF!</definedName>
    <definedName name="生产期20" localSheetId="4">#REF!</definedName>
    <definedName name="生产期20" localSheetId="2">#REF!</definedName>
    <definedName name="生产期20">#REF!</definedName>
    <definedName name="生产期3" localSheetId="8">#REF!</definedName>
    <definedName name="生产期3" localSheetId="4">#REF!</definedName>
    <definedName name="生产期3" localSheetId="2">#REF!</definedName>
    <definedName name="生产期3">#REF!</definedName>
    <definedName name="生产期4" localSheetId="8">#REF!</definedName>
    <definedName name="生产期4" localSheetId="4">#REF!</definedName>
    <definedName name="生产期4" localSheetId="2">#REF!</definedName>
    <definedName name="生产期4">#REF!</definedName>
    <definedName name="生产期5" localSheetId="8">#REF!</definedName>
    <definedName name="生产期5" localSheetId="4">#REF!</definedName>
    <definedName name="生产期5" localSheetId="2">#REF!</definedName>
    <definedName name="生产期5">#REF!</definedName>
    <definedName name="生产期6" localSheetId="8">#REF!</definedName>
    <definedName name="生产期6" localSheetId="4">#REF!</definedName>
    <definedName name="生产期6" localSheetId="2">#REF!</definedName>
    <definedName name="生产期6">#REF!</definedName>
    <definedName name="生产期7" localSheetId="8">#REF!</definedName>
    <definedName name="生产期7" localSheetId="4">#REF!</definedName>
    <definedName name="生产期7" localSheetId="2">#REF!</definedName>
    <definedName name="生产期7">#REF!</definedName>
    <definedName name="生产期8" localSheetId="8">#REF!</definedName>
    <definedName name="生产期8" localSheetId="4">#REF!</definedName>
    <definedName name="生产期8" localSheetId="2">#REF!</definedName>
    <definedName name="生产期8">#REF!</definedName>
    <definedName name="生产期9" localSheetId="8">#REF!</definedName>
    <definedName name="生产期9" localSheetId="4">#REF!</definedName>
    <definedName name="生产期9" localSheetId="2">#REF!</definedName>
    <definedName name="生产期9">#REF!</definedName>
  </definedNames>
  <calcPr calcId="162913"/>
</workbook>
</file>

<file path=xl/calcChain.xml><?xml version="1.0" encoding="utf-8"?>
<calcChain xmlns="http://schemas.openxmlformats.org/spreadsheetml/2006/main">
  <c r="P13" i="48" l="1"/>
  <c r="R7" i="48" s="1"/>
  <c r="D18" i="48"/>
  <c r="F17" i="48"/>
  <c r="F16" i="48"/>
  <c r="D16" i="48"/>
  <c r="F15" i="48"/>
  <c r="F12" i="48"/>
  <c r="D11" i="48"/>
  <c r="F10" i="48"/>
  <c r="D10" i="48"/>
  <c r="F9" i="48"/>
  <c r="D8" i="48"/>
  <c r="H4" i="48"/>
  <c r="E4" i="48"/>
  <c r="H2" i="48"/>
  <c r="D2" i="48"/>
  <c r="D9" i="48" s="1"/>
  <c r="C2" i="48"/>
  <c r="D18" i="49"/>
  <c r="F17" i="49"/>
  <c r="F16" i="49"/>
  <c r="D16" i="49"/>
  <c r="F15" i="49"/>
  <c r="P13" i="49"/>
  <c r="R7" i="49" s="1"/>
  <c r="F12" i="49"/>
  <c r="D11" i="49"/>
  <c r="F10" i="49"/>
  <c r="D10" i="49"/>
  <c r="F9" i="49"/>
  <c r="D8" i="49"/>
  <c r="H4" i="49"/>
  <c r="E4" i="49"/>
  <c r="H2" i="49"/>
  <c r="D2" i="49"/>
  <c r="D9" i="49" s="1"/>
  <c r="C2" i="49"/>
  <c r="D18" i="46"/>
  <c r="F17" i="46"/>
  <c r="F16" i="46"/>
  <c r="D16" i="46"/>
  <c r="F15" i="46"/>
  <c r="P13" i="46"/>
  <c r="R7" i="46" s="1"/>
  <c r="F12" i="46"/>
  <c r="D11" i="46"/>
  <c r="F10" i="46"/>
  <c r="D10" i="46"/>
  <c r="F9" i="46"/>
  <c r="M8" i="46"/>
  <c r="F8" i="46"/>
  <c r="D8" i="46"/>
  <c r="G4" i="46"/>
  <c r="E4" i="46"/>
  <c r="G2" i="46"/>
  <c r="D2" i="46"/>
  <c r="D9" i="46" s="1"/>
  <c r="C2" i="46"/>
  <c r="T7" i="48" l="1"/>
  <c r="S7" i="48"/>
  <c r="R8" i="48"/>
  <c r="T7" i="49"/>
  <c r="S7" i="49"/>
  <c r="R8" i="49"/>
  <c r="T7" i="46"/>
  <c r="S7" i="46"/>
  <c r="R8" i="46"/>
  <c r="R9" i="48" l="1"/>
  <c r="T8" i="48"/>
  <c r="S8" i="48"/>
  <c r="U7" i="48"/>
  <c r="E11" i="48"/>
  <c r="U7" i="49"/>
  <c r="E11" i="49"/>
  <c r="R9" i="49"/>
  <c r="T8" i="49"/>
  <c r="S8" i="49"/>
  <c r="R9" i="46"/>
  <c r="T8" i="46"/>
  <c r="S8" i="46"/>
  <c r="E11" i="46"/>
  <c r="F11" i="46" s="1"/>
  <c r="U7" i="46"/>
  <c r="F11" i="48" l="1"/>
  <c r="E8" i="48"/>
  <c r="E9" i="48"/>
  <c r="U8" i="48"/>
  <c r="S9" i="48"/>
  <c r="T9" i="48" s="1"/>
  <c r="R10" i="48"/>
  <c r="S9" i="49"/>
  <c r="T9" i="49" s="1"/>
  <c r="R10" i="49"/>
  <c r="F11" i="49"/>
  <c r="E8" i="49"/>
  <c r="E9" i="49"/>
  <c r="U8" i="49"/>
  <c r="U8" i="46"/>
  <c r="E9" i="46"/>
  <c r="S9" i="46"/>
  <c r="T9" i="46" s="1"/>
  <c r="R10" i="46"/>
  <c r="R12" i="48" l="1"/>
  <c r="S12" i="48" s="1"/>
  <c r="T12" i="48" s="1"/>
  <c r="S10" i="48"/>
  <c r="T10" i="48" s="1"/>
  <c r="U9" i="48"/>
  <c r="E18" i="48"/>
  <c r="F18" i="48" s="1"/>
  <c r="M9" i="48"/>
  <c r="M8" i="48"/>
  <c r="F8" i="48"/>
  <c r="R12" i="49"/>
  <c r="S12" i="49" s="1"/>
  <c r="T12" i="49" s="1"/>
  <c r="S10" i="49"/>
  <c r="T10" i="49" s="1"/>
  <c r="U9" i="49"/>
  <c r="E18" i="49"/>
  <c r="F18" i="49" s="1"/>
  <c r="M9" i="49"/>
  <c r="F8" i="49"/>
  <c r="M8" i="49"/>
  <c r="R12" i="46"/>
  <c r="S12" i="46" s="1"/>
  <c r="T12" i="46" s="1"/>
  <c r="S10" i="46"/>
  <c r="T10" i="46" s="1"/>
  <c r="U9" i="46"/>
  <c r="E18" i="46"/>
  <c r="F18" i="46" s="1"/>
  <c r="M9" i="46"/>
  <c r="U10" i="48" l="1"/>
  <c r="E10" i="48"/>
  <c r="E16" i="48"/>
  <c r="U12" i="48"/>
  <c r="U10" i="49"/>
  <c r="E10" i="49"/>
  <c r="E16" i="49"/>
  <c r="U12" i="49"/>
  <c r="U10" i="46"/>
  <c r="E10" i="46"/>
  <c r="E16" i="46"/>
  <c r="U12" i="46"/>
  <c r="M10" i="48" l="1"/>
  <c r="M18" i="48"/>
  <c r="M12" i="48"/>
  <c r="M13" i="48" s="1"/>
  <c r="M14" i="48" s="1"/>
  <c r="M17" i="48"/>
  <c r="M11" i="48"/>
  <c r="M16" i="48"/>
  <c r="M15" i="48"/>
  <c r="M10" i="49"/>
  <c r="M18" i="49"/>
  <c r="M17" i="49"/>
  <c r="M11" i="49"/>
  <c r="M16" i="49"/>
  <c r="M12" i="49"/>
  <c r="M13" i="49" s="1"/>
  <c r="M14" i="49" s="1"/>
  <c r="M15" i="49"/>
  <c r="M18" i="46"/>
  <c r="M12" i="46"/>
  <c r="M13" i="46" s="1"/>
  <c r="M14" i="46" s="1"/>
  <c r="M17" i="46"/>
  <c r="M15" i="46"/>
  <c r="M11" i="46"/>
  <c r="M10" i="46"/>
  <c r="M16" i="46"/>
  <c r="J1" i="48" l="1"/>
  <c r="G1" i="48"/>
  <c r="J1" i="49"/>
  <c r="G1" i="49"/>
  <c r="J1" i="46"/>
  <c r="G1" i="46"/>
  <c r="X22" i="45" l="1"/>
  <c r="Y22" i="45"/>
  <c r="Y21" i="45"/>
  <c r="X20" i="45"/>
  <c r="AF20" i="45"/>
  <c r="W20" i="45"/>
  <c r="Y19" i="45"/>
  <c r="Y15" i="45"/>
  <c r="X14" i="45"/>
  <c r="Y14" i="45"/>
  <c r="W14" i="45"/>
  <c r="X13" i="45"/>
  <c r="Y13" i="45"/>
  <c r="W13" i="45"/>
  <c r="X12" i="45"/>
  <c r="AF13" i="45"/>
  <c r="W12" i="45"/>
  <c r="X11" i="45"/>
  <c r="AF22" i="45"/>
  <c r="W11" i="45"/>
  <c r="AF15" i="45"/>
  <c r="Y11" i="45"/>
  <c r="AF11" i="45"/>
  <c r="Y12" i="45"/>
  <c r="AF19" i="45"/>
  <c r="AF12" i="45"/>
  <c r="Y20" i="45"/>
  <c r="AF21" i="45"/>
  <c r="AF14" i="45"/>
  <c r="AF18" i="45"/>
  <c r="AF16" i="45"/>
  <c r="AF17" i="45"/>
  <c r="Q12" i="45"/>
  <c r="E10" i="45"/>
  <c r="E7" i="45"/>
  <c r="E6" i="45"/>
  <c r="C6" i="45"/>
  <c r="C5" i="45"/>
  <c r="D4" i="45"/>
  <c r="C4" i="45"/>
  <c r="U3" i="45"/>
  <c r="S3" i="45"/>
  <c r="T3" i="45"/>
  <c r="L3" i="45"/>
  <c r="E3" i="45"/>
  <c r="C3" i="45"/>
  <c r="T2" i="45"/>
  <c r="S2" i="45"/>
  <c r="U2" i="45"/>
  <c r="V2" i="45"/>
  <c r="O12" i="42"/>
  <c r="Q2" i="42"/>
  <c r="E10" i="42"/>
  <c r="C9" i="42"/>
  <c r="E7" i="42"/>
  <c r="C6" i="42"/>
  <c r="C5" i="42"/>
  <c r="C4" i="42"/>
  <c r="C3" i="42"/>
  <c r="S2" i="42"/>
  <c r="R2" i="42"/>
  <c r="Q3" i="42"/>
  <c r="V3" i="45"/>
  <c r="E4" i="45"/>
  <c r="L4" i="45"/>
  <c r="S4" i="45"/>
  <c r="T4" i="45"/>
  <c r="U4" i="45"/>
  <c r="S5" i="45"/>
  <c r="S3" i="42"/>
  <c r="R3" i="42"/>
  <c r="Q4" i="42"/>
  <c r="D3" i="42"/>
  <c r="D6" i="42"/>
  <c r="E6" i="42"/>
  <c r="T2" i="42"/>
  <c r="T5" i="45"/>
  <c r="U5" i="45"/>
  <c r="S6" i="45"/>
  <c r="T6" i="45"/>
  <c r="U6" i="45"/>
  <c r="D9" i="45"/>
  <c r="V4" i="45"/>
  <c r="D11" i="45"/>
  <c r="E11" i="45"/>
  <c r="L3" i="42"/>
  <c r="E3" i="42"/>
  <c r="R4" i="42"/>
  <c r="S4" i="42"/>
  <c r="Q5" i="42"/>
  <c r="D4" i="42"/>
  <c r="T3" i="42"/>
  <c r="E4" i="42"/>
  <c r="R5" i="42"/>
  <c r="S5" i="42"/>
  <c r="Q6" i="42"/>
  <c r="R6" i="42"/>
  <c r="S6" i="42"/>
  <c r="D9" i="42"/>
  <c r="D11" i="42"/>
  <c r="E11" i="42"/>
  <c r="T4" i="42"/>
  <c r="L4" i="42"/>
  <c r="L9" i="45"/>
  <c r="E9" i="45"/>
  <c r="V5" i="45"/>
  <c r="D5" i="45"/>
  <c r="T5" i="42"/>
  <c r="D5" i="42"/>
  <c r="L9" i="42"/>
  <c r="E9" i="42"/>
  <c r="E5" i="45"/>
  <c r="L6" i="45"/>
  <c r="L5" i="45"/>
  <c r="L10" i="45"/>
  <c r="L7" i="45"/>
  <c r="L8" i="45"/>
  <c r="L11" i="45"/>
  <c r="E5" i="42"/>
  <c r="L11" i="42"/>
  <c r="L7" i="42"/>
  <c r="L8" i="42"/>
  <c r="L5" i="42"/>
  <c r="L6" i="42"/>
  <c r="L10" i="42"/>
</calcChain>
</file>

<file path=xl/comments1.xml><?xml version="1.0" encoding="utf-8"?>
<comments xmlns="http://schemas.openxmlformats.org/spreadsheetml/2006/main">
  <authors>
    <author>ZhangRong张荣</author>
  </authors>
  <commentList>
    <comment ref="K14" authorId="0" shapeId="0">
      <text>
        <r>
          <rPr>
            <b/>
            <sz val="9"/>
            <color indexed="81"/>
            <rFont val="宋体"/>
            <family val="3"/>
            <charset val="134"/>
          </rPr>
          <t>ZhangRong张荣:</t>
        </r>
        <r>
          <rPr>
            <sz val="9"/>
            <color indexed="81"/>
            <rFont val="宋体"/>
            <family val="3"/>
            <charset val="134"/>
          </rPr>
          <t xml:space="preserve">
质量检测</t>
        </r>
      </text>
    </comment>
    <comment ref="L14" authorId="0" shapeId="0">
      <text>
        <r>
          <rPr>
            <b/>
            <sz val="9"/>
            <color indexed="81"/>
            <rFont val="宋体"/>
            <family val="3"/>
            <charset val="134"/>
          </rPr>
          <t>ZhangRong张荣:</t>
        </r>
        <r>
          <rPr>
            <sz val="9"/>
            <color indexed="81"/>
            <rFont val="宋体"/>
            <family val="3"/>
            <charset val="134"/>
          </rPr>
          <t xml:space="preserve">
质量检测</t>
        </r>
      </text>
    </comment>
  </commentList>
</comments>
</file>

<file path=xl/sharedStrings.xml><?xml version="1.0" encoding="utf-8"?>
<sst xmlns="http://schemas.openxmlformats.org/spreadsheetml/2006/main" count="1125" uniqueCount="420">
  <si>
    <t>正极合浆工序控制计划</t>
  </si>
  <si>
    <t>生效日期</t>
  </si>
  <si>
    <t>有效日期</t>
  </si>
  <si>
    <t>至下次变更之前</t>
  </si>
  <si>
    <r>
      <rPr>
        <b/>
        <sz val="16"/>
        <rFont val="Times New Roman"/>
        <family val="1"/>
      </rPr>
      <t xml:space="preserve"> </t>
    </r>
    <r>
      <rPr>
        <b/>
        <sz val="16"/>
        <rFont val="宋体"/>
        <family val="3"/>
        <charset val="134"/>
      </rPr>
      <t>修订履历</t>
    </r>
  </si>
  <si>
    <r>
      <rPr>
        <sz val="12"/>
        <rFont val="宋体"/>
        <family val="3"/>
        <charset val="134"/>
      </rPr>
      <t>序号</t>
    </r>
  </si>
  <si>
    <r>
      <rPr>
        <sz val="12"/>
        <rFont val="宋体"/>
        <family val="3"/>
        <charset val="134"/>
      </rPr>
      <t>版本</t>
    </r>
  </si>
  <si>
    <r>
      <rPr>
        <sz val="12"/>
        <rFont val="宋体"/>
        <family val="3"/>
        <charset val="134"/>
      </rPr>
      <t>变更内容</t>
    </r>
  </si>
  <si>
    <r>
      <rPr>
        <sz val="12"/>
        <rFont val="宋体"/>
        <family val="3"/>
        <charset val="134"/>
      </rPr>
      <t>修订人</t>
    </r>
  </si>
  <si>
    <r>
      <rPr>
        <sz val="12"/>
        <rFont val="宋体"/>
        <family val="3"/>
        <charset val="134"/>
      </rPr>
      <t>修订日期</t>
    </r>
  </si>
  <si>
    <t>文件发放</t>
  </si>
  <si>
    <t>序号</t>
  </si>
  <si>
    <t>发放部门</t>
  </si>
  <si>
    <r>
      <rPr>
        <sz val="12"/>
        <rFont val="宋体"/>
        <family val="3"/>
        <charset val="134"/>
      </rPr>
      <t>发放产线</t>
    </r>
    <r>
      <rPr>
        <sz val="12"/>
        <rFont val="Times New Roman"/>
        <family val="1"/>
      </rPr>
      <t>/</t>
    </r>
    <r>
      <rPr>
        <sz val="12"/>
        <rFont val="宋体"/>
        <family val="3"/>
        <charset val="134"/>
      </rPr>
      <t>室</t>
    </r>
  </si>
  <si>
    <t>发放工位</t>
  </si>
  <si>
    <t>正极合浆工序控制计划
Control Plan of  Cathode Mixing</t>
  </si>
  <si>
    <r>
      <rPr>
        <b/>
        <sz val="10"/>
        <color theme="1"/>
        <rFont val="宋体"/>
        <family val="3"/>
        <charset val="134"/>
      </rPr>
      <t xml:space="preserve">型号
</t>
    </r>
    <r>
      <rPr>
        <b/>
        <sz val="10"/>
        <color theme="1"/>
        <rFont val="Times New Roman"/>
        <family val="1"/>
      </rPr>
      <t>Model</t>
    </r>
  </si>
  <si>
    <r>
      <rPr>
        <b/>
        <sz val="10"/>
        <color theme="1"/>
        <rFont val="宋体"/>
        <family val="3"/>
        <charset val="134"/>
      </rPr>
      <t xml:space="preserve">文件代号
</t>
    </r>
    <r>
      <rPr>
        <b/>
        <sz val="10"/>
        <color theme="1"/>
        <rFont val="Times New Roman"/>
        <family val="1"/>
      </rPr>
      <t>File NO.</t>
    </r>
  </si>
  <si>
    <r>
      <rPr>
        <b/>
        <sz val="10"/>
        <color theme="1"/>
        <rFont val="宋体"/>
        <family val="3"/>
        <charset val="134"/>
      </rPr>
      <t xml:space="preserve">工序名称
</t>
    </r>
    <r>
      <rPr>
        <b/>
        <sz val="10"/>
        <color theme="1"/>
        <rFont val="Times New Roman"/>
        <family val="1"/>
      </rPr>
      <t>Process Name</t>
    </r>
  </si>
  <si>
    <t>正极合浆</t>
  </si>
  <si>
    <r>
      <rPr>
        <b/>
        <sz val="10"/>
        <color theme="1"/>
        <rFont val="宋体"/>
        <family val="3"/>
        <charset val="134"/>
      </rPr>
      <t xml:space="preserve">发行版次
</t>
    </r>
    <r>
      <rPr>
        <b/>
        <sz val="10"/>
        <color theme="1"/>
        <rFont val="Times New Roman"/>
        <family val="1"/>
      </rPr>
      <t>REV.</t>
    </r>
  </si>
  <si>
    <r>
      <rPr>
        <b/>
        <sz val="10"/>
        <color theme="1"/>
        <rFont val="宋体"/>
        <family val="3"/>
        <charset val="134"/>
      </rPr>
      <t xml:space="preserve">阶段
</t>
    </r>
    <r>
      <rPr>
        <b/>
        <sz val="10"/>
        <color theme="1"/>
        <rFont val="Times New Roman"/>
        <family val="1"/>
      </rPr>
      <t>Stage</t>
    </r>
  </si>
  <si>
    <r>
      <rPr>
        <b/>
        <sz val="10"/>
        <color theme="1"/>
        <rFont val="宋体"/>
        <family val="3"/>
        <charset val="134"/>
      </rPr>
      <t>适用厂区</t>
    </r>
    <r>
      <rPr>
        <b/>
        <sz val="10"/>
        <color theme="1"/>
        <rFont val="Times New Roman"/>
        <family val="1"/>
      </rPr>
      <t>/</t>
    </r>
    <r>
      <rPr>
        <b/>
        <sz val="10"/>
        <color theme="1"/>
        <rFont val="宋体"/>
        <family val="3"/>
        <charset val="134"/>
      </rPr>
      <t xml:space="preserve">产线
</t>
    </r>
    <r>
      <rPr>
        <b/>
        <sz val="10"/>
        <color theme="1"/>
        <rFont val="Times New Roman"/>
        <family val="1"/>
      </rPr>
      <t>Applicable Factory/Line</t>
    </r>
  </si>
  <si>
    <r>
      <rPr>
        <b/>
        <sz val="10"/>
        <color theme="1"/>
        <rFont val="宋体"/>
        <family val="3"/>
        <charset val="134"/>
      </rPr>
      <t xml:space="preserve">项目名称
</t>
    </r>
    <r>
      <rPr>
        <b/>
        <sz val="10"/>
        <color theme="1"/>
        <rFont val="Times New Roman"/>
        <family val="1"/>
      </rPr>
      <t xml:space="preserve">Project </t>
    </r>
  </si>
  <si>
    <r>
      <rPr>
        <b/>
        <sz val="10"/>
        <color theme="1"/>
        <rFont val="宋体"/>
        <family val="3"/>
        <charset val="134"/>
      </rPr>
      <t xml:space="preserve">项目编号
</t>
    </r>
    <r>
      <rPr>
        <b/>
        <sz val="10"/>
        <color theme="1"/>
        <rFont val="Times New Roman"/>
        <family val="1"/>
      </rPr>
      <t>Project NO.</t>
    </r>
  </si>
  <si>
    <r>
      <rPr>
        <b/>
        <sz val="10"/>
        <color theme="1"/>
        <rFont val="宋体"/>
        <family val="3"/>
        <charset val="134"/>
      </rPr>
      <t xml:space="preserve">研发经理
</t>
    </r>
    <r>
      <rPr>
        <b/>
        <sz val="10"/>
        <color theme="1"/>
        <rFont val="Times New Roman"/>
        <family val="1"/>
      </rPr>
      <t>Development Manager</t>
    </r>
  </si>
  <si>
    <t xml:space="preserve">客户名称
Customer </t>
  </si>
  <si>
    <t>/</t>
  </si>
  <si>
    <r>
      <rPr>
        <b/>
        <sz val="10"/>
        <color theme="1"/>
        <rFont val="宋体"/>
        <family val="3"/>
        <charset val="134"/>
      </rPr>
      <t>顾客批准</t>
    </r>
    <r>
      <rPr>
        <b/>
        <sz val="10"/>
        <color theme="1"/>
        <rFont val="Times New Roman"/>
        <family val="1"/>
      </rPr>
      <t>/</t>
    </r>
    <r>
      <rPr>
        <b/>
        <sz val="10"/>
        <color theme="1"/>
        <rFont val="宋体"/>
        <family val="3"/>
        <charset val="134"/>
      </rPr>
      <t xml:space="preserve">日期
</t>
    </r>
    <r>
      <rPr>
        <b/>
        <sz val="10"/>
        <color theme="1"/>
        <rFont val="Times New Roman"/>
        <family val="1"/>
      </rPr>
      <t>Customer Approval/Date</t>
    </r>
  </si>
  <si>
    <r>
      <rPr>
        <b/>
        <sz val="10"/>
        <rFont val="宋体"/>
        <family val="3"/>
        <charset val="134"/>
      </rPr>
      <t xml:space="preserve">过程编号
</t>
    </r>
    <r>
      <rPr>
        <b/>
        <sz val="10"/>
        <rFont val="Times New Roman"/>
        <family val="1"/>
      </rPr>
      <t>Process No.</t>
    </r>
  </si>
  <si>
    <r>
      <rPr>
        <b/>
        <sz val="10"/>
        <rFont val="宋体"/>
        <family val="3"/>
        <charset val="134"/>
      </rPr>
      <t xml:space="preserve">过程名称
</t>
    </r>
    <r>
      <rPr>
        <b/>
        <sz val="10"/>
        <rFont val="Times New Roman"/>
        <family val="1"/>
      </rPr>
      <t>Process</t>
    </r>
  </si>
  <si>
    <r>
      <rPr>
        <b/>
        <sz val="10"/>
        <rFont val="宋体"/>
        <family val="3"/>
        <charset val="134"/>
      </rPr>
      <t>生产设备</t>
    </r>
    <r>
      <rPr>
        <b/>
        <sz val="10"/>
        <rFont val="Times New Roman"/>
        <family val="1"/>
      </rPr>
      <t xml:space="preserve">
</t>
    </r>
    <r>
      <rPr>
        <b/>
        <sz val="10"/>
        <rFont val="宋体"/>
        <family val="3"/>
        <charset val="134"/>
      </rPr>
      <t xml:space="preserve">工装模具
</t>
    </r>
    <r>
      <rPr>
        <b/>
        <sz val="10"/>
        <rFont val="Times New Roman"/>
        <family val="1"/>
      </rPr>
      <t>Machine/Tooling/Jig</t>
    </r>
  </si>
  <si>
    <r>
      <rPr>
        <b/>
        <sz val="10"/>
        <rFont val="宋体"/>
        <family val="3"/>
        <charset val="134"/>
      </rPr>
      <t xml:space="preserve">特性
</t>
    </r>
    <r>
      <rPr>
        <b/>
        <sz val="10"/>
        <rFont val="Times New Roman"/>
        <family val="1"/>
      </rPr>
      <t>characteristics</t>
    </r>
  </si>
  <si>
    <r>
      <rPr>
        <b/>
        <sz val="10"/>
        <rFont val="宋体"/>
        <family val="3"/>
        <charset val="134"/>
      </rPr>
      <t xml:space="preserve">方法
</t>
    </r>
    <r>
      <rPr>
        <b/>
        <sz val="10"/>
        <rFont val="Times New Roman"/>
        <family val="1"/>
      </rPr>
      <t>Method</t>
    </r>
  </si>
  <si>
    <r>
      <rPr>
        <b/>
        <sz val="10"/>
        <rFont val="宋体"/>
        <family val="3"/>
        <charset val="134"/>
      </rPr>
      <t xml:space="preserve">反应计划
</t>
    </r>
    <r>
      <rPr>
        <b/>
        <sz val="10"/>
        <rFont val="Times New Roman"/>
        <family val="1"/>
      </rPr>
      <t xml:space="preserve">Reaction plan </t>
    </r>
  </si>
  <si>
    <r>
      <rPr>
        <b/>
        <sz val="10"/>
        <rFont val="宋体"/>
        <family val="3"/>
        <charset val="134"/>
      </rPr>
      <t xml:space="preserve">编号
</t>
    </r>
    <r>
      <rPr>
        <b/>
        <sz val="10"/>
        <rFont val="Times New Roman"/>
        <family val="1"/>
      </rPr>
      <t>No.</t>
    </r>
  </si>
  <si>
    <r>
      <rPr>
        <b/>
        <sz val="10"/>
        <rFont val="宋体"/>
        <family val="3"/>
        <charset val="134"/>
      </rPr>
      <t xml:space="preserve">产品
</t>
    </r>
    <r>
      <rPr>
        <b/>
        <sz val="10"/>
        <rFont val="Times New Roman"/>
        <family val="1"/>
      </rPr>
      <t>Products</t>
    </r>
  </si>
  <si>
    <r>
      <rPr>
        <b/>
        <sz val="10"/>
        <rFont val="宋体"/>
        <family val="3"/>
        <charset val="134"/>
      </rPr>
      <t xml:space="preserve">过程
</t>
    </r>
    <r>
      <rPr>
        <b/>
        <sz val="10"/>
        <rFont val="Times New Roman"/>
        <family val="1"/>
      </rPr>
      <t>Process</t>
    </r>
  </si>
  <si>
    <r>
      <rPr>
        <b/>
        <sz val="10"/>
        <rFont val="宋体"/>
        <family val="3"/>
        <charset val="134"/>
      </rPr>
      <t xml:space="preserve">特殊特性分类
</t>
    </r>
    <r>
      <rPr>
        <b/>
        <sz val="10"/>
        <rFont val="Times New Roman"/>
        <family val="1"/>
      </rPr>
      <t>Classification</t>
    </r>
  </si>
  <si>
    <r>
      <rPr>
        <b/>
        <sz val="10"/>
        <rFont val="宋体"/>
        <family val="3"/>
        <charset val="134"/>
      </rPr>
      <t>产品</t>
    </r>
    <r>
      <rPr>
        <b/>
        <sz val="10"/>
        <rFont val="Times New Roman"/>
        <family val="1"/>
      </rPr>
      <t>/</t>
    </r>
    <r>
      <rPr>
        <b/>
        <sz val="10"/>
        <rFont val="宋体"/>
        <family val="3"/>
        <charset val="134"/>
      </rPr>
      <t>过程产品</t>
    </r>
    <r>
      <rPr>
        <b/>
        <sz val="10"/>
        <rFont val="Times New Roman"/>
        <family val="1"/>
      </rPr>
      <t>/</t>
    </r>
    <r>
      <rPr>
        <b/>
        <sz val="10"/>
        <rFont val="宋体"/>
        <family val="3"/>
        <charset val="134"/>
      </rPr>
      <t>过程规范</t>
    </r>
    <r>
      <rPr>
        <b/>
        <sz val="10"/>
        <rFont val="Times New Roman"/>
        <family val="1"/>
      </rPr>
      <t>/</t>
    </r>
    <r>
      <rPr>
        <b/>
        <sz val="10"/>
        <rFont val="宋体"/>
        <family val="3"/>
        <charset val="134"/>
      </rPr>
      <t xml:space="preserve">公差
</t>
    </r>
    <r>
      <rPr>
        <b/>
        <sz val="10"/>
        <rFont val="Times New Roman"/>
        <family val="1"/>
      </rPr>
      <t>Specification/Tolerance</t>
    </r>
  </si>
  <si>
    <r>
      <rPr>
        <b/>
        <sz val="10"/>
        <rFont val="宋体"/>
        <family val="3"/>
        <charset val="134"/>
      </rPr>
      <t>评价</t>
    </r>
    <r>
      <rPr>
        <b/>
        <sz val="10"/>
        <rFont val="Times New Roman"/>
        <family val="1"/>
      </rPr>
      <t>/</t>
    </r>
    <r>
      <rPr>
        <b/>
        <sz val="10"/>
        <rFont val="宋体"/>
        <family val="3"/>
        <charset val="134"/>
      </rPr>
      <t xml:space="preserve">测量技术
</t>
    </r>
    <r>
      <rPr>
        <b/>
        <sz val="10"/>
        <rFont val="Times New Roman"/>
        <family val="1"/>
      </rPr>
      <t>Evaluation/Measurement</t>
    </r>
  </si>
  <si>
    <r>
      <rPr>
        <b/>
        <sz val="10"/>
        <rFont val="宋体"/>
        <family val="3"/>
        <charset val="134"/>
      </rPr>
      <t xml:space="preserve">控制方法
</t>
    </r>
    <r>
      <rPr>
        <b/>
        <sz val="10"/>
        <rFont val="Times New Roman"/>
        <family val="1"/>
      </rPr>
      <t>Control Method</t>
    </r>
  </si>
  <si>
    <t>OP300</t>
  </si>
  <si>
    <t>包装确认</t>
  </si>
  <si>
    <t>外包装</t>
  </si>
  <si>
    <t>无破损、泄漏</t>
  </si>
  <si>
    <t>目视外观</t>
  </si>
  <si>
    <t>物料转运确认1次，投料前确认1次</t>
  </si>
  <si>
    <t>每包/桶</t>
  </si>
  <si>
    <t>1、操作员工检查物料包装
2、质检确认物料包装</t>
  </si>
  <si>
    <t>1、隔离物料
2、人工确认包装破损则通知质检按照不合格品处理流程处理</t>
  </si>
  <si>
    <t>OP305</t>
  </si>
  <si>
    <t>物料确认</t>
  </si>
  <si>
    <t>种类</t>
  </si>
  <si>
    <t>见附表1</t>
  </si>
  <si>
    <t>目视标签</t>
  </si>
  <si>
    <t>1、操作员工点检物料，并记录
2、质检确认记录结果</t>
  </si>
  <si>
    <t>1、隔离物料
2、人工确认物料错误则通知配送更换物料</t>
  </si>
  <si>
    <t>OP310</t>
  </si>
  <si>
    <t>合浆工序环境控制</t>
  </si>
  <si>
    <t xml:space="preserve">温度 </t>
  </si>
  <si>
    <t>(23.0±5.0)℃</t>
  </si>
  <si>
    <t>温湿度计</t>
  </si>
  <si>
    <t>1次</t>
  </si>
  <si>
    <t>每4小时</t>
  </si>
  <si>
    <t>1、暂停生产；
2、通知动力运行调整空调系统，待环境恢复后启用；
3、对异常品进行追溯隔离，通知工程师</t>
  </si>
  <si>
    <t>湿度</t>
  </si>
  <si>
    <t>洁净度</t>
  </si>
  <si>
    <t>每班</t>
  </si>
  <si>
    <t>1、质检点检并记录
2、定期校准洁净度仪</t>
  </si>
  <si>
    <t>OP315</t>
  </si>
  <si>
    <t>搅拌机
（△）</t>
  </si>
  <si>
    <t>投料顺序</t>
  </si>
  <si>
    <t>过程记录</t>
  </si>
  <si>
    <t>每工步</t>
  </si>
  <si>
    <t>1、操作员工执行、记录
2、质检监督记录
3、班长检查并确认签字</t>
  </si>
  <si>
    <t>1、暂停生产
2、人工确认投料顺序错误则通知质检按照不合格品处理流程处理
3、再开机时进行作业准备验证</t>
  </si>
  <si>
    <t>投料量</t>
  </si>
  <si>
    <t>电子秤</t>
  </si>
  <si>
    <t>1、暂停生产
2、人工确认投料量错误则通知质检按照不合格品处理流程处理
3、再开机时进行作业准备验证</t>
  </si>
  <si>
    <t>转速</t>
  </si>
  <si>
    <t>转速传感器</t>
  </si>
  <si>
    <t>1、暂停生产
2、人工确认转速错误则通知质检按照不合格品处理流程处理
3、再开机时进行作业准备验证</t>
  </si>
  <si>
    <t>时间</t>
  </si>
  <si>
    <t>PLC控制程序</t>
  </si>
  <si>
    <t>1、暂停生产
2、人工确认时间错误则通知质检按照不合格品处理流程处理
3、再开机时进行作业准备验证</t>
  </si>
  <si>
    <t>真空度</t>
  </si>
  <si>
    <t>压力变送器</t>
  </si>
  <si>
    <t>1、通知工程师现场确认处理
2、再开机时进行作业准备验证</t>
  </si>
  <si>
    <t>每釜</t>
  </si>
  <si>
    <t>OP320</t>
  </si>
  <si>
    <t>正极浆料缓存</t>
  </si>
  <si>
    <t>浆料储存罐</t>
  </si>
  <si>
    <t>搅拌速度</t>
  </si>
  <si>
    <t>(10~25)rpm</t>
  </si>
  <si>
    <t>1、暂停生产
2、人工确认搅拌速度错误则通知质检按照不合格品处理流程处理
3、再开机时进行作业准备验证</t>
  </si>
  <si>
    <t>储存时间</t>
  </si>
  <si>
    <t>≤48h</t>
  </si>
  <si>
    <t>1、对浆料隔离
2、通知质检按照不合格品处理流程处理</t>
  </si>
  <si>
    <t>浆料粘度</t>
  </si>
  <si>
    <t>粘度计
(DV-2)</t>
  </si>
  <si>
    <t>1、合浆工步完成后，出料前由质检员检测
2、定期校准粘度计</t>
  </si>
  <si>
    <t>浆料细度</t>
  </si>
  <si>
    <t>☆</t>
  </si>
  <si>
    <t>≤20µm</t>
  </si>
  <si>
    <t>刮板细度计</t>
  </si>
  <si>
    <t>1、合浆工步完成后，出料前由质检员检测
2、定期校准细度计</t>
  </si>
  <si>
    <t>浆料固含量</t>
  </si>
  <si>
    <t>固含仪</t>
  </si>
  <si>
    <t>1、合浆工步完成后，出料前由质检员检测
2、计量定期校准固含仪</t>
  </si>
  <si>
    <t>OP325</t>
  </si>
  <si>
    <t>出料</t>
  </si>
  <si>
    <t>过滤器
（除磁车自带）</t>
  </si>
  <si>
    <t>筛网目数</t>
  </si>
  <si>
    <t>更换前确认</t>
  </si>
  <si>
    <t>每次</t>
  </si>
  <si>
    <t>1、设备点检过滤器
2、更换并记录</t>
  </si>
  <si>
    <t>1、目数不符通知班组长进行确认更换
2、超期未更换/清洗时，暂停生产</t>
  </si>
  <si>
    <r>
      <rPr>
        <sz val="10"/>
        <color theme="1"/>
        <rFont val="宋体"/>
        <family val="3"/>
        <charset val="134"/>
      </rPr>
      <t>清洗要求</t>
    </r>
  </si>
  <si>
    <r>
      <rPr>
        <sz val="10"/>
        <color theme="1"/>
        <rFont val="宋体"/>
        <family val="3"/>
        <charset val="134"/>
      </rPr>
      <t>表面无大面积结块浆料
筛网无破损</t>
    </r>
  </si>
  <si>
    <r>
      <rPr>
        <sz val="10"/>
        <color theme="1"/>
        <rFont val="宋体"/>
        <family val="3"/>
        <charset val="134"/>
      </rPr>
      <t>目视</t>
    </r>
  </si>
  <si>
    <t>1、继续清洗至无结块浆料残留
2、对破损筛网报废处理</t>
  </si>
  <si>
    <r>
      <rPr>
        <sz val="10"/>
        <color theme="1"/>
        <rFont val="宋体"/>
        <family val="3"/>
        <charset val="134"/>
      </rPr>
      <t>筛网寿命</t>
    </r>
  </si>
  <si>
    <r>
      <rPr>
        <sz val="10"/>
        <color theme="1"/>
        <rFont val="宋体"/>
        <family val="3"/>
        <charset val="134"/>
      </rPr>
      <t>安装前确认</t>
    </r>
  </si>
  <si>
    <t>点检并记录</t>
  </si>
  <si>
    <t>1、更换筛网
2、通知质检按照不合格品处理流程处理</t>
  </si>
  <si>
    <t>浆料磁棒
（除磁车自带）</t>
  </si>
  <si>
    <t>磁棒清洗</t>
  </si>
  <si>
    <t>磁棒表面无浆料和异物</t>
  </si>
  <si>
    <t>目视白色无纺布无异物</t>
  </si>
  <si>
    <t>1、设备点检并记录
2、班组进行清洗并记录</t>
  </si>
  <si>
    <t>班组对磁棒进行重新清洗直至符合要求</t>
  </si>
  <si>
    <t>磁感应强度</t>
  </si>
  <si>
    <t>≥12000GS</t>
  </si>
  <si>
    <t>三个月</t>
  </si>
  <si>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</si>
  <si>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</si>
  <si>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r>
      <rPr>
        <b/>
        <sz val="10"/>
        <rFont val="宋体"/>
        <family val="3"/>
        <charset val="134"/>
      </rPr>
      <t>编制</t>
    </r>
    <r>
      <rPr>
        <b/>
        <sz val="10"/>
        <rFont val="宋体"/>
        <family val="3"/>
        <charset val="134"/>
      </rPr>
      <t xml:space="preserve">
</t>
    </r>
    <r>
      <rPr>
        <b/>
        <sz val="10"/>
        <rFont val="Times New Roman"/>
        <family val="1"/>
      </rPr>
      <t>Editor</t>
    </r>
  </si>
  <si>
    <r>
      <rPr>
        <b/>
        <sz val="10"/>
        <rFont val="宋体"/>
        <family val="3"/>
        <charset val="134"/>
      </rPr>
      <t>审核</t>
    </r>
    <r>
      <rPr>
        <b/>
        <sz val="10"/>
        <rFont val="宋体"/>
        <family val="3"/>
        <charset val="134"/>
      </rPr>
      <t xml:space="preserve">
</t>
    </r>
    <r>
      <rPr>
        <b/>
        <sz val="10"/>
        <rFont val="Times New Roman"/>
        <family val="1"/>
      </rPr>
      <t>Audit</t>
    </r>
  </si>
  <si>
    <r>
      <rPr>
        <b/>
        <sz val="10"/>
        <rFont val="宋体"/>
        <family val="3"/>
        <charset val="134"/>
      </rPr>
      <t>会签</t>
    </r>
    <r>
      <rPr>
        <b/>
        <sz val="10"/>
        <rFont val="宋体"/>
        <family val="3"/>
        <charset val="134"/>
      </rPr>
      <t xml:space="preserve">
</t>
    </r>
    <r>
      <rPr>
        <b/>
        <sz val="10"/>
        <rFont val="Times New Roman"/>
        <family val="1"/>
      </rPr>
      <t>Countersign</t>
    </r>
  </si>
  <si>
    <r>
      <rPr>
        <b/>
        <sz val="10"/>
        <rFont val="宋体"/>
        <family val="3"/>
        <charset val="134"/>
      </rPr>
      <t>批准</t>
    </r>
    <r>
      <rPr>
        <b/>
        <sz val="10"/>
        <rFont val="宋体"/>
        <family val="3"/>
        <charset val="134"/>
      </rPr>
      <t xml:space="preserve">
</t>
    </r>
    <r>
      <rPr>
        <b/>
        <sz val="10"/>
        <rFont val="Times New Roman"/>
        <family val="1"/>
      </rPr>
      <t>Approval</t>
    </r>
  </si>
  <si>
    <r>
      <t>附表</t>
    </r>
    <r>
      <rPr>
        <b/>
        <sz val="14"/>
        <color theme="1"/>
        <rFont val="Times New Roman"/>
        <family val="1"/>
      </rPr>
      <t>1</t>
    </r>
    <r>
      <rPr>
        <b/>
        <sz val="14"/>
        <color theme="1"/>
        <rFont val="宋体"/>
        <family val="3"/>
        <charset val="134"/>
      </rPr>
      <t>：</t>
    </r>
    <r>
      <rPr>
        <b/>
        <sz val="14"/>
        <color theme="1"/>
        <rFont val="Times New Roman"/>
        <family val="1"/>
      </rPr>
      <t>L616F181A</t>
    </r>
    <r>
      <rPr>
        <b/>
        <sz val="14"/>
        <color theme="1"/>
        <rFont val="宋体"/>
        <family val="3"/>
        <charset val="134"/>
      </rPr>
      <t>项目正极合浆附表（</t>
    </r>
    <r>
      <rPr>
        <b/>
        <sz val="14"/>
        <color theme="1"/>
        <rFont val="Times New Roman"/>
        <family val="1"/>
      </rPr>
      <t>300L-PD</t>
    </r>
    <r>
      <rPr>
        <b/>
        <sz val="14"/>
        <color theme="1"/>
        <rFont val="宋体"/>
        <family val="3"/>
        <charset val="134"/>
      </rPr>
      <t>）</t>
    </r>
  </si>
  <si>
    <t>配比</t>
  </si>
  <si>
    <t>固含量</t>
  </si>
  <si>
    <t>总重</t>
  </si>
  <si>
    <t>固体量</t>
  </si>
  <si>
    <t>每个重量</t>
  </si>
  <si>
    <t>NMP量</t>
  </si>
  <si>
    <r>
      <rPr>
        <sz val="11"/>
        <color theme="1"/>
        <rFont val="微软雅黑"/>
        <family val="2"/>
        <charset val="134"/>
      </rPr>
      <t>工步</t>
    </r>
  </si>
  <si>
    <r>
      <rPr>
        <sz val="11"/>
        <color theme="1"/>
        <rFont val="微软雅黑"/>
        <family val="2"/>
        <charset val="134"/>
      </rPr>
      <t>工步名称</t>
    </r>
  </si>
  <si>
    <r>
      <rPr>
        <sz val="11"/>
        <color theme="1"/>
        <rFont val="微软雅黑"/>
        <family val="2"/>
        <charset val="134"/>
      </rPr>
      <t>加料名称</t>
    </r>
  </si>
  <si>
    <r>
      <rPr>
        <sz val="11"/>
        <color theme="1"/>
        <rFont val="微软雅黑"/>
        <family val="2"/>
        <charset val="134"/>
      </rPr>
      <t>重量</t>
    </r>
    <r>
      <rPr>
        <sz val="11"/>
        <color theme="1"/>
        <rFont val="Times New Roman"/>
        <family val="1"/>
      </rPr>
      <t>/kg</t>
    </r>
  </si>
  <si>
    <r>
      <rPr>
        <sz val="11"/>
        <color theme="1"/>
        <rFont val="微软雅黑"/>
        <family val="2"/>
        <charset val="134"/>
      </rPr>
      <t>公差</t>
    </r>
  </si>
  <si>
    <r>
      <rPr>
        <sz val="11"/>
        <color theme="1"/>
        <rFont val="微软雅黑"/>
        <family val="2"/>
        <charset val="134"/>
      </rPr>
      <t>公转</t>
    </r>
    <r>
      <rPr>
        <sz val="11"/>
        <color theme="1"/>
        <rFont val="Times New Roman"/>
        <family val="1"/>
      </rPr>
      <t>/rpm</t>
    </r>
  </si>
  <si>
    <r>
      <rPr>
        <sz val="11"/>
        <color theme="1"/>
        <rFont val="微软雅黑"/>
        <family val="2"/>
        <charset val="134"/>
      </rPr>
      <t>分散</t>
    </r>
    <r>
      <rPr>
        <sz val="11"/>
        <color theme="1"/>
        <rFont val="Times New Roman"/>
        <family val="1"/>
      </rPr>
      <t>/rpm</t>
    </r>
  </si>
  <si>
    <r>
      <rPr>
        <sz val="11"/>
        <color theme="1"/>
        <rFont val="微软雅黑"/>
        <family val="2"/>
        <charset val="134"/>
      </rPr>
      <t>时间</t>
    </r>
    <r>
      <rPr>
        <sz val="11"/>
        <color theme="1"/>
        <rFont val="Times New Roman"/>
        <family val="1"/>
      </rPr>
      <t>/min</t>
    </r>
  </si>
  <si>
    <r>
      <rPr>
        <sz val="11"/>
        <color theme="1"/>
        <rFont val="微软雅黑"/>
        <family val="2"/>
        <charset val="134"/>
      </rPr>
      <t>温度</t>
    </r>
    <r>
      <rPr>
        <sz val="11"/>
        <color theme="1"/>
        <rFont val="Times New Roman"/>
        <family val="1"/>
      </rPr>
      <t>/</t>
    </r>
    <r>
      <rPr>
        <sz val="11"/>
        <color theme="1"/>
        <rFont val="微软雅黑"/>
        <family val="2"/>
        <charset val="134"/>
      </rPr>
      <t>℃</t>
    </r>
  </si>
  <si>
    <r>
      <rPr>
        <sz val="11"/>
        <color theme="1"/>
        <rFont val="微软雅黑"/>
        <family val="2"/>
        <charset val="134"/>
      </rPr>
      <t>真空度</t>
    </r>
  </si>
  <si>
    <r>
      <rPr>
        <sz val="11"/>
        <color theme="1"/>
        <rFont val="微软雅黑"/>
        <family val="2"/>
        <charset val="134"/>
      </rPr>
      <t>备注</t>
    </r>
  </si>
  <si>
    <r>
      <rPr>
        <sz val="11"/>
        <color theme="1"/>
        <rFont val="微软雅黑"/>
        <family val="2"/>
        <charset val="134"/>
      </rPr>
      <t>固含量</t>
    </r>
  </si>
  <si>
    <t>FP05</t>
  </si>
  <si>
    <r>
      <rPr>
        <sz val="11"/>
        <color theme="1"/>
        <rFont val="微软雅黑"/>
        <family val="2"/>
        <charset val="134"/>
      </rPr>
      <t>投料</t>
    </r>
  </si>
  <si>
    <t>2520-P5</t>
  </si>
  <si>
    <t>CNT
(LB122-50)</t>
  </si>
  <si>
    <t>80R</t>
  </si>
  <si>
    <r>
      <rPr>
        <sz val="11"/>
        <color theme="1"/>
        <rFont val="微软雅黑"/>
        <family val="2"/>
        <charset val="134"/>
      </rPr>
      <t>投料</t>
    </r>
    <r>
      <rPr>
        <sz val="11"/>
        <color theme="1"/>
        <rFont val="Times New Roman"/>
        <family val="1"/>
      </rPr>
      <t>+</t>
    </r>
    <r>
      <rPr>
        <sz val="11"/>
        <color theme="1"/>
        <rFont val="微软雅黑"/>
        <family val="2"/>
        <charset val="134"/>
      </rPr>
      <t>搅拌</t>
    </r>
  </si>
  <si>
    <t>温度＞35℃冷却水开启
温度＞45℃报警</t>
  </si>
  <si>
    <t>结束后刮桨刮锅壁刮视镜口，刮分散盘</t>
  </si>
  <si>
    <t>A1001</t>
  </si>
  <si>
    <t>NMP</t>
  </si>
  <si>
    <r>
      <rPr>
        <b/>
        <sz val="11"/>
        <color theme="1"/>
        <rFont val="微软雅黑"/>
        <family val="2"/>
        <charset val="134"/>
      </rPr>
      <t>NMP加入时，公转1-5rpm，</t>
    </r>
    <r>
      <rPr>
        <sz val="11"/>
        <color theme="1"/>
        <rFont val="微软雅黑"/>
        <family val="2"/>
        <charset val="134"/>
      </rPr>
      <t>结束后刮桨刮锅壁刮视镜口，刮分散盘</t>
    </r>
  </si>
  <si>
    <r>
      <rPr>
        <sz val="11"/>
        <color theme="1"/>
        <rFont val="微软雅黑"/>
        <family val="2"/>
        <charset val="134"/>
      </rPr>
      <t>搅拌</t>
    </r>
  </si>
  <si>
    <r>
      <rPr>
        <sz val="11"/>
        <color theme="1"/>
        <rFont val="微软雅黑"/>
        <family val="2"/>
        <charset val="134"/>
      </rPr>
      <t>起始转速</t>
    </r>
    <r>
      <rPr>
        <sz val="11"/>
        <color theme="1"/>
        <rFont val="Times New Roman"/>
        <family val="1"/>
      </rPr>
      <t>11rpm</t>
    </r>
    <r>
      <rPr>
        <sz val="11"/>
        <color theme="1"/>
        <rFont val="微软雅黑"/>
        <family val="2"/>
        <charset val="134"/>
      </rPr>
      <t>，逐渐将转速升至</t>
    </r>
    <r>
      <rPr>
        <sz val="11"/>
        <color theme="1"/>
        <rFont val="Times New Roman"/>
        <family val="1"/>
      </rPr>
      <t>20rpm</t>
    </r>
    <r>
      <rPr>
        <sz val="11"/>
        <color theme="1"/>
        <rFont val="微软雅黑"/>
        <family val="2"/>
        <charset val="134"/>
      </rPr>
      <t>，</t>
    </r>
    <r>
      <rPr>
        <sz val="11"/>
        <color theme="1"/>
        <rFont val="Times New Roman"/>
        <family val="1"/>
      </rPr>
      <t>30/60/80min</t>
    </r>
    <r>
      <rPr>
        <sz val="11"/>
        <color theme="1"/>
        <rFont val="微软雅黑"/>
        <family val="2"/>
        <charset val="134"/>
      </rPr>
      <t>各刮桨一次</t>
    </r>
  </si>
  <si>
    <t>投料+搅拌</t>
  </si>
  <si>
    <r>
      <rPr>
        <sz val="11"/>
        <color theme="1"/>
        <rFont val="微软雅黑"/>
        <family val="2"/>
        <charset val="134"/>
      </rPr>
      <t>＜</t>
    </r>
    <r>
      <rPr>
        <sz val="11"/>
        <color theme="1"/>
        <rFont val="Times New Roman"/>
        <family val="1"/>
      </rPr>
      <t>-85kPa</t>
    </r>
  </si>
  <si>
    <r>
      <rPr>
        <sz val="11"/>
        <color theme="1"/>
        <rFont val="微软雅黑"/>
        <family val="2"/>
        <charset val="134"/>
      </rPr>
      <t>起始转速</t>
    </r>
    <r>
      <rPr>
        <sz val="11"/>
        <color theme="1"/>
        <rFont val="Times New Roman"/>
        <family val="1"/>
      </rPr>
      <t>11rpm</t>
    </r>
    <r>
      <rPr>
        <sz val="11"/>
        <color theme="1"/>
        <rFont val="微软雅黑"/>
        <family val="2"/>
        <charset val="134"/>
      </rPr>
      <t>，起始分散频率</t>
    </r>
    <r>
      <rPr>
        <sz val="11"/>
        <color theme="1"/>
        <rFont val="Times New Roman"/>
        <family val="1"/>
      </rPr>
      <t>1000rpm</t>
    </r>
    <r>
      <rPr>
        <sz val="11"/>
        <color theme="1"/>
        <rFont val="微软雅黑"/>
        <family val="2"/>
        <charset val="134"/>
      </rPr>
      <t>，逐渐增至设定值</t>
    </r>
  </si>
  <si>
    <r>
      <rPr>
        <sz val="11"/>
        <color theme="1"/>
        <rFont val="微软雅黑"/>
        <family val="2"/>
        <charset val="134"/>
      </rPr>
      <t>调粘</t>
    </r>
  </si>
  <si>
    <r>
      <rPr>
        <sz val="11"/>
        <rFont val="微软雅黑"/>
        <family val="2"/>
        <charset val="134"/>
      </rPr>
      <t>出料粘度</t>
    </r>
    <r>
      <rPr>
        <sz val="11"/>
        <rFont val="Times New Roman"/>
        <family val="1"/>
      </rPr>
      <t>3000~8000mPa·s
27#</t>
    </r>
    <r>
      <rPr>
        <sz val="11"/>
        <rFont val="微软雅黑"/>
        <family val="2"/>
        <charset val="134"/>
      </rPr>
      <t>转子</t>
    </r>
    <r>
      <rPr>
        <sz val="11"/>
        <rFont val="Times New Roman"/>
        <family val="1"/>
      </rPr>
      <t>30rpm</t>
    </r>
  </si>
  <si>
    <r>
      <rPr>
        <sz val="11"/>
        <color theme="1"/>
        <rFont val="微软雅黑"/>
        <family val="2"/>
        <charset val="134"/>
      </rPr>
      <t>储存消泡</t>
    </r>
  </si>
  <si>
    <r>
      <rPr>
        <sz val="11"/>
        <color theme="1"/>
        <rFont val="微软雅黑"/>
        <family val="2"/>
        <charset val="134"/>
      </rPr>
      <t>出料过</t>
    </r>
    <r>
      <rPr>
        <sz val="11"/>
        <color theme="1"/>
        <rFont val="Times New Roman"/>
        <family val="1"/>
      </rPr>
      <t>200</t>
    </r>
    <r>
      <rPr>
        <sz val="11"/>
        <color theme="1"/>
        <rFont val="微软雅黑"/>
        <family val="2"/>
        <charset val="134"/>
      </rPr>
      <t>目滤网</t>
    </r>
  </si>
  <si>
    <r>
      <rPr>
        <b/>
        <sz val="14"/>
        <color theme="1"/>
        <rFont val="宋体"/>
        <family val="3"/>
        <charset val="134"/>
      </rPr>
      <t>附表</t>
    </r>
    <r>
      <rPr>
        <b/>
        <sz val="14"/>
        <color theme="1"/>
        <rFont val="Times New Roman"/>
        <family val="1"/>
      </rPr>
      <t>1</t>
    </r>
    <r>
      <rPr>
        <b/>
        <sz val="14"/>
        <color theme="1"/>
        <rFont val="宋体"/>
        <family val="3"/>
        <charset val="134"/>
      </rPr>
      <t>：</t>
    </r>
    <r>
      <rPr>
        <b/>
        <sz val="14"/>
        <color theme="1"/>
        <rFont val="Times New Roman"/>
        <family val="1"/>
      </rPr>
      <t>L620F181A</t>
    </r>
    <r>
      <rPr>
        <b/>
        <sz val="14"/>
        <color theme="1"/>
        <rFont val="宋体"/>
        <family val="3"/>
        <charset val="134"/>
      </rPr>
      <t>项目正极合浆附表（</t>
    </r>
    <r>
      <rPr>
        <b/>
        <sz val="14"/>
        <color theme="1"/>
        <rFont val="Times New Roman"/>
        <family val="1"/>
      </rPr>
      <t>100L-PD</t>
    </r>
    <r>
      <rPr>
        <b/>
        <sz val="14"/>
        <color theme="1"/>
        <rFont val="宋体"/>
        <family val="3"/>
        <charset val="134"/>
      </rPr>
      <t>）</t>
    </r>
  </si>
  <si>
    <t>PVDF2520-P5</t>
  </si>
  <si>
    <t>A701</t>
  </si>
  <si>
    <t>李晓坡</t>
    <phoneticPr fontId="38" type="noConversion"/>
  </si>
  <si>
    <t>温湿度计/露点仪</t>
    <phoneticPr fontId="38" type="noConversion"/>
  </si>
  <si>
    <t>高斯计</t>
    <phoneticPr fontId="38" type="noConversion"/>
  </si>
  <si>
    <t>/</t>
    <phoneticPr fontId="38" type="noConversion"/>
  </si>
  <si>
    <t>/</t>
    <phoneticPr fontId="38" type="noConversion"/>
  </si>
  <si>
    <t>结束后刮桨刮锅壁刮视镜口，刮分散盘</t>
    <phoneticPr fontId="38" type="noConversion"/>
  </si>
  <si>
    <t>温度＞35℃冷却水开启
温度＞45℃报警</t>
    <phoneticPr fontId="38" type="noConversion"/>
  </si>
  <si>
    <t>投料</t>
    <phoneticPr fontId="38" type="noConversion"/>
  </si>
  <si>
    <t>投料+搅拌</t>
    <phoneticPr fontId="38" type="noConversion"/>
  </si>
  <si>
    <t>CNT
(LB122-50)</t>
    <phoneticPr fontId="38" type="noConversion"/>
  </si>
  <si>
    <t>NMP</t>
    <phoneticPr fontId="38" type="noConversion"/>
  </si>
  <si>
    <t>A1001</t>
    <phoneticPr fontId="38" type="noConversion"/>
  </si>
  <si>
    <t>SP</t>
    <phoneticPr fontId="38" type="noConversion"/>
  </si>
  <si>
    <r>
      <t>附表</t>
    </r>
    <r>
      <rPr>
        <b/>
        <sz val="14"/>
        <color theme="1"/>
        <rFont val="Times New Roman"/>
        <family val="1"/>
      </rPr>
      <t>1</t>
    </r>
    <r>
      <rPr>
        <b/>
        <sz val="14"/>
        <color theme="1"/>
        <rFont val="宋体"/>
        <family val="3"/>
        <charset val="134"/>
      </rPr>
      <t>：</t>
    </r>
    <r>
      <rPr>
        <b/>
        <sz val="14"/>
        <color theme="1"/>
        <rFont val="Times New Roman"/>
        <family val="1"/>
      </rPr>
      <t>L221F131A</t>
    </r>
    <r>
      <rPr>
        <b/>
        <sz val="14"/>
        <color theme="1"/>
        <rFont val="宋体"/>
        <family val="3"/>
        <charset val="134"/>
      </rPr>
      <t>项目正极合浆附表（</t>
    </r>
    <r>
      <rPr>
        <b/>
        <sz val="14"/>
        <color theme="1"/>
        <rFont val="Times New Roman"/>
        <family val="1"/>
      </rPr>
      <t>300L-PD</t>
    </r>
    <r>
      <rPr>
        <b/>
        <sz val="14"/>
        <color theme="1"/>
        <rFont val="宋体"/>
        <family val="3"/>
        <charset val="134"/>
      </rPr>
      <t>）</t>
    </r>
    <phoneticPr fontId="38" type="noConversion"/>
  </si>
  <si>
    <t>Z3-C1</t>
    <phoneticPr fontId="38" type="noConversion"/>
  </si>
  <si>
    <t>Z3-C1</t>
    <phoneticPr fontId="38" type="noConversion"/>
  </si>
  <si>
    <r>
      <rPr>
        <sz val="11"/>
        <rFont val="微软雅黑"/>
        <family val="2"/>
        <charset val="134"/>
      </rPr>
      <t>出料粘度</t>
    </r>
    <r>
      <rPr>
        <sz val="11"/>
        <rFont val="Times New Roman"/>
        <family val="1"/>
      </rPr>
      <t>3000~8000mPa·s
27#</t>
    </r>
    <r>
      <rPr>
        <sz val="11"/>
        <rFont val="微软雅黑"/>
        <family val="2"/>
        <charset val="134"/>
      </rPr>
      <t>转子</t>
    </r>
    <r>
      <rPr>
        <sz val="11"/>
        <rFont val="Times New Roman"/>
        <family val="1"/>
      </rPr>
      <t>30rpm</t>
    </r>
    <phoneticPr fontId="38" type="noConversion"/>
  </si>
  <si>
    <t>Z3-C1</t>
    <phoneticPr fontId="38" type="noConversion"/>
  </si>
  <si>
    <t>合浆工序</t>
    <phoneticPr fontId="38" type="noConversion"/>
  </si>
  <si>
    <t>合浆组别</t>
  </si>
  <si>
    <t>合浆设备</t>
  </si>
  <si>
    <t>Y16-300L</t>
    <phoneticPr fontId="38" type="noConversion"/>
  </si>
  <si>
    <t>浆料投料量(Kg)</t>
    <phoneticPr fontId="38" type="noConversion"/>
  </si>
  <si>
    <t>配方组成</t>
  </si>
  <si>
    <t>CNT
(LB122-50)</t>
    <phoneticPr fontId="38" type="noConversion"/>
  </si>
  <si>
    <t>SP</t>
    <phoneticPr fontId="38" type="noConversion"/>
  </si>
  <si>
    <t>粘度规格/mPas</t>
  </si>
  <si>
    <t>7000-11000</t>
    <phoneticPr fontId="38" type="noConversion"/>
  </si>
  <si>
    <t>配方比例</t>
  </si>
  <si>
    <t>细度/um（≤）</t>
  </si>
  <si>
    <t>物料固含量</t>
  </si>
  <si>
    <t>附表1:正极合浆工艺表-Y16-PD-300L</t>
    <phoneticPr fontId="38" type="noConversion"/>
  </si>
  <si>
    <t>配比</t>
    <phoneticPr fontId="38" type="noConversion"/>
  </si>
  <si>
    <t>固含量</t>
    <phoneticPr fontId="38" type="noConversion"/>
  </si>
  <si>
    <t>总重</t>
    <phoneticPr fontId="38" type="noConversion"/>
  </si>
  <si>
    <t>固体量</t>
    <phoneticPr fontId="38" type="noConversion"/>
  </si>
  <si>
    <t>每个重量</t>
    <phoneticPr fontId="38" type="noConversion"/>
  </si>
  <si>
    <t>NMP量</t>
    <phoneticPr fontId="38" type="noConversion"/>
  </si>
  <si>
    <t>工步</t>
    <phoneticPr fontId="38" type="noConversion"/>
  </si>
  <si>
    <t>工步名称</t>
    <phoneticPr fontId="38" type="noConversion"/>
  </si>
  <si>
    <t>加料名称</t>
    <phoneticPr fontId="38" type="noConversion"/>
  </si>
  <si>
    <t>重量/kg</t>
    <phoneticPr fontId="38" type="noConversion"/>
  </si>
  <si>
    <t>公差</t>
    <phoneticPr fontId="38" type="noConversion"/>
  </si>
  <si>
    <t>公转/rpm</t>
    <phoneticPr fontId="38" type="noConversion"/>
  </si>
  <si>
    <t>分散/rpm</t>
    <phoneticPr fontId="38" type="noConversion"/>
  </si>
  <si>
    <t>时间/min</t>
    <phoneticPr fontId="38" type="noConversion"/>
  </si>
  <si>
    <t>温度/℃</t>
    <phoneticPr fontId="38" type="noConversion"/>
  </si>
  <si>
    <t>真空度</t>
    <phoneticPr fontId="38" type="noConversion"/>
  </si>
  <si>
    <t>备注</t>
    <phoneticPr fontId="38" type="noConversion"/>
  </si>
  <si>
    <t>FP05</t>
    <phoneticPr fontId="38" type="noConversion"/>
  </si>
  <si>
    <t>/</t>
    <phoneticPr fontId="38" type="noConversion"/>
  </si>
  <si>
    <t>/</t>
    <phoneticPr fontId="38" type="noConversion"/>
  </si>
  <si>
    <t>HEVER701</t>
    <phoneticPr fontId="38" type="noConversion"/>
  </si>
  <si>
    <t>投料</t>
    <phoneticPr fontId="38" type="noConversion"/>
  </si>
  <si>
    <t>/</t>
    <phoneticPr fontId="38" type="noConversion"/>
  </si>
  <si>
    <t>CNT
(LB122-50</t>
    <phoneticPr fontId="38" type="noConversion"/>
  </si>
  <si>
    <t>SP</t>
    <phoneticPr fontId="38" type="noConversion"/>
  </si>
  <si>
    <t>投料+搅拌</t>
    <phoneticPr fontId="38" type="noConversion"/>
  </si>
  <si>
    <t>公转，分散逐渐提升，结束后刮桨刮锅壁刮视镜口，刮分散盘</t>
    <phoneticPr fontId="38" type="noConversion"/>
  </si>
  <si>
    <t>投料+搅拌</t>
    <phoneticPr fontId="38" type="noConversion"/>
  </si>
  <si>
    <t>NMP</t>
    <phoneticPr fontId="38" type="noConversion"/>
  </si>
  <si>
    <t>/</t>
    <phoneticPr fontId="38" type="noConversion"/>
  </si>
  <si>
    <t>温度＞35℃冷却水开启
温度＞45℃报警</t>
    <phoneticPr fontId="38" type="noConversion"/>
  </si>
  <si>
    <t>NMP加入时，公转1-5rpm,逐渐将转速升至设定值</t>
    <phoneticPr fontId="38" type="noConversion"/>
  </si>
  <si>
    <t>搅拌</t>
    <phoneticPr fontId="38" type="noConversion"/>
  </si>
  <si>
    <t>结束后刮桨刮分散盘</t>
    <phoneticPr fontId="38" type="noConversion"/>
  </si>
  <si>
    <t>总重</t>
    <phoneticPr fontId="38" type="noConversion"/>
  </si>
  <si>
    <t>搅拌</t>
    <phoneticPr fontId="38" type="noConversion"/>
  </si>
  <si>
    <t>温度＞35℃冷却水开启
温度＞45℃报警</t>
    <phoneticPr fontId="38" type="noConversion"/>
  </si>
  <si>
    <t>NMP</t>
    <phoneticPr fontId="38" type="noConversion"/>
  </si>
  <si>
    <t>＜-85kPa</t>
    <phoneticPr fontId="38" type="noConversion"/>
  </si>
  <si>
    <t>调粘</t>
    <phoneticPr fontId="38" type="noConversion"/>
  </si>
  <si>
    <t>＜-85kPa</t>
    <phoneticPr fontId="38" type="noConversion"/>
  </si>
  <si>
    <t>出料粘度7000~11000mPa·s
27#转子25rpm</t>
    <phoneticPr fontId="38" type="noConversion"/>
  </si>
  <si>
    <t>反转储存消泡</t>
    <phoneticPr fontId="38" type="noConversion"/>
  </si>
  <si>
    <t>＜-85kPa</t>
    <phoneticPr fontId="38" type="noConversion"/>
  </si>
  <si>
    <t>出料过200目滤网</t>
    <phoneticPr fontId="38" type="noConversion"/>
  </si>
  <si>
    <t>浆料投料量(Kg)</t>
    <phoneticPr fontId="38" type="noConversion"/>
  </si>
  <si>
    <t>CNT
(LB122-50)</t>
    <phoneticPr fontId="38" type="noConversion"/>
  </si>
  <si>
    <t>7000-11000</t>
    <phoneticPr fontId="38" type="noConversion"/>
  </si>
  <si>
    <t>附表1:正极合浆工艺表-Y12-PD-200L</t>
    <phoneticPr fontId="38" type="noConversion"/>
  </si>
  <si>
    <t>配比</t>
    <phoneticPr fontId="38" type="noConversion"/>
  </si>
  <si>
    <t>固含量</t>
    <phoneticPr fontId="38" type="noConversion"/>
  </si>
  <si>
    <t>固体量</t>
    <phoneticPr fontId="38" type="noConversion"/>
  </si>
  <si>
    <t>每个重量</t>
    <phoneticPr fontId="38" type="noConversion"/>
  </si>
  <si>
    <t>NMP量</t>
    <phoneticPr fontId="38" type="noConversion"/>
  </si>
  <si>
    <t>工步</t>
    <phoneticPr fontId="38" type="noConversion"/>
  </si>
  <si>
    <t>工步名称</t>
    <phoneticPr fontId="38" type="noConversion"/>
  </si>
  <si>
    <t>加料名称</t>
    <phoneticPr fontId="38" type="noConversion"/>
  </si>
  <si>
    <t>重量/kg</t>
    <phoneticPr fontId="38" type="noConversion"/>
  </si>
  <si>
    <t>公差</t>
    <phoneticPr fontId="38" type="noConversion"/>
  </si>
  <si>
    <t>公转/rpm</t>
    <phoneticPr fontId="38" type="noConversion"/>
  </si>
  <si>
    <t>分散/rpm</t>
    <phoneticPr fontId="38" type="noConversion"/>
  </si>
  <si>
    <t>时间/min</t>
    <phoneticPr fontId="38" type="noConversion"/>
  </si>
  <si>
    <t>温度/℃</t>
    <phoneticPr fontId="38" type="noConversion"/>
  </si>
  <si>
    <t>真空度</t>
    <phoneticPr fontId="38" type="noConversion"/>
  </si>
  <si>
    <t>备注</t>
    <phoneticPr fontId="38" type="noConversion"/>
  </si>
  <si>
    <t>固含量</t>
    <phoneticPr fontId="38" type="noConversion"/>
  </si>
  <si>
    <t>FP05</t>
    <phoneticPr fontId="38" type="noConversion"/>
  </si>
  <si>
    <t>HEVER701</t>
    <phoneticPr fontId="38" type="noConversion"/>
  </si>
  <si>
    <t>投料</t>
    <phoneticPr fontId="38" type="noConversion"/>
  </si>
  <si>
    <t>CNT
(LB122-50</t>
    <phoneticPr fontId="38" type="noConversion"/>
  </si>
  <si>
    <t>公转，分散逐渐提升，结束后刮桨刮锅壁刮视镜口，刮分散盘</t>
    <phoneticPr fontId="38" type="noConversion"/>
  </si>
  <si>
    <t>A1001</t>
    <phoneticPr fontId="38" type="noConversion"/>
  </si>
  <si>
    <t>结束后刮桨刮分散盘</t>
    <phoneticPr fontId="38" type="noConversion"/>
  </si>
  <si>
    <t>NMP</t>
    <phoneticPr fontId="38" type="noConversion"/>
  </si>
  <si>
    <t>/</t>
    <phoneticPr fontId="38" type="noConversion"/>
  </si>
  <si>
    <t>调粘</t>
    <phoneticPr fontId="38" type="noConversion"/>
  </si>
  <si>
    <t>反转储存消泡</t>
    <phoneticPr fontId="38" type="noConversion"/>
  </si>
  <si>
    <t>出料过200目滤网</t>
    <phoneticPr fontId="38" type="noConversion"/>
  </si>
  <si>
    <t>Y12-200L</t>
    <phoneticPr fontId="38" type="noConversion"/>
  </si>
  <si>
    <t>附表1:正极合浆工艺表-Y16-PD-100L</t>
    <phoneticPr fontId="38" type="noConversion"/>
  </si>
  <si>
    <t>Y16-100L</t>
    <phoneticPr fontId="38" type="noConversion"/>
  </si>
  <si>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</si>
  <si>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</si>
  <si>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</si>
  <si>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</si>
  <si>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</si>
  <si>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</si>
  <si>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</si>
  <si>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</si>
  <si>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</si>
  <si>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</si>
  <si>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</si>
  <si>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phoneticPr fontId="38" type="noConversion"/>
  </si>
  <si>
    <t>防错样件规格</t>
  </si>
  <si>
    <t>防错样件精度</t>
  </si>
  <si>
    <t>防错样件校准/确认频次</t>
  </si>
  <si>
    <t>反应计划</t>
  </si>
  <si>
    <t>合浆</t>
  </si>
  <si>
    <t>正极合浆设备</t>
  </si>
  <si>
    <t>警告</t>
  </si>
  <si>
    <t>NG</t>
  </si>
  <si>
    <t>1、暂停生产；
2、对不合格品进行标识隔离，通知质检员或质量工程师按照不合格品处理流程进行处理；
3、通知技术员或设备工程师分析处理；
4、进行作业准备验证后开机。</t>
  </si>
  <si>
    <t>其中防错级别（能够根据判定做出反应的装置）有三种：</t>
  </si>
  <si>
    <t>防错验证方式有三种：</t>
    <phoneticPr fontId="38" type="noConversion"/>
  </si>
  <si>
    <t>防错样件类型有两种：</t>
    <phoneticPr fontId="38" type="noConversion"/>
  </si>
  <si>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</si>
  <si>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phoneticPr fontId="38" type="noConversion"/>
  </si>
  <si>
    <t xml:space="preserve">（1）计量样件：防错样件的规格是可定量的。
（2）缺陷样件：防错样件的规格是不可定量的，是指通过防错装置时能证明不符合操作或者能被探测出的外观缺陷的产品/工装。
</t>
    <phoneticPr fontId="38" type="noConversion"/>
  </si>
  <si>
    <t>设备自动报警</t>
  </si>
  <si>
    <t>温度超出设置会报警</t>
  </si>
  <si>
    <t>挑战参数</t>
  </si>
  <si>
    <t>实际温度高出设定2℃报警</t>
  </si>
  <si>
    <t>1次/每月</t>
    <phoneticPr fontId="38" type="noConversion"/>
  </si>
  <si>
    <t>文审
DCC</t>
    <phoneticPr fontId="38" type="noConversion"/>
  </si>
  <si>
    <t>文控
DCC</t>
    <phoneticPr fontId="38" type="noConversion"/>
  </si>
  <si>
    <t>/</t>
    <phoneticPr fontId="38" type="noConversion"/>
  </si>
  <si>
    <r>
      <rPr>
        <b/>
        <sz val="10"/>
        <rFont val="宋体"/>
        <family val="3"/>
        <charset val="134"/>
      </rPr>
      <t xml:space="preserve">生产
</t>
    </r>
    <r>
      <rPr>
        <b/>
        <sz val="10"/>
        <rFont val="Times New Roman"/>
        <family val="1"/>
      </rPr>
      <t>production</t>
    </r>
    <phoneticPr fontId="38" type="noConversion"/>
  </si>
  <si>
    <r>
      <rPr>
        <b/>
        <sz val="10"/>
        <rFont val="宋体"/>
        <family val="3"/>
        <charset val="134"/>
      </rPr>
      <t xml:space="preserve">检验
</t>
    </r>
    <r>
      <rPr>
        <b/>
        <sz val="10"/>
        <rFont val="Times New Roman"/>
        <family val="1"/>
      </rPr>
      <t>Inspection</t>
    </r>
    <phoneticPr fontId="38" type="noConversion"/>
  </si>
  <si>
    <r>
      <rPr>
        <b/>
        <sz val="10"/>
        <rFont val="宋体"/>
        <family val="3"/>
        <charset val="134"/>
      </rPr>
      <t xml:space="preserve">样本
</t>
    </r>
    <r>
      <rPr>
        <b/>
        <sz val="10"/>
        <rFont val="Times New Roman"/>
        <family val="1"/>
      </rPr>
      <t>Sample</t>
    </r>
    <phoneticPr fontId="38" type="noConversion"/>
  </si>
  <si>
    <r>
      <rPr>
        <b/>
        <sz val="10"/>
        <rFont val="宋体"/>
        <family val="3"/>
        <charset val="134"/>
      </rPr>
      <t xml:space="preserve">容量
</t>
    </r>
    <r>
      <rPr>
        <b/>
        <sz val="10"/>
        <rFont val="Times New Roman"/>
        <family val="1"/>
      </rPr>
      <t>Size</t>
    </r>
    <phoneticPr fontId="38" type="noConversion"/>
  </si>
  <si>
    <r>
      <rPr>
        <b/>
        <sz val="10"/>
        <rFont val="宋体"/>
        <family val="3"/>
        <charset val="134"/>
      </rPr>
      <t xml:space="preserve">频率
</t>
    </r>
    <r>
      <rPr>
        <b/>
        <sz val="10"/>
        <rFont val="Times New Roman"/>
        <family val="1"/>
      </rPr>
      <t>Frequency</t>
    </r>
    <phoneticPr fontId="38" type="noConversion"/>
  </si>
  <si>
    <r>
      <rPr>
        <b/>
        <sz val="10"/>
        <rFont val="宋体"/>
        <family val="3"/>
        <charset val="134"/>
      </rPr>
      <t xml:space="preserve">频率
</t>
    </r>
    <r>
      <rPr>
        <b/>
        <sz val="10"/>
        <rFont val="Times New Roman"/>
        <family val="1"/>
      </rPr>
      <t>Frequency</t>
    </r>
    <phoneticPr fontId="38" type="noConversion"/>
  </si>
  <si>
    <t>物料转运确认1次，投料前确认1次</t>
    <phoneticPr fontId="38" type="noConversion"/>
  </si>
  <si>
    <t>每包/桶</t>
    <phoneticPr fontId="38" type="noConversion"/>
  </si>
  <si>
    <t>/</t>
    <phoneticPr fontId="38" type="noConversion"/>
  </si>
  <si>
    <t>/</t>
    <phoneticPr fontId="38" type="noConversion"/>
  </si>
  <si>
    <t>1、生产点检并记录
2、定期校准温湿度计
3、质量确认</t>
    <phoneticPr fontId="38" type="noConversion"/>
  </si>
  <si>
    <t>/</t>
    <phoneticPr fontId="38" type="noConversion"/>
  </si>
  <si>
    <t>1、生产点检并记录
2、定期校准温湿度计
3、质量确认</t>
    <phoneticPr fontId="38" type="noConversion"/>
  </si>
  <si>
    <t>1、操作员工执行、记录
2、质检监督记录
3、设备自动控制</t>
    <phoneticPr fontId="38" type="noConversion"/>
  </si>
  <si>
    <t>每班</t>
    <phoneticPr fontId="38" type="noConversion"/>
  </si>
  <si>
    <t>更换前确认/1次</t>
    <phoneticPr fontId="38" type="noConversion"/>
  </si>
  <si>
    <t>每次</t>
    <phoneticPr fontId="38" type="noConversion"/>
  </si>
  <si>
    <t>流程归档后自动生效</t>
    <phoneticPr fontId="38" type="noConversion"/>
  </si>
  <si>
    <t>文控
DCC</t>
    <phoneticPr fontId="38" type="noConversion"/>
  </si>
  <si>
    <r>
      <rPr>
        <b/>
        <sz val="10"/>
        <rFont val="宋体"/>
        <family val="3"/>
        <charset val="134"/>
      </rPr>
      <t>备注</t>
    </r>
    <phoneticPr fontId="38" type="noConversion"/>
  </si>
  <si>
    <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phoneticPr fontId="52" type="noConversion"/>
  </si>
  <si>
    <t>1次/3天</t>
    <phoneticPr fontId="38" type="noConversion"/>
  </si>
  <si>
    <t>1次/3天</t>
    <phoneticPr fontId="38" type="noConversion"/>
  </si>
  <si>
    <t>江苏基地/JS中试工厂/Y16试制车间</t>
    <phoneticPr fontId="38" type="noConversion"/>
  </si>
  <si>
    <t>江苏基地/JS中试工厂/Y16试制车间(检验)</t>
    <phoneticPr fontId="38" type="noConversion"/>
  </si>
  <si>
    <t>发放份数</t>
    <phoneticPr fontId="38" type="noConversion"/>
  </si>
  <si>
    <t>王春光</t>
    <phoneticPr fontId="38" type="noConversion"/>
  </si>
  <si>
    <t>陈颖</t>
    <phoneticPr fontId="38" type="noConversion"/>
  </si>
  <si>
    <t>洁净度仪</t>
    <phoneticPr fontId="38" type="noConversion"/>
  </si>
  <si>
    <t>1、操作员工执行、记录
2、质检监督记录
3、设备自动控制
4、计量定期校验</t>
    <phoneticPr fontId="38" type="noConversion"/>
  </si>
  <si>
    <t>1、操作员工执行、记录
2、质检监督记录
3、设备自动控制
4、计量定期校验</t>
    <phoneticPr fontId="38" type="noConversion"/>
  </si>
  <si>
    <t>王春光</t>
    <phoneticPr fontId="38" type="noConversion"/>
  </si>
  <si>
    <t>钱建业</t>
    <phoneticPr fontId="38" type="noConversion"/>
  </si>
  <si>
    <t>钱建业</t>
    <phoneticPr fontId="38" type="noConversion"/>
  </si>
  <si>
    <t>PM240707</t>
    <phoneticPr fontId="38" type="noConversion"/>
  </si>
  <si>
    <t>郭少华</t>
    <phoneticPr fontId="38" type="noConversion"/>
  </si>
  <si>
    <t>L246N183A</t>
    <phoneticPr fontId="38" type="noConversion"/>
  </si>
  <si>
    <r>
      <t>L246N183A</t>
    </r>
    <r>
      <rPr>
        <b/>
        <sz val="10"/>
        <color theme="1"/>
        <rFont val="宋体"/>
        <family val="3"/>
        <charset val="134"/>
      </rPr>
      <t>锂离子电池研发</t>
    </r>
    <phoneticPr fontId="38" type="noConversion"/>
  </si>
  <si>
    <t>L246N183A</t>
    <phoneticPr fontId="38" type="noConversion"/>
  </si>
  <si>
    <t xml:space="preserve">           JSZ3-C1-L246N183A型号合浆工序防错清单</t>
    <phoneticPr fontId="38" type="noConversion"/>
  </si>
  <si>
    <t>使用时间≤24个月</t>
    <phoneticPr fontId="38" type="noConversion"/>
  </si>
  <si>
    <t>1、设备工程师更换磁棒
2、对已产出可疑产品进行追溯，识别并隔离异常产品，并通知工艺、质量工程师进行判定。</t>
    <phoneticPr fontId="38" type="noConversion"/>
  </si>
  <si>
    <t>1、操作员工执行、记录
2、质检监督记录
3、设备自动控制
4、计量定期校验压力变送器</t>
    <phoneticPr fontId="38" type="noConversion"/>
  </si>
  <si>
    <t>150目+200目</t>
    <phoneticPr fontId="38" type="noConversion"/>
  </si>
  <si>
    <t>1、点检并记录
2、质量部门对磁感应强度进行抽检
3、计量负责磁棒进厂首次校验</t>
    <phoneticPr fontId="38" type="noConversion"/>
  </si>
  <si>
    <t>≤20.0%RH</t>
    <phoneticPr fontId="38" type="noConversion"/>
  </si>
  <si>
    <t>班组进行过滤器清洗并记录</t>
    <phoneticPr fontId="38" type="noConversion"/>
  </si>
  <si>
    <t>真空度超出设置会报警</t>
  </si>
  <si>
    <t>实际真空度大于或低于（-0.085±0.005）Mpa</t>
  </si>
  <si>
    <t>1次/每月</t>
  </si>
  <si>
    <t>附表2 搅拌机真空度挑战参数检测表</t>
  </si>
  <si>
    <t>附表3 搅拌机温度挑战参数检测表</t>
  </si>
  <si>
    <t>挑战参数名称</t>
  </si>
  <si>
    <t>检出结果</t>
  </si>
  <si>
    <t>真空度＜-0.085±0.005Mpa</t>
  </si>
  <si>
    <t>不报警</t>
  </si>
  <si>
    <t>实际温度+2℃</t>
  </si>
  <si>
    <t>真空度＞-0.085±0.005Mpa</t>
  </si>
  <si>
    <t>报警</t>
  </si>
  <si>
    <t>实际温度-2℃</t>
  </si>
  <si>
    <t>1、操作员工执行、记录
2、质检监督记录
3、班长检查并确认签字
4、定期校验电子秤</t>
    <phoneticPr fontId="38" type="noConversion"/>
  </si>
  <si>
    <t>1、操作员工记录
2、质检监督记录
3、班长检查</t>
    <phoneticPr fontId="38" type="noConversion"/>
  </si>
  <si>
    <t>静态10万级</t>
    <phoneticPr fontId="38" type="noConversion"/>
  </si>
  <si>
    <r>
      <rPr>
        <b/>
        <sz val="9"/>
        <rFont val="宋体"/>
        <family val="3"/>
        <charset val="134"/>
      </rPr>
      <t>附表</t>
    </r>
    <r>
      <rPr>
        <b/>
        <sz val="9"/>
        <rFont val="Times New Roman"/>
        <family val="1"/>
      </rPr>
      <t>1</t>
    </r>
    <r>
      <rPr>
        <b/>
        <sz val="9"/>
        <rFont val="宋体"/>
        <family val="3"/>
        <charset val="134"/>
      </rPr>
      <t>（公转转速公差要求：</t>
    </r>
    <r>
      <rPr>
        <b/>
        <sz val="9"/>
        <rFont val="Times New Roman"/>
        <family val="1"/>
      </rPr>
      <t>±1rpm</t>
    </r>
    <r>
      <rPr>
        <b/>
        <sz val="9"/>
        <rFont val="宋体"/>
        <family val="3"/>
        <charset val="134"/>
      </rPr>
      <t>；分散转速公差要求：</t>
    </r>
    <r>
      <rPr>
        <b/>
        <sz val="9"/>
        <rFont val="Times New Roman"/>
        <family val="1"/>
      </rPr>
      <t>±20rpm;</t>
    </r>
    <r>
      <rPr>
        <b/>
        <sz val="9"/>
        <rFont val="宋体"/>
        <family val="3"/>
        <charset val="134"/>
      </rPr>
      <t>真空要求：</t>
    </r>
    <r>
      <rPr>
        <b/>
        <sz val="9"/>
        <rFont val="Times New Roman"/>
        <family val="1"/>
      </rPr>
      <t>-0.085±0.005MPa</t>
    </r>
    <r>
      <rPr>
        <b/>
        <sz val="9"/>
        <rFont val="宋体"/>
        <family val="3"/>
        <charset val="134"/>
      </rPr>
      <t>）</t>
    </r>
    <phoneticPr fontId="38" type="noConversion"/>
  </si>
  <si>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38" type="noConversion"/>
  </si>
  <si>
    <t>A0</t>
  </si>
  <si>
    <r>
      <t>A</t>
    </r>
    <r>
      <rPr>
        <sz val="11"/>
        <rFont val="宋体"/>
        <family val="3"/>
        <charset val="134"/>
      </rPr>
      <t>样文件首版发行</t>
    </r>
    <phoneticPr fontId="38" type="noConversion"/>
  </si>
  <si>
    <t>/</t>
    <phoneticPr fontId="38" type="noConversion"/>
  </si>
  <si>
    <t>钱建业</t>
    <phoneticPr fontId="38" type="noConversion"/>
  </si>
  <si>
    <t>B1</t>
  </si>
  <si>
    <t>B0</t>
    <phoneticPr fontId="38" type="noConversion"/>
  </si>
  <si>
    <t>2024.11.30</t>
    <phoneticPr fontId="38" type="noConversion"/>
  </si>
  <si>
    <t>2024.07.29</t>
    <phoneticPr fontId="38" type="noConversion"/>
  </si>
  <si>
    <t>PM240707-012</t>
    <phoneticPr fontId="38" type="noConversion"/>
  </si>
  <si>
    <t>PM240707-012</t>
    <phoneticPr fontId="38" type="noConversion"/>
  </si>
  <si>
    <t>2025.02.17</t>
    <phoneticPr fontId="38" type="noConversion"/>
  </si>
  <si>
    <t>B2</t>
    <phoneticPr fontId="38" type="noConversion"/>
  </si>
  <si>
    <t>2025.06.16</t>
    <phoneticPr fontId="38" type="noConversion"/>
  </si>
  <si>
    <t>B2</t>
    <phoneticPr fontId="38" type="noConversion"/>
  </si>
  <si>
    <t>75.92%±1.00%
（依粘度调整）</t>
    <phoneticPr fontId="38" type="noConversion"/>
  </si>
  <si>
    <t>B2</t>
    <phoneticPr fontId="38" type="noConversion"/>
  </si>
  <si>
    <t>版本升级</t>
    <phoneticPr fontId="38" type="noConversion"/>
  </si>
  <si>
    <t>（4000-8000）mPa·s</t>
    <phoneticPr fontId="38" type="noConversion"/>
  </si>
  <si>
    <r>
      <rPr>
        <sz val="11"/>
        <rFont val="宋体"/>
        <family val="3"/>
        <charset val="134"/>
      </rPr>
      <t>出料固含由</t>
    </r>
    <r>
      <rPr>
        <sz val="11"/>
        <rFont val="Times New Roman"/>
        <family val="1"/>
      </rPr>
      <t>75.57%±1.00%</t>
    </r>
    <r>
      <rPr>
        <sz val="11"/>
        <rFont val="宋体"/>
        <family val="3"/>
        <charset val="134"/>
      </rPr>
      <t>变更为</t>
    </r>
    <r>
      <rPr>
        <sz val="11"/>
        <rFont val="Times New Roman"/>
        <family val="1"/>
      </rPr>
      <t>75.92%</t>
    </r>
    <r>
      <rPr>
        <sz val="11"/>
        <rFont val="宋体"/>
        <family val="3"/>
        <charset val="134"/>
      </rPr>
      <t>±</t>
    </r>
    <r>
      <rPr>
        <sz val="11"/>
        <rFont val="Times New Roman"/>
        <family val="1"/>
      </rPr>
      <t>1.00%</t>
    </r>
    <r>
      <rPr>
        <sz val="11"/>
        <rFont val="宋体"/>
        <family val="3"/>
        <charset val="134"/>
      </rPr>
      <t xml:space="preserve">
第</t>
    </r>
    <r>
      <rPr>
        <sz val="11"/>
        <rFont val="Times New Roman"/>
        <family val="1"/>
      </rPr>
      <t>10</t>
    </r>
    <r>
      <rPr>
        <sz val="11"/>
        <rFont val="宋体"/>
        <family val="3"/>
        <charset val="134"/>
      </rPr>
      <t>工步</t>
    </r>
    <r>
      <rPr>
        <sz val="11"/>
        <rFont val="Times New Roman"/>
        <family val="1"/>
      </rPr>
      <t>NMP</t>
    </r>
    <r>
      <rPr>
        <sz val="11"/>
        <rFont val="宋体"/>
        <family val="3"/>
        <charset val="134"/>
      </rPr>
      <t>加入量由</t>
    </r>
    <r>
      <rPr>
        <sz val="11"/>
        <rFont val="Times New Roman"/>
        <family val="1"/>
      </rPr>
      <t>3kg</t>
    </r>
    <r>
      <rPr>
        <sz val="11"/>
        <rFont val="宋体"/>
        <family val="3"/>
        <charset val="134"/>
      </rPr>
      <t>变更为</t>
    </r>
    <r>
      <rPr>
        <sz val="11"/>
        <rFont val="Times New Roman"/>
        <family val="1"/>
      </rPr>
      <t>1kg</t>
    </r>
    <phoneticPr fontId="38" type="noConversion"/>
  </si>
  <si>
    <t>1次/7天</t>
    <phoneticPr fontId="38" type="noConversion"/>
  </si>
  <si>
    <t>1次/7天</t>
    <phoneticPr fontId="38" type="noConversion"/>
  </si>
  <si>
    <t>高博、徐建伟、杨洁、丁正亚、郭少华、邢晨、顾梦洁、冯震世</t>
    <phoneticPr fontId="38" type="noConversion"/>
  </si>
  <si>
    <t>高博、徐建伟、杨洁、丁正亚、郭少华、邢晨、顾梦洁、冯震世</t>
    <phoneticPr fontId="38" type="noConversion"/>
  </si>
  <si>
    <t>版本升级</t>
    <phoneticPr fontId="3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</si>
</sst>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76" formatCode="0.000_);[Red]\(0.000\)"/>
    <numFmt numFmtId="177" formatCode="0.000_ "/>
    <numFmt numFmtId="178" formatCode="[$-409]mmm/yy;@"/>
    <numFmt numFmtId="179" formatCode="0.0000_ "/>
    <numFmt numFmtId="180" formatCode="0_ "/>
    <numFmt numFmtId="181" formatCode="0.0%"/>
    <numFmt numFmtId="182" formatCode="0.0_ "/>
    <numFmt numFmtId="183" formatCode="0.000"/>
    <numFmt numFmtId="184" formatCode="0_);[Red]\(0\)"/>
    <numFmt numFmtId="185" formatCode="0.00_ "/>
  </numFmts>
  <fonts count="60">
    <font>
      <sz val="11"/>
      <color theme="1"/>
      <name val="宋体"/>
      <charset val="134"/>
      <scheme val="minor"/>
    </font>
    <font>
      <sz val="11"/>
      <color theme="1"/>
      <name val="Times New Roman"/>
      <family val="1"/>
    </font>
    <font>
      <b/>
      <sz val="14"/>
      <color theme="1"/>
      <name val="Times New Roman"/>
      <family val="1"/>
    </font>
    <font>
      <sz val="11"/>
      <color theme="1"/>
      <name val="微软雅黑"/>
      <family val="2"/>
      <charset val="134"/>
    </font>
    <font>
      <b/>
      <sz val="11"/>
      <color theme="1"/>
      <name val="Times New Roman"/>
      <family val="1"/>
    </font>
    <font>
      <sz val="11"/>
      <name val="Times New Roman"/>
      <family val="1"/>
    </font>
    <font>
      <sz val="11"/>
      <color theme="1"/>
      <name val="宋体"/>
      <family val="3"/>
      <charset val="134"/>
    </font>
    <font>
      <b/>
      <sz val="14"/>
      <color theme="1"/>
      <name val="宋体"/>
      <family val="3"/>
      <charset val="134"/>
    </font>
    <font>
      <b/>
      <sz val="18"/>
      <color theme="1"/>
      <name val="宋体"/>
      <family val="3"/>
      <charset val="134"/>
    </font>
    <font>
      <b/>
      <sz val="10"/>
      <color theme="1"/>
      <name val="宋体"/>
      <family val="3"/>
      <charset val="134"/>
    </font>
    <font>
      <b/>
      <sz val="10"/>
      <color theme="1"/>
      <name val="Times New Roman"/>
      <family val="1"/>
    </font>
    <font>
      <sz val="10"/>
      <name val="Times New Roman"/>
      <family val="1"/>
    </font>
    <font>
      <sz val="10"/>
      <color theme="1"/>
      <name val="Times New Roman"/>
      <family val="1"/>
    </font>
    <font>
      <b/>
      <sz val="10"/>
      <name val="Times New Roman"/>
      <family val="1"/>
    </font>
    <font>
      <b/>
      <sz val="10"/>
      <name val="宋体"/>
      <family val="3"/>
      <charset val="134"/>
    </font>
    <font>
      <b/>
      <sz val="10"/>
      <color theme="1"/>
      <name val="宋体"/>
      <family val="3"/>
      <charset val="134"/>
      <scheme val="minor"/>
    </font>
    <font>
      <sz val="14"/>
      <name val="Times New Roman"/>
      <family val="1"/>
    </font>
    <font>
      <sz val="14"/>
      <color rgb="FFFF0000"/>
      <name val="Times New Roman"/>
      <family val="1"/>
    </font>
    <font>
      <sz val="10"/>
      <color theme="1"/>
      <name val="宋体"/>
      <family val="3"/>
      <charset val="134"/>
      <scheme val="minor"/>
    </font>
    <font>
      <sz val="10"/>
      <color theme="1"/>
      <name val="宋体"/>
      <family val="3"/>
      <charset val="134"/>
    </font>
    <font>
      <sz val="14"/>
      <color theme="1"/>
      <name val="Times New Roman"/>
      <family val="1"/>
    </font>
    <font>
      <b/>
      <sz val="18"/>
      <name val="宋体"/>
      <family val="3"/>
      <charset val="134"/>
    </font>
    <font>
      <b/>
      <sz val="18"/>
      <name val="Times New Roman"/>
      <family val="1"/>
    </font>
    <font>
      <b/>
      <sz val="12"/>
      <name val="宋体"/>
      <family val="3"/>
      <charset val="134"/>
    </font>
    <font>
      <sz val="12"/>
      <name val="宋体"/>
      <family val="3"/>
      <charset val="134"/>
    </font>
    <font>
      <sz val="12"/>
      <name val="Times New Roman"/>
      <family val="1"/>
    </font>
    <font>
      <b/>
      <sz val="16"/>
      <name val="Times New Roman"/>
      <family val="1"/>
    </font>
    <font>
      <sz val="11"/>
      <name val="宋体"/>
      <family val="3"/>
      <charset val="134"/>
    </font>
    <font>
      <b/>
      <sz val="12"/>
      <name val="Times New Roman"/>
      <family val="1"/>
    </font>
    <font>
      <sz val="11"/>
      <color theme="1"/>
      <name val="宋体"/>
      <family val="3"/>
      <charset val="134"/>
      <scheme val="minor"/>
    </font>
    <font>
      <sz val="11"/>
      <color theme="1"/>
      <name val="宋体"/>
      <family val="3"/>
      <charset val="134"/>
      <scheme val="minor"/>
    </font>
    <font>
      <sz val="11"/>
      <color indexed="8"/>
      <name val="宋体"/>
      <family val="3"/>
      <charset val="134"/>
    </font>
    <font>
      <sz val="11"/>
      <color indexed="8"/>
      <name val="宋体"/>
      <family val="3"/>
      <charset val="134"/>
    </font>
    <font>
      <sz val="12"/>
      <name val="華康中楷體"/>
      <family val="3"/>
    </font>
    <font>
      <sz val="11"/>
      <name val="微软雅黑"/>
      <family val="2"/>
      <charset val="134"/>
    </font>
    <font>
      <b/>
      <sz val="11"/>
      <color theme="1"/>
      <name val="微软雅黑"/>
      <family val="2"/>
      <charset val="134"/>
    </font>
    <font>
      <sz val="10"/>
      <name val="宋体"/>
      <family val="3"/>
      <charset val="134"/>
    </font>
    <font>
      <b/>
      <sz val="16"/>
      <name val="宋体"/>
      <family val="3"/>
      <charset val="134"/>
    </font>
    <font>
      <sz val="9"/>
      <name val="宋体"/>
      <family val="3"/>
      <charset val="134"/>
      <scheme val="minor"/>
    </font>
    <font>
      <sz val="10"/>
      <name val="宋体"/>
      <family val="3"/>
      <charset val="134"/>
      <scheme val="minor"/>
    </font>
    <font>
      <sz val="11"/>
      <color rgb="FFFF0000"/>
      <name val="Times New Roman"/>
      <family val="1"/>
    </font>
    <font>
      <sz val="11"/>
      <color theme="1"/>
      <name val="宋体"/>
      <family val="3"/>
      <charset val="134"/>
      <scheme val="minor"/>
    </font>
    <font>
      <sz val="10"/>
      <color theme="1"/>
      <name val="微软雅黑"/>
      <family val="2"/>
      <charset val="134"/>
    </font>
    <font>
      <sz val="10"/>
      <name val="微软雅黑"/>
      <family val="2"/>
      <charset val="134"/>
    </font>
    <font>
      <sz val="10"/>
      <color rgb="FFFF0000"/>
      <name val="微软雅黑"/>
      <family val="2"/>
      <charset val="134"/>
    </font>
    <font>
      <b/>
      <sz val="14"/>
      <color theme="1"/>
      <name val="微软雅黑"/>
      <family val="2"/>
      <charset val="134"/>
    </font>
    <font>
      <b/>
      <sz val="10"/>
      <color theme="1"/>
      <name val="微软雅黑"/>
      <family val="2"/>
      <charset val="134"/>
    </font>
    <font>
      <sz val="8"/>
      <color theme="1"/>
      <name val="Tahoma"/>
      <family val="2"/>
    </font>
    <font>
      <b/>
      <sz val="12"/>
      <name val="等线"/>
      <family val="3"/>
      <charset val="134"/>
    </font>
    <font>
      <b/>
      <sz val="9"/>
      <name val="等线"/>
      <family val="3"/>
      <charset val="134"/>
    </font>
    <font>
      <b/>
      <sz val="8"/>
      <name val="等线"/>
      <family val="3"/>
      <charset val="134"/>
    </font>
    <font>
      <b/>
      <sz val="8"/>
      <name val="微软雅黑"/>
      <family val="2"/>
      <charset val="134"/>
    </font>
    <font>
      <sz val="9"/>
      <name val="宋体"/>
      <family val="3"/>
      <charset val="134"/>
    </font>
    <font>
      <b/>
      <sz val="6"/>
      <name val="等线"/>
      <family val="3"/>
      <charset val="134"/>
    </font>
    <font>
      <sz val="10"/>
      <color rgb="FFFF0000"/>
      <name val="宋体"/>
      <family val="3"/>
      <charset val="134"/>
      <scheme val="minor"/>
    </font>
    <font>
      <b/>
      <sz val="9"/>
      <color indexed="81"/>
      <name val="宋体"/>
      <family val="3"/>
      <charset val="134"/>
    </font>
    <font>
      <sz val="9"/>
      <color indexed="81"/>
      <name val="宋体"/>
      <family val="3"/>
      <charset val="134"/>
    </font>
    <font>
      <sz val="9"/>
      <name val="微软雅黑"/>
      <family val="2"/>
      <charset val="134"/>
    </font>
    <font>
      <b/>
      <sz val="9"/>
      <name val="Times New Roman"/>
      <family val="1"/>
    </font>
    <font>
      <b/>
      <sz val="9"/>
      <name val="宋体"/>
      <family val="3"/>
      <charset val="13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right/>
      <top style="thin">
        <color auto="1"/>
      </top>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top style="medium">
        <color auto="1"/>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top style="thin">
        <color auto="1"/>
      </top>
      <bottom style="medium">
        <color auto="1"/>
      </bottom>
      <diagonal/>
    </border>
  </borders>
  <cellStyleXfs count="28">
    <xf numFmtId="178" fontId="0" fillId="0" borderId="0"/>
    <xf numFmtId="178" fontId="30" fillId="0" borderId="0"/>
    <xf numFmtId="178" fontId="29" fillId="0" borderId="0"/>
    <xf numFmtId="0" fontId="30" fillId="0" borderId="0">
      <alignment vertical="center"/>
    </xf>
    <xf numFmtId="178" fontId="30" fillId="0" borderId="0">
      <alignment vertical="center"/>
    </xf>
    <xf numFmtId="178" fontId="31" fillId="0" borderId="0">
      <alignment vertical="center"/>
    </xf>
    <xf numFmtId="178" fontId="25" fillId="0" borderId="0"/>
    <xf numFmtId="178" fontId="31" fillId="0" borderId="0">
      <alignment vertical="center"/>
    </xf>
    <xf numFmtId="178" fontId="32" fillId="0" borderId="0">
      <alignment vertical="center"/>
    </xf>
    <xf numFmtId="178" fontId="30" fillId="0" borderId="0">
      <alignment vertical="center"/>
    </xf>
    <xf numFmtId="178" fontId="30" fillId="0" borderId="0">
      <alignment vertical="center"/>
    </xf>
    <xf numFmtId="178" fontId="31" fillId="0" borderId="0">
      <alignment vertical="center"/>
    </xf>
    <xf numFmtId="178" fontId="30" fillId="0" borderId="0">
      <alignment vertical="center"/>
    </xf>
    <xf numFmtId="178" fontId="30" fillId="0" borderId="0">
      <alignment vertical="center"/>
    </xf>
    <xf numFmtId="178" fontId="29" fillId="0" borderId="0"/>
    <xf numFmtId="178" fontId="31" fillId="0" borderId="0">
      <alignment vertical="center"/>
    </xf>
    <xf numFmtId="178" fontId="31" fillId="0" borderId="0">
      <alignment vertical="center"/>
    </xf>
    <xf numFmtId="178" fontId="29" fillId="0" borderId="0"/>
    <xf numFmtId="178" fontId="30" fillId="0" borderId="0"/>
    <xf numFmtId="178" fontId="29" fillId="0" borderId="0"/>
    <xf numFmtId="178" fontId="29" fillId="0" borderId="0"/>
    <xf numFmtId="178" fontId="30" fillId="0" borderId="0"/>
    <xf numFmtId="178" fontId="29" fillId="0" borderId="0"/>
    <xf numFmtId="178" fontId="29" fillId="0" borderId="0"/>
    <xf numFmtId="0" fontId="29" fillId="0" borderId="0"/>
    <xf numFmtId="0" fontId="33" fillId="0" borderId="0"/>
    <xf numFmtId="178" fontId="29" fillId="0" borderId="0"/>
    <xf numFmtId="9" fontId="41" fillId="0" borderId="0" applyFont="0" applyFill="0" applyBorder="0" applyAlignment="0" applyProtection="0">
      <alignment vertical="center"/>
    </xf>
  </cellStyleXfs>
  <cellXfs count="428">
    <xf numFmtId="178" fontId="0" fillId="0" borderId="0" xfId="0"/>
    <xf numFmtId="0" fontId="1" fillId="0" borderId="0" xfId="24" applyFont="1" applyAlignment="1">
      <alignment horizontal="center" vertical="center"/>
    </xf>
    <xf numFmtId="0" fontId="1" fillId="0" borderId="0" xfId="24" applyFont="1" applyAlignment="1">
      <alignment horizontal="center" vertical="center" wrapText="1"/>
    </xf>
    <xf numFmtId="176" fontId="1" fillId="0" borderId="0" xfId="24" applyNumberFormat="1" applyFont="1" applyAlignment="1">
      <alignment horizontal="center" vertical="center"/>
    </xf>
    <xf numFmtId="0" fontId="1" fillId="0" borderId="3" xfId="24" applyFont="1" applyBorder="1" applyAlignment="1">
      <alignment horizontal="center" vertical="center"/>
    </xf>
    <xf numFmtId="0" fontId="1" fillId="0" borderId="3" xfId="24" applyFont="1" applyBorder="1" applyAlignment="1">
      <alignment horizontal="center" vertical="center" wrapText="1"/>
    </xf>
    <xf numFmtId="177" fontId="3" fillId="0" borderId="3" xfId="24" applyNumberFormat="1" applyFont="1" applyBorder="1" applyAlignment="1">
      <alignment horizontal="center" vertical="center" wrapText="1"/>
    </xf>
    <xf numFmtId="177" fontId="1" fillId="0" borderId="3" xfId="24" applyNumberFormat="1" applyFont="1" applyBorder="1" applyAlignment="1">
      <alignment horizontal="center" vertical="center"/>
    </xf>
    <xf numFmtId="177" fontId="3" fillId="0" borderId="3" xfId="24" applyNumberFormat="1" applyFont="1" applyBorder="1" applyAlignment="1">
      <alignment horizontal="center" vertical="center"/>
    </xf>
    <xf numFmtId="0" fontId="4" fillId="0" borderId="3" xfId="24" applyFont="1" applyBorder="1" applyAlignment="1">
      <alignment horizontal="center" vertical="center"/>
    </xf>
    <xf numFmtId="0" fontId="3" fillId="0" borderId="3" xfId="24" applyFont="1" applyBorder="1" applyAlignment="1">
      <alignment horizontal="center" vertical="center"/>
    </xf>
    <xf numFmtId="180" fontId="1" fillId="0" borderId="3" xfId="24" applyNumberFormat="1" applyFont="1" applyBorder="1" applyAlignment="1">
      <alignment horizontal="center" vertical="center"/>
    </xf>
    <xf numFmtId="180" fontId="4" fillId="0" borderId="3" xfId="24" applyNumberFormat="1" applyFont="1" applyBorder="1" applyAlignment="1">
      <alignment horizontal="center" vertical="center"/>
    </xf>
    <xf numFmtId="0" fontId="2" fillId="0" borderId="3" xfId="24" applyFont="1" applyBorder="1" applyAlignment="1">
      <alignment vertical="center"/>
    </xf>
    <xf numFmtId="0" fontId="2" fillId="0" borderId="0" xfId="24" applyFont="1" applyBorder="1" applyAlignment="1">
      <alignment vertical="center"/>
    </xf>
    <xf numFmtId="0" fontId="1" fillId="0" borderId="0" xfId="24" applyFont="1" applyBorder="1" applyAlignment="1">
      <alignment horizontal="center" vertical="center"/>
    </xf>
    <xf numFmtId="181" fontId="1" fillId="0" borderId="3" xfId="24" applyNumberFormat="1" applyFont="1" applyBorder="1" applyAlignment="1">
      <alignment horizontal="center" vertical="center"/>
    </xf>
    <xf numFmtId="181" fontId="1" fillId="0" borderId="0" xfId="24" applyNumberFormat="1" applyFont="1" applyBorder="1" applyAlignment="1">
      <alignment horizontal="center" vertical="center"/>
    </xf>
    <xf numFmtId="0" fontId="3" fillId="0" borderId="3" xfId="24" applyFont="1" applyBorder="1" applyAlignment="1">
      <alignment horizontal="left" vertical="center" wrapText="1"/>
    </xf>
    <xf numFmtId="0" fontId="3" fillId="0" borderId="3" xfId="24" applyFont="1" applyBorder="1" applyAlignment="1">
      <alignment horizontal="center" vertical="center" wrapText="1"/>
    </xf>
    <xf numFmtId="181" fontId="1" fillId="0" borderId="5" xfId="24" applyNumberFormat="1" applyFont="1" applyBorder="1" applyAlignment="1">
      <alignment vertical="center" wrapText="1"/>
    </xf>
    <xf numFmtId="181" fontId="1" fillId="0" borderId="0" xfId="24" applyNumberFormat="1" applyFont="1" applyBorder="1" applyAlignment="1">
      <alignment vertical="center" wrapText="1"/>
    </xf>
    <xf numFmtId="0" fontId="5" fillId="0" borderId="3" xfId="24" applyFont="1" applyBorder="1" applyAlignment="1">
      <alignment horizontal="center" vertical="center" wrapText="1"/>
    </xf>
    <xf numFmtId="0" fontId="6" fillId="2" borderId="3" xfId="24" applyFont="1" applyFill="1" applyBorder="1" applyAlignment="1">
      <alignment horizontal="center" vertical="center"/>
    </xf>
    <xf numFmtId="0" fontId="6" fillId="0" borderId="3" xfId="24" applyFont="1" applyBorder="1" applyAlignment="1">
      <alignment horizontal="center" vertical="center"/>
    </xf>
    <xf numFmtId="179" fontId="6" fillId="0" borderId="3" xfId="24" applyNumberFormat="1" applyFont="1" applyBorder="1" applyAlignment="1">
      <alignment horizontal="center" vertical="center"/>
    </xf>
    <xf numFmtId="0" fontId="6" fillId="0" borderId="3" xfId="24" applyFont="1" applyFill="1" applyBorder="1" applyAlignment="1">
      <alignment horizontal="center" vertical="center"/>
    </xf>
    <xf numFmtId="0" fontId="1" fillId="3" borderId="3" xfId="24" applyFont="1" applyFill="1" applyBorder="1" applyAlignment="1">
      <alignment horizontal="center" vertical="center"/>
    </xf>
    <xf numFmtId="10" fontId="1" fillId="3" borderId="3" xfId="24" applyNumberFormat="1" applyFont="1" applyFill="1" applyBorder="1" applyAlignment="1">
      <alignment horizontal="center" vertical="center"/>
    </xf>
    <xf numFmtId="182" fontId="1" fillId="0" borderId="3" xfId="24" applyNumberFormat="1" applyFont="1" applyBorder="1" applyAlignment="1">
      <alignment horizontal="center" vertical="center"/>
    </xf>
    <xf numFmtId="183" fontId="1" fillId="0" borderId="3" xfId="24" applyNumberFormat="1" applyFont="1" applyBorder="1" applyAlignment="1">
      <alignment horizontal="center" vertical="center"/>
    </xf>
    <xf numFmtId="177" fontId="1" fillId="3" borderId="3" xfId="24" applyNumberFormat="1" applyFont="1" applyFill="1" applyBorder="1" applyAlignment="1">
      <alignment horizontal="center" vertical="center"/>
    </xf>
    <xf numFmtId="179" fontId="29" fillId="0" borderId="3" xfId="24" applyNumberFormat="1" applyBorder="1"/>
    <xf numFmtId="10" fontId="1" fillId="0" borderId="3" xfId="24" applyNumberFormat="1" applyFont="1" applyBorder="1" applyAlignment="1">
      <alignment horizontal="center" vertical="center"/>
    </xf>
    <xf numFmtId="179" fontId="1" fillId="0" borderId="3" xfId="24" applyNumberFormat="1" applyFont="1" applyBorder="1" applyAlignment="1">
      <alignment horizontal="center" vertical="center"/>
    </xf>
    <xf numFmtId="179" fontId="1" fillId="3" borderId="3" xfId="24" applyNumberFormat="1" applyFont="1" applyFill="1" applyBorder="1" applyAlignment="1">
      <alignment horizontal="center" vertical="center"/>
    </xf>
    <xf numFmtId="179" fontId="1" fillId="2" borderId="3" xfId="24" applyNumberFormat="1" applyFont="1" applyFill="1" applyBorder="1" applyAlignment="1">
      <alignment horizontal="center" vertical="center"/>
    </xf>
    <xf numFmtId="0" fontId="29" fillId="0" borderId="3" xfId="24" applyBorder="1"/>
    <xf numFmtId="0" fontId="0" fillId="0" borderId="3" xfId="24" applyFont="1" applyBorder="1"/>
    <xf numFmtId="178" fontId="5" fillId="0" borderId="0" xfId="12" applyFont="1" applyFill="1" applyBorder="1" applyAlignment="1" applyProtection="1">
      <alignment horizontal="justify" vertical="center" wrapText="1"/>
      <protection locked="0"/>
    </xf>
    <xf numFmtId="178" fontId="5" fillId="0" borderId="0" xfId="12" applyFont="1" applyFill="1" applyBorder="1" applyAlignment="1" applyProtection="1">
      <alignment horizontal="center" vertical="center"/>
      <protection locked="0"/>
    </xf>
    <xf numFmtId="178" fontId="5" fillId="0" borderId="0" xfId="12" applyFont="1" applyFill="1" applyAlignment="1" applyProtection="1">
      <alignment vertical="center" wrapText="1"/>
      <protection locked="0"/>
    </xf>
    <xf numFmtId="178" fontId="5" fillId="0" borderId="0" xfId="12" applyFont="1" applyFill="1" applyBorder="1" applyAlignment="1" applyProtection="1">
      <alignment vertical="center"/>
      <protection locked="0"/>
    </xf>
    <xf numFmtId="178" fontId="5" fillId="0" borderId="0" xfId="12" applyFont="1" applyFill="1" applyBorder="1" applyAlignment="1" applyProtection="1">
      <alignment horizontal="left" vertical="center"/>
      <protection locked="0"/>
    </xf>
    <xf numFmtId="178" fontId="5" fillId="0" borderId="0" xfId="12" applyFont="1" applyFill="1" applyBorder="1" applyAlignment="1" applyProtection="1">
      <alignment horizontal="left" vertical="center" wrapText="1"/>
      <protection locked="0"/>
    </xf>
    <xf numFmtId="178" fontId="5" fillId="0" borderId="0" xfId="12" applyFont="1" applyFill="1" applyBorder="1" applyAlignment="1" applyProtection="1">
      <alignment horizontal="justify" vertical="center"/>
      <protection locked="0"/>
    </xf>
    <xf numFmtId="178" fontId="10" fillId="3" borderId="15" xfId="12" applyFont="1" applyFill="1" applyBorder="1" applyAlignment="1" applyProtection="1">
      <alignment horizontal="center" vertical="center" wrapText="1"/>
      <protection locked="0"/>
    </xf>
    <xf numFmtId="178" fontId="9" fillId="3" borderId="17" xfId="10" applyFont="1" applyFill="1" applyBorder="1" applyAlignment="1" applyProtection="1">
      <alignment horizontal="center" vertical="center" wrapText="1"/>
      <protection locked="0"/>
    </xf>
    <xf numFmtId="178" fontId="10" fillId="3" borderId="18" xfId="12" applyFont="1" applyFill="1" applyBorder="1" applyAlignment="1" applyProtection="1">
      <alignment horizontal="center" vertical="center" wrapText="1"/>
      <protection locked="0"/>
    </xf>
    <xf numFmtId="178" fontId="9" fillId="3" borderId="1" xfId="12" applyFont="1" applyFill="1" applyBorder="1" applyAlignment="1" applyProtection="1">
      <alignment horizontal="center" vertical="center"/>
      <protection locked="0"/>
    </xf>
    <xf numFmtId="178" fontId="9" fillId="3" borderId="3" xfId="10" applyFont="1" applyFill="1" applyBorder="1" applyAlignment="1" applyProtection="1">
      <alignment horizontal="center" vertical="center" wrapText="1"/>
      <protection locked="0"/>
    </xf>
    <xf numFmtId="178" fontId="15" fillId="0" borderId="3" xfId="12" applyFont="1" applyFill="1" applyBorder="1" applyAlignment="1">
      <alignment horizontal="center" vertical="center" wrapText="1"/>
    </xf>
    <xf numFmtId="178" fontId="16" fillId="0" borderId="0" xfId="0" applyFont="1" applyAlignment="1" applyProtection="1">
      <protection locked="0"/>
    </xf>
    <xf numFmtId="178" fontId="16" fillId="0" borderId="0" xfId="0" applyFont="1" applyAlignment="1" applyProtection="1">
      <alignment vertical="center"/>
      <protection locked="0"/>
    </xf>
    <xf numFmtId="178" fontId="16" fillId="3" borderId="0" xfId="0" applyFont="1" applyFill="1" applyBorder="1" applyAlignment="1" applyProtection="1">
      <alignment vertical="center"/>
      <protection locked="0"/>
    </xf>
    <xf numFmtId="178" fontId="17" fillId="0" borderId="0" xfId="0" applyFont="1" applyAlignment="1" applyProtection="1">
      <protection locked="0"/>
    </xf>
    <xf numFmtId="178" fontId="17" fillId="3" borderId="0" xfId="0" applyFont="1" applyFill="1" applyBorder="1" applyAlignment="1" applyProtection="1">
      <alignment vertical="center"/>
      <protection locked="0"/>
    </xf>
    <xf numFmtId="178" fontId="1" fillId="3" borderId="0" xfId="12" applyFont="1" applyFill="1" applyAlignment="1" applyProtection="1">
      <alignment vertical="center" wrapText="1"/>
      <protection locked="0"/>
    </xf>
    <xf numFmtId="178" fontId="18" fillId="3" borderId="9" xfId="12" applyFont="1" applyFill="1" applyBorder="1" applyAlignment="1" applyProtection="1">
      <alignment horizontal="center" vertical="center" wrapText="1"/>
      <protection locked="0"/>
    </xf>
    <xf numFmtId="178" fontId="18" fillId="3" borderId="3" xfId="10" applyFont="1" applyFill="1" applyBorder="1" applyAlignment="1" applyProtection="1">
      <alignment horizontal="center" vertical="center" wrapText="1"/>
      <protection locked="0"/>
    </xf>
    <xf numFmtId="0" fontId="18" fillId="3" borderId="3" xfId="10" applyNumberFormat="1" applyFont="1" applyFill="1" applyBorder="1" applyAlignment="1">
      <alignment horizontal="center" vertical="center" wrapText="1"/>
    </xf>
    <xf numFmtId="178" fontId="12" fillId="3" borderId="3" xfId="10" applyFont="1" applyFill="1" applyBorder="1" applyAlignment="1" applyProtection="1">
      <alignment horizontal="center" vertical="center" wrapText="1"/>
      <protection locked="0"/>
    </xf>
    <xf numFmtId="178" fontId="18" fillId="3" borderId="3" xfId="0" applyFont="1" applyFill="1" applyBorder="1" applyAlignment="1">
      <alignment horizontal="center" vertical="center" wrapText="1"/>
    </xf>
    <xf numFmtId="178" fontId="18" fillId="3" borderId="3" xfId="17" applyFont="1" applyFill="1" applyBorder="1" applyAlignment="1" applyProtection="1">
      <alignment horizontal="left" vertical="center" wrapText="1"/>
      <protection locked="0"/>
    </xf>
    <xf numFmtId="178" fontId="18" fillId="3" borderId="1" xfId="10" applyFont="1" applyFill="1" applyBorder="1" applyAlignment="1" applyProtection="1">
      <alignment horizontal="center" vertical="center" wrapText="1"/>
    </xf>
    <xf numFmtId="178" fontId="18" fillId="3" borderId="1" xfId="10" applyFont="1" applyFill="1" applyBorder="1" applyAlignment="1">
      <alignment horizontal="center" vertical="center" wrapText="1"/>
    </xf>
    <xf numFmtId="178" fontId="18" fillId="3" borderId="3" xfId="13" applyFont="1" applyFill="1" applyBorder="1" applyAlignment="1">
      <alignment horizontal="left" vertical="center" wrapText="1"/>
    </xf>
    <xf numFmtId="178" fontId="18" fillId="3" borderId="1" xfId="13" applyFont="1" applyFill="1" applyBorder="1" applyAlignment="1" applyProtection="1">
      <alignment horizontal="center" vertical="center" wrapText="1"/>
    </xf>
    <xf numFmtId="178" fontId="18" fillId="3" borderId="3" xfId="13" applyFont="1" applyFill="1" applyBorder="1" applyAlignment="1" applyProtection="1">
      <alignment horizontal="left" vertical="center" wrapText="1"/>
    </xf>
    <xf numFmtId="178" fontId="1" fillId="3" borderId="0" xfId="12" applyFont="1" applyFill="1" applyBorder="1" applyAlignment="1" applyProtection="1">
      <alignment vertical="center" wrapText="1"/>
      <protection locked="0"/>
    </xf>
    <xf numFmtId="0" fontId="18" fillId="3" borderId="3" xfId="3" applyFont="1" applyFill="1" applyBorder="1" applyAlignment="1" applyProtection="1">
      <alignment horizontal="center" vertical="center" wrapText="1"/>
      <protection locked="0"/>
    </xf>
    <xf numFmtId="178" fontId="18" fillId="3" borderId="3" xfId="13" applyFont="1" applyFill="1" applyBorder="1" applyAlignment="1" applyProtection="1">
      <alignment horizontal="left" vertical="center" wrapText="1"/>
      <protection locked="0"/>
    </xf>
    <xf numFmtId="178" fontId="18" fillId="3" borderId="3" xfId="13" applyFont="1" applyFill="1" applyBorder="1" applyAlignment="1" applyProtection="1">
      <alignment horizontal="center" vertical="center" wrapText="1"/>
      <protection locked="0"/>
    </xf>
    <xf numFmtId="178" fontId="18" fillId="3" borderId="3" xfId="13" applyFont="1" applyFill="1" applyBorder="1" applyAlignment="1" applyProtection="1">
      <alignment horizontal="center" vertical="center" wrapText="1"/>
    </xf>
    <xf numFmtId="9" fontId="18" fillId="3" borderId="3" xfId="3" applyNumberFormat="1" applyFont="1" applyFill="1" applyBorder="1" applyAlignment="1" applyProtection="1">
      <alignment horizontal="center" vertical="center" wrapText="1"/>
      <protection locked="0"/>
    </xf>
    <xf numFmtId="178" fontId="18" fillId="3" borderId="0" xfId="10" applyFont="1" applyFill="1" applyBorder="1" applyAlignment="1" applyProtection="1">
      <alignment vertical="center" wrapText="1"/>
    </xf>
    <xf numFmtId="178" fontId="20" fillId="3" borderId="0" xfId="0" applyFont="1" applyFill="1" applyBorder="1" applyAlignment="1" applyProtection="1">
      <alignment vertical="center"/>
      <protection locked="0"/>
    </xf>
    <xf numFmtId="178" fontId="5" fillId="0" borderId="0" xfId="18" applyFont="1"/>
    <xf numFmtId="0" fontId="5" fillId="0" borderId="0" xfId="18" applyNumberFormat="1" applyFont="1"/>
    <xf numFmtId="0" fontId="23" fillId="3" borderId="3" xfId="18" applyNumberFormat="1" applyFont="1" applyFill="1" applyBorder="1" applyAlignment="1">
      <alignment horizontal="center" vertical="center"/>
    </xf>
    <xf numFmtId="0" fontId="25" fillId="3" borderId="3" xfId="18" applyNumberFormat="1" applyFont="1" applyFill="1" applyBorder="1" applyAlignment="1">
      <alignment horizontal="center" vertical="center"/>
    </xf>
    <xf numFmtId="178" fontId="25" fillId="3" borderId="3" xfId="18" applyFont="1" applyFill="1" applyBorder="1" applyAlignment="1">
      <alignment horizontal="center" vertical="center"/>
    </xf>
    <xf numFmtId="0" fontId="5" fillId="3" borderId="3" xfId="18" applyNumberFormat="1" applyFont="1" applyFill="1" applyBorder="1" applyAlignment="1">
      <alignment horizontal="center" vertical="center"/>
    </xf>
    <xf numFmtId="178" fontId="5" fillId="3" borderId="9" xfId="0" applyFont="1" applyFill="1" applyBorder="1" applyAlignment="1">
      <alignment horizontal="center" vertical="center"/>
    </xf>
    <xf numFmtId="0" fontId="5" fillId="0" borderId="3" xfId="18" applyNumberFormat="1" applyFont="1" applyBorder="1" applyAlignment="1">
      <alignment horizontal="center" vertical="center"/>
    </xf>
    <xf numFmtId="178" fontId="5" fillId="0" borderId="9" xfId="0" applyFont="1" applyBorder="1" applyAlignment="1">
      <alignment horizontal="center" vertical="center"/>
    </xf>
    <xf numFmtId="178" fontId="5" fillId="0" borderId="3" xfId="0" applyFont="1" applyBorder="1" applyAlignment="1">
      <alignment horizontal="center" vertical="center"/>
    </xf>
    <xf numFmtId="0" fontId="5" fillId="0" borderId="3" xfId="18" applyNumberFormat="1" applyFont="1" applyBorder="1"/>
    <xf numFmtId="178" fontId="5" fillId="0" borderId="3" xfId="18" applyFont="1" applyBorder="1" applyAlignment="1">
      <alignment horizontal="center" vertical="center"/>
    </xf>
    <xf numFmtId="178" fontId="25" fillId="0" borderId="1" xfId="18" applyFont="1" applyFill="1" applyBorder="1" applyAlignment="1">
      <alignment horizontal="center" vertical="center"/>
    </xf>
    <xf numFmtId="178" fontId="5" fillId="0" borderId="3" xfId="0" applyFont="1" applyBorder="1" applyAlignment="1">
      <alignment vertical="center" wrapText="1"/>
    </xf>
    <xf numFmtId="178" fontId="25" fillId="3" borderId="3" xfId="18" applyFont="1" applyFill="1" applyBorder="1" applyAlignment="1">
      <alignment horizontal="center" vertical="center" wrapText="1"/>
    </xf>
    <xf numFmtId="14" fontId="1" fillId="0" borderId="9" xfId="0" applyNumberFormat="1" applyFont="1" applyBorder="1" applyAlignment="1">
      <alignment horizontal="center" vertical="center"/>
    </xf>
    <xf numFmtId="14" fontId="1" fillId="0" borderId="3" xfId="0" applyNumberFormat="1" applyFont="1" applyBorder="1" applyAlignment="1">
      <alignment horizontal="center" vertical="center"/>
    </xf>
    <xf numFmtId="14" fontId="5" fillId="0" borderId="3" xfId="0" applyNumberFormat="1" applyFont="1" applyBorder="1" applyAlignment="1">
      <alignment horizontal="center" vertical="center"/>
    </xf>
    <xf numFmtId="14" fontId="5" fillId="0" borderId="3" xfId="18" applyNumberFormat="1" applyFont="1" applyBorder="1" applyAlignment="1">
      <alignment horizontal="center" vertical="center"/>
    </xf>
    <xf numFmtId="178" fontId="27" fillId="0" borderId="9" xfId="0" applyFont="1" applyBorder="1" applyAlignment="1">
      <alignment horizontal="center" vertical="center"/>
    </xf>
    <xf numFmtId="0" fontId="35" fillId="0" borderId="3" xfId="24" applyFont="1" applyBorder="1" applyAlignment="1">
      <alignment horizontal="center" vertical="center" wrapText="1"/>
    </xf>
    <xf numFmtId="49" fontId="1" fillId="0" borderId="3" xfId="24" applyNumberFormat="1" applyFont="1" applyBorder="1" applyAlignment="1">
      <alignment horizontal="center" vertical="center"/>
    </xf>
    <xf numFmtId="177" fontId="1" fillId="0" borderId="3" xfId="24" applyNumberFormat="1" applyFont="1" applyBorder="1" applyAlignment="1">
      <alignment horizontal="center" vertical="center" wrapText="1"/>
    </xf>
    <xf numFmtId="181" fontId="1" fillId="2" borderId="3" xfId="24" applyNumberFormat="1" applyFont="1" applyFill="1" applyBorder="1" applyAlignment="1">
      <alignment horizontal="center" vertical="center"/>
    </xf>
    <xf numFmtId="177" fontId="1" fillId="2" borderId="3" xfId="24" applyNumberFormat="1" applyFont="1" applyFill="1" applyBorder="1" applyAlignment="1">
      <alignment horizontal="center" vertical="center"/>
    </xf>
    <xf numFmtId="0" fontId="1" fillId="0" borderId="3" xfId="24" applyFont="1" applyFill="1" applyBorder="1" applyAlignment="1">
      <alignment horizontal="center" vertical="center"/>
    </xf>
    <xf numFmtId="0" fontId="5" fillId="0" borderId="3" xfId="24" applyFont="1" applyFill="1" applyBorder="1" applyAlignment="1">
      <alignment horizontal="center" vertical="center" wrapText="1"/>
    </xf>
    <xf numFmtId="178" fontId="10" fillId="0" borderId="3" xfId="12" applyFont="1" applyFill="1" applyBorder="1" applyAlignment="1" applyProtection="1">
      <alignment horizontal="center" vertical="center"/>
      <protection locked="0"/>
    </xf>
    <xf numFmtId="178" fontId="9" fillId="0" borderId="3" xfId="12" applyFont="1" applyFill="1" applyBorder="1" applyAlignment="1" applyProtection="1">
      <alignment horizontal="center" vertical="center" wrapText="1"/>
      <protection locked="0"/>
    </xf>
    <xf numFmtId="178" fontId="27" fillId="3" borderId="1" xfId="0" applyFont="1" applyFill="1" applyBorder="1" applyAlignment="1">
      <alignment horizontal="center" vertical="center" wrapText="1"/>
    </xf>
    <xf numFmtId="177" fontId="40" fillId="2" borderId="3" xfId="24" applyNumberFormat="1" applyFont="1" applyFill="1" applyBorder="1" applyAlignment="1">
      <alignment horizontal="center" vertical="center"/>
    </xf>
    <xf numFmtId="181" fontId="40" fillId="2" borderId="3" xfId="24" applyNumberFormat="1" applyFont="1" applyFill="1" applyBorder="1" applyAlignment="1">
      <alignment horizontal="center" vertical="center"/>
    </xf>
    <xf numFmtId="178" fontId="10" fillId="3" borderId="20" xfId="12" applyFont="1" applyFill="1" applyBorder="1" applyAlignment="1" applyProtection="1">
      <alignment horizontal="center" vertical="center"/>
      <protection locked="0"/>
    </xf>
    <xf numFmtId="178" fontId="18" fillId="3" borderId="0" xfId="7" applyFont="1" applyFill="1" applyAlignment="1"/>
    <xf numFmtId="178" fontId="42" fillId="3" borderId="3" xfId="7" applyFont="1" applyFill="1" applyBorder="1" applyAlignment="1">
      <alignment horizontal="center" vertical="center"/>
    </xf>
    <xf numFmtId="182" fontId="42" fillId="3" borderId="3" xfId="7" applyNumberFormat="1" applyFont="1" applyFill="1" applyBorder="1" applyAlignment="1">
      <alignment horizontal="center" vertical="center"/>
    </xf>
    <xf numFmtId="181" fontId="42" fillId="3" borderId="3" xfId="7" applyNumberFormat="1" applyFont="1" applyFill="1" applyBorder="1" applyAlignment="1">
      <alignment horizontal="center" vertical="center"/>
    </xf>
    <xf numFmtId="178" fontId="18" fillId="3" borderId="3" xfId="7" applyFont="1" applyFill="1" applyBorder="1" applyAlignment="1"/>
    <xf numFmtId="178" fontId="18" fillId="3" borderId="0" xfId="7" applyFont="1" applyFill="1" applyAlignment="1">
      <alignment horizontal="center" vertical="center"/>
    </xf>
    <xf numFmtId="178" fontId="43" fillId="3" borderId="3" xfId="7" applyFont="1" applyFill="1" applyBorder="1" applyAlignment="1">
      <alignment horizontal="center" vertical="center"/>
    </xf>
    <xf numFmtId="0" fontId="1" fillId="3" borderId="3" xfId="24" applyFont="1" applyFill="1" applyBorder="1" applyAlignment="1">
      <alignment horizontal="center" vertical="center" wrapText="1"/>
    </xf>
    <xf numFmtId="181" fontId="1" fillId="3" borderId="3" xfId="27" applyNumberFormat="1" applyFont="1" applyFill="1" applyBorder="1" applyAlignment="1">
      <alignment horizontal="center" vertical="center"/>
    </xf>
    <xf numFmtId="181" fontId="42" fillId="3" borderId="3" xfId="27" applyNumberFormat="1" applyFont="1" applyFill="1" applyBorder="1" applyAlignment="1">
      <alignment horizontal="center" vertical="center"/>
    </xf>
    <xf numFmtId="9" fontId="42" fillId="3" borderId="3" xfId="7" applyNumberFormat="1" applyFont="1" applyFill="1" applyBorder="1" applyAlignment="1">
      <alignment horizontal="center" vertical="center"/>
    </xf>
    <xf numFmtId="178" fontId="42" fillId="3" borderId="0" xfId="7" applyFont="1" applyFill="1" applyBorder="1" applyAlignment="1"/>
    <xf numFmtId="178" fontId="43" fillId="3" borderId="0" xfId="7" applyFont="1" applyFill="1" applyBorder="1" applyAlignment="1">
      <alignment horizontal="center" vertical="center"/>
    </xf>
    <xf numFmtId="10" fontId="44" fillId="3" borderId="0" xfId="7" applyNumberFormat="1" applyFont="1" applyFill="1" applyBorder="1" applyAlignment="1">
      <alignment horizontal="center" vertical="center"/>
    </xf>
    <xf numFmtId="9" fontId="44" fillId="3" borderId="0" xfId="7" applyNumberFormat="1" applyFont="1" applyFill="1" applyBorder="1" applyAlignment="1">
      <alignment horizontal="center" vertical="center"/>
    </xf>
    <xf numFmtId="178" fontId="44" fillId="3" borderId="0" xfId="7" applyFont="1" applyFill="1" applyBorder="1" applyAlignment="1">
      <alignment horizontal="center" vertical="center"/>
    </xf>
    <xf numFmtId="178" fontId="42" fillId="3" borderId="0" xfId="7" applyFont="1" applyFill="1" applyBorder="1" applyAlignment="1">
      <alignment horizontal="center" vertical="center"/>
    </xf>
    <xf numFmtId="178" fontId="18" fillId="3" borderId="0" xfId="7" applyFont="1" applyFill="1" applyBorder="1" applyAlignment="1"/>
    <xf numFmtId="0" fontId="6" fillId="3" borderId="3" xfId="24" applyFont="1" applyFill="1" applyBorder="1" applyAlignment="1">
      <alignment horizontal="center" vertical="center"/>
    </xf>
    <xf numFmtId="179" fontId="6" fillId="3" borderId="3" xfId="24" applyNumberFormat="1" applyFont="1" applyFill="1" applyBorder="1" applyAlignment="1">
      <alignment horizontal="center" vertical="center"/>
    </xf>
    <xf numFmtId="0" fontId="3" fillId="3" borderId="22" xfId="24" applyFont="1" applyFill="1" applyBorder="1" applyAlignment="1">
      <alignment horizontal="center" vertical="center"/>
    </xf>
    <xf numFmtId="0" fontId="3" fillId="3" borderId="3" xfId="24" applyFont="1" applyFill="1" applyBorder="1" applyAlignment="1">
      <alignment horizontal="center" vertical="center"/>
    </xf>
    <xf numFmtId="0" fontId="3" fillId="3" borderId="3" xfId="24" applyFont="1" applyFill="1" applyBorder="1" applyAlignment="1">
      <alignment horizontal="center" vertical="center" wrapText="1"/>
    </xf>
    <xf numFmtId="0" fontId="3" fillId="3" borderId="24" xfId="24" applyFont="1" applyFill="1" applyBorder="1" applyAlignment="1">
      <alignment horizontal="center" vertical="center"/>
    </xf>
    <xf numFmtId="182" fontId="1" fillId="3" borderId="3" xfId="24" applyNumberFormat="1" applyFont="1" applyFill="1" applyBorder="1" applyAlignment="1">
      <alignment horizontal="center" vertical="center"/>
    </xf>
    <xf numFmtId="183" fontId="1" fillId="3" borderId="3" xfId="24" applyNumberFormat="1" applyFont="1" applyFill="1" applyBorder="1" applyAlignment="1">
      <alignment horizontal="center" vertical="center"/>
    </xf>
    <xf numFmtId="179" fontId="29" fillId="3" borderId="3" xfId="24" applyNumberFormat="1" applyFill="1" applyBorder="1" applyAlignment="1"/>
    <xf numFmtId="177" fontId="3" fillId="3" borderId="3" xfId="24" applyNumberFormat="1" applyFont="1" applyFill="1" applyBorder="1" applyAlignment="1">
      <alignment horizontal="center" vertical="center" wrapText="1"/>
    </xf>
    <xf numFmtId="177" fontId="3" fillId="3" borderId="3" xfId="24" applyNumberFormat="1" applyFont="1" applyFill="1" applyBorder="1" applyAlignment="1">
      <alignment horizontal="center" vertical="center"/>
    </xf>
    <xf numFmtId="181" fontId="3" fillId="3" borderId="24" xfId="24" applyNumberFormat="1" applyFont="1" applyFill="1" applyBorder="1" applyAlignment="1">
      <alignment horizontal="center" vertical="center"/>
    </xf>
    <xf numFmtId="0" fontId="3" fillId="3" borderId="3" xfId="24" applyFont="1" applyFill="1" applyBorder="1" applyAlignment="1">
      <alignment horizontal="left" vertical="center" wrapText="1"/>
    </xf>
    <xf numFmtId="182" fontId="3" fillId="3" borderId="3" xfId="24" applyNumberFormat="1" applyFont="1" applyFill="1" applyBorder="1" applyAlignment="1">
      <alignment horizontal="center" vertical="center"/>
    </xf>
    <xf numFmtId="179" fontId="29" fillId="3" borderId="3" xfId="24" applyNumberFormat="1" applyFill="1" applyBorder="1" applyAlignment="1">
      <alignment horizontal="center" vertical="center"/>
    </xf>
    <xf numFmtId="0" fontId="29" fillId="3" borderId="3" xfId="24" applyFill="1" applyBorder="1" applyAlignment="1"/>
    <xf numFmtId="0" fontId="0" fillId="3" borderId="3" xfId="24" applyFont="1" applyFill="1" applyBorder="1" applyAlignment="1"/>
    <xf numFmtId="0" fontId="6" fillId="3" borderId="0" xfId="24" applyFont="1" applyFill="1" applyBorder="1" applyAlignment="1">
      <alignment horizontal="center" vertical="center"/>
    </xf>
    <xf numFmtId="182" fontId="1" fillId="3" borderId="0" xfId="24" applyNumberFormat="1" applyFont="1" applyFill="1" applyBorder="1" applyAlignment="1">
      <alignment horizontal="center" vertical="center"/>
    </xf>
    <xf numFmtId="0" fontId="29" fillId="3" borderId="0" xfId="24" applyFill="1" applyBorder="1" applyAlignment="1"/>
    <xf numFmtId="0" fontId="1" fillId="3" borderId="0" xfId="24" applyFont="1" applyFill="1" applyBorder="1" applyAlignment="1">
      <alignment horizontal="center" vertical="center"/>
    </xf>
    <xf numFmtId="0" fontId="0" fillId="3" borderId="0" xfId="24" applyFont="1" applyFill="1" applyBorder="1" applyAlignment="1"/>
    <xf numFmtId="179" fontId="29" fillId="3" borderId="0" xfId="24" applyNumberFormat="1" applyFill="1" applyBorder="1" applyAlignment="1"/>
    <xf numFmtId="180" fontId="3" fillId="3" borderId="3" xfId="24" applyNumberFormat="1" applyFont="1" applyFill="1" applyBorder="1" applyAlignment="1">
      <alignment horizontal="center" vertical="center"/>
    </xf>
    <xf numFmtId="180" fontId="35" fillId="3" borderId="3" xfId="24" applyNumberFormat="1" applyFont="1" applyFill="1" applyBorder="1" applyAlignment="1">
      <alignment horizontal="center" vertical="center"/>
    </xf>
    <xf numFmtId="0" fontId="34" fillId="3" borderId="3" xfId="24" applyFont="1" applyFill="1" applyBorder="1" applyAlignment="1">
      <alignment horizontal="center" vertical="center" wrapText="1"/>
    </xf>
    <xf numFmtId="0" fontId="3" fillId="3" borderId="13" xfId="24" applyFont="1" applyFill="1" applyBorder="1" applyAlignment="1">
      <alignment horizontal="center" vertical="center" wrapText="1"/>
    </xf>
    <xf numFmtId="177" fontId="3" fillId="3" borderId="13" xfId="24" applyNumberFormat="1" applyFont="1" applyFill="1" applyBorder="1" applyAlignment="1">
      <alignment horizontal="center" vertical="center"/>
    </xf>
    <xf numFmtId="0" fontId="3" fillId="3" borderId="13" xfId="24" applyFont="1" applyFill="1" applyBorder="1" applyAlignment="1">
      <alignment horizontal="center" vertical="center"/>
    </xf>
    <xf numFmtId="180" fontId="3" fillId="3" borderId="13" xfId="24" applyNumberFormat="1" applyFont="1" applyFill="1" applyBorder="1" applyAlignment="1">
      <alignment horizontal="center" vertical="center"/>
    </xf>
    <xf numFmtId="0" fontId="3" fillId="3" borderId="13" xfId="24" applyFont="1" applyFill="1" applyBorder="1" applyAlignment="1">
      <alignment horizontal="left" vertical="center" wrapText="1"/>
    </xf>
    <xf numFmtId="181" fontId="3" fillId="3" borderId="21" xfId="24" applyNumberFormat="1" applyFont="1" applyFill="1" applyBorder="1" applyAlignment="1">
      <alignment horizontal="center" vertical="center"/>
    </xf>
    <xf numFmtId="0" fontId="1" fillId="3" borderId="22" xfId="24" applyFont="1" applyFill="1" applyBorder="1" applyAlignment="1">
      <alignment horizontal="center" vertical="center"/>
    </xf>
    <xf numFmtId="178" fontId="42" fillId="3" borderId="31" xfId="7" applyFont="1" applyFill="1" applyBorder="1" applyAlignment="1">
      <alignment horizontal="center" vertical="center" wrapText="1"/>
    </xf>
    <xf numFmtId="178" fontId="42" fillId="3" borderId="32" xfId="7" applyFont="1" applyFill="1" applyBorder="1" applyAlignment="1">
      <alignment horizontal="center" vertical="center" wrapText="1"/>
    </xf>
    <xf numFmtId="178" fontId="31" fillId="3" borderId="0" xfId="7" applyFill="1" applyAlignment="1"/>
    <xf numFmtId="178" fontId="47" fillId="3" borderId="0" xfId="7" applyFont="1" applyFill="1" applyAlignment="1"/>
    <xf numFmtId="178" fontId="31" fillId="3" borderId="0" xfId="7" applyFill="1" applyAlignment="1">
      <alignment horizontal="center" vertical="center"/>
    </xf>
    <xf numFmtId="0" fontId="49" fillId="0" borderId="1" xfId="24" applyFont="1" applyFill="1" applyBorder="1" applyAlignment="1">
      <alignment horizontal="center" vertical="center" wrapText="1"/>
    </xf>
    <xf numFmtId="0" fontId="49" fillId="0" borderId="2" xfId="24" applyFont="1" applyFill="1" applyBorder="1" applyAlignment="1">
      <alignment horizontal="center" vertical="center" wrapText="1"/>
    </xf>
    <xf numFmtId="0" fontId="49" fillId="0" borderId="23" xfId="24" applyFont="1" applyFill="1" applyBorder="1" applyAlignment="1">
      <alignment horizontal="center" vertical="center" wrapText="1"/>
    </xf>
    <xf numFmtId="0" fontId="49" fillId="0" borderId="2" xfId="24" applyFont="1" applyFill="1" applyBorder="1" applyAlignment="1">
      <alignment horizontal="left" vertical="center" wrapText="1"/>
    </xf>
    <xf numFmtId="0" fontId="49" fillId="0" borderId="26" xfId="24" applyFont="1" applyFill="1" applyBorder="1" applyAlignment="1">
      <alignment horizontal="center" vertical="center" wrapText="1"/>
    </xf>
    <xf numFmtId="0" fontId="52" fillId="0" borderId="3" xfId="24" applyFont="1" applyFill="1" applyBorder="1" applyAlignment="1">
      <alignment horizontal="center" vertical="center"/>
    </xf>
    <xf numFmtId="0" fontId="52" fillId="0" borderId="3" xfId="24" applyFont="1" applyFill="1" applyBorder="1" applyAlignment="1">
      <alignment horizontal="center" vertical="center" wrapText="1"/>
    </xf>
    <xf numFmtId="0" fontId="52" fillId="0" borderId="3" xfId="24" applyFont="1" applyFill="1" applyBorder="1" applyAlignment="1">
      <alignment horizontal="left" vertical="center" wrapText="1"/>
    </xf>
    <xf numFmtId="178" fontId="42" fillId="0" borderId="3" xfId="0" applyFont="1" applyFill="1" applyBorder="1" applyAlignment="1">
      <alignment horizontal="center" vertical="center"/>
    </xf>
    <xf numFmtId="178" fontId="42" fillId="0" borderId="3" xfId="0" applyFont="1" applyFill="1" applyBorder="1" applyAlignment="1">
      <alignment horizontal="center" vertical="center" wrapText="1"/>
    </xf>
    <xf numFmtId="178" fontId="43" fillId="0" borderId="3" xfId="0" applyFont="1" applyFill="1" applyBorder="1" applyAlignment="1">
      <alignment horizontal="center" vertical="center" wrapText="1"/>
    </xf>
    <xf numFmtId="178" fontId="42" fillId="0" borderId="3" xfId="0" applyFont="1" applyFill="1" applyBorder="1" applyAlignment="1">
      <alignment horizontal="left" vertical="center" wrapText="1"/>
    </xf>
    <xf numFmtId="0" fontId="42" fillId="0" borderId="3" xfId="0" applyNumberFormat="1" applyFont="1" applyFill="1" applyBorder="1" applyAlignment="1">
      <alignment horizontal="center" vertical="center"/>
    </xf>
    <xf numFmtId="0" fontId="18" fillId="3" borderId="3" xfId="10" applyNumberFormat="1" applyFont="1" applyFill="1" applyBorder="1" applyAlignment="1" applyProtection="1">
      <alignment horizontal="center" vertical="center" wrapText="1"/>
    </xf>
    <xf numFmtId="178" fontId="13" fillId="3" borderId="11" xfId="12" applyFont="1" applyFill="1" applyBorder="1" applyAlignment="1" applyProtection="1">
      <alignment horizontal="center" vertical="center"/>
      <protection locked="0"/>
    </xf>
    <xf numFmtId="178" fontId="13" fillId="3" borderId="3" xfId="10" applyFont="1" applyFill="1" applyBorder="1" applyAlignment="1" applyProtection="1">
      <alignment horizontal="center" vertical="center" wrapText="1"/>
      <protection locked="0"/>
    </xf>
    <xf numFmtId="178" fontId="54" fillId="3" borderId="1" xfId="10" applyFont="1" applyFill="1" applyBorder="1" applyAlignment="1" applyProtection="1">
      <alignment horizontal="center" vertical="center" wrapText="1"/>
    </xf>
    <xf numFmtId="176" fontId="5" fillId="0" borderId="0" xfId="12" applyNumberFormat="1" applyFont="1" applyFill="1" applyAlignment="1" applyProtection="1">
      <alignment vertical="center" wrapText="1"/>
      <protection locked="0"/>
    </xf>
    <xf numFmtId="181" fontId="5" fillId="0" borderId="0" xfId="27" applyNumberFormat="1" applyFont="1" applyFill="1" applyAlignment="1" applyProtection="1">
      <alignment vertical="center" wrapText="1"/>
      <protection locked="0"/>
    </xf>
    <xf numFmtId="10" fontId="5" fillId="0" borderId="0" xfId="27" applyNumberFormat="1" applyFont="1" applyFill="1" applyAlignment="1" applyProtection="1">
      <alignment vertical="center" wrapText="1"/>
      <protection locked="0"/>
    </xf>
    <xf numFmtId="178" fontId="24" fillId="0" borderId="1" xfId="18" applyFont="1" applyFill="1" applyBorder="1" applyAlignment="1">
      <alignment horizontal="center" vertical="center"/>
    </xf>
    <xf numFmtId="178" fontId="27" fillId="3" borderId="1" xfId="0" applyFont="1" applyFill="1" applyBorder="1" applyAlignment="1">
      <alignment horizontal="center" vertical="center"/>
    </xf>
    <xf numFmtId="178" fontId="24" fillId="0" borderId="3" xfId="18" applyFont="1" applyFill="1" applyBorder="1" applyAlignment="1">
      <alignment horizontal="center" vertical="center"/>
    </xf>
    <xf numFmtId="0" fontId="27" fillId="3" borderId="3" xfId="0" applyNumberFormat="1" applyFont="1" applyFill="1" applyBorder="1" applyAlignment="1">
      <alignment horizontal="center" vertical="center"/>
    </xf>
    <xf numFmtId="178" fontId="27" fillId="0" borderId="3" xfId="0" applyFont="1" applyBorder="1" applyAlignment="1">
      <alignment horizontal="center" vertical="center"/>
    </xf>
    <xf numFmtId="178" fontId="9" fillId="0" borderId="3" xfId="3" applyNumberFormat="1" applyFont="1" applyFill="1" applyBorder="1" applyAlignment="1">
      <alignment horizontal="center" vertical="center" wrapText="1"/>
    </xf>
    <xf numFmtId="178" fontId="9" fillId="0" borderId="22" xfId="12" applyFont="1" applyFill="1" applyBorder="1" applyAlignment="1" applyProtection="1">
      <alignment horizontal="center" vertical="center" wrapText="1"/>
      <protection locked="0"/>
    </xf>
    <xf numFmtId="178" fontId="39" fillId="3" borderId="3" xfId="10" applyFont="1" applyFill="1" applyBorder="1" applyAlignment="1">
      <alignment horizontal="left" vertical="center" wrapText="1"/>
    </xf>
    <xf numFmtId="178" fontId="19" fillId="3" borderId="3" xfId="10" applyFont="1" applyFill="1" applyBorder="1" applyAlignment="1" applyProtection="1">
      <alignment horizontal="center" vertical="center" wrapText="1"/>
      <protection locked="0"/>
    </xf>
    <xf numFmtId="178" fontId="18" fillId="3" borderId="3" xfId="10" applyFont="1" applyFill="1" applyBorder="1" applyAlignment="1" applyProtection="1">
      <alignment horizontal="left" vertical="center" wrapText="1"/>
      <protection locked="0"/>
    </xf>
    <xf numFmtId="178" fontId="13" fillId="3" borderId="3" xfId="12" applyFont="1" applyFill="1" applyBorder="1" applyAlignment="1" applyProtection="1">
      <alignment horizontal="center" vertical="center"/>
      <protection locked="0"/>
    </xf>
    <xf numFmtId="178" fontId="18" fillId="3" borderId="9" xfId="10" applyFont="1" applyFill="1" applyBorder="1" applyAlignment="1">
      <alignment horizontal="center" vertical="center" wrapText="1"/>
    </xf>
    <xf numFmtId="178" fontId="18" fillId="3" borderId="11" xfId="10" applyFont="1" applyFill="1" applyBorder="1" applyAlignment="1">
      <alignment horizontal="center" vertical="center" wrapText="1"/>
    </xf>
    <xf numFmtId="178" fontId="18" fillId="3" borderId="3" xfId="10" applyFont="1" applyFill="1" applyBorder="1" applyAlignment="1" applyProtection="1">
      <alignment horizontal="center" vertical="center" wrapText="1"/>
    </xf>
    <xf numFmtId="178" fontId="18" fillId="3" borderId="11" xfId="10" applyFont="1" applyFill="1" applyBorder="1" applyAlignment="1" applyProtection="1">
      <alignment horizontal="center" vertical="center" wrapText="1"/>
    </xf>
    <xf numFmtId="178" fontId="18" fillId="3" borderId="3" xfId="10" applyFont="1" applyFill="1" applyBorder="1" applyAlignment="1">
      <alignment horizontal="center" vertical="center" wrapText="1"/>
    </xf>
    <xf numFmtId="178" fontId="5" fillId="3" borderId="0" xfId="12" applyFont="1" applyFill="1" applyBorder="1" applyAlignment="1" applyProtection="1">
      <alignment horizontal="left" vertical="center" wrapText="1"/>
      <protection locked="0"/>
    </xf>
    <xf numFmtId="178" fontId="5" fillId="3" borderId="0" xfId="12" applyFont="1" applyFill="1" applyBorder="1" applyAlignment="1" applyProtection="1">
      <alignment vertical="center"/>
      <protection locked="0"/>
    </xf>
    <xf numFmtId="178" fontId="5" fillId="3" borderId="0" xfId="12" applyFont="1" applyFill="1" applyBorder="1" applyAlignment="1" applyProtection="1">
      <alignment horizontal="justify" vertical="center"/>
      <protection locked="0"/>
    </xf>
    <xf numFmtId="178" fontId="5" fillId="3" borderId="0" xfId="12" applyFont="1" applyFill="1" applyBorder="1" applyAlignment="1" applyProtection="1">
      <alignment horizontal="justify" vertical="center" wrapText="1"/>
      <protection locked="0"/>
    </xf>
    <xf numFmtId="178" fontId="5" fillId="3" borderId="0" xfId="12" applyFont="1" applyFill="1" applyBorder="1" applyAlignment="1" applyProtection="1">
      <alignment horizontal="center" vertical="center"/>
      <protection locked="0"/>
    </xf>
    <xf numFmtId="178" fontId="16" fillId="3" borderId="0" xfId="0" applyFont="1" applyFill="1" applyAlignment="1" applyProtection="1">
      <protection locked="0"/>
    </xf>
    <xf numFmtId="178" fontId="17" fillId="3" borderId="0" xfId="0" applyFont="1" applyFill="1" applyAlignment="1" applyProtection="1">
      <protection locked="0"/>
    </xf>
    <xf numFmtId="178" fontId="16" fillId="3" borderId="0" xfId="0" applyFont="1" applyFill="1" applyAlignment="1" applyProtection="1">
      <alignment vertical="center"/>
      <protection locked="0"/>
    </xf>
    <xf numFmtId="178" fontId="9" fillId="3" borderId="22" xfId="12" applyFont="1" applyFill="1" applyBorder="1" applyAlignment="1" applyProtection="1">
      <alignment horizontal="center" vertical="center" wrapText="1"/>
      <protection locked="0"/>
    </xf>
    <xf numFmtId="178" fontId="9" fillId="3" borderId="3" xfId="3" applyNumberFormat="1" applyFont="1" applyFill="1" applyBorder="1" applyAlignment="1">
      <alignment horizontal="center" vertical="center" wrapText="1"/>
    </xf>
    <xf numFmtId="178" fontId="15" fillId="3" borderId="3" xfId="12" applyFont="1" applyFill="1" applyBorder="1" applyAlignment="1">
      <alignment horizontal="center" vertical="center" wrapText="1"/>
    </xf>
    <xf numFmtId="178" fontId="9" fillId="3" borderId="3" xfId="12" applyFont="1" applyFill="1" applyBorder="1" applyAlignment="1" applyProtection="1">
      <alignment horizontal="center" vertical="center" wrapText="1"/>
      <protection locked="0"/>
    </xf>
    <xf numFmtId="178" fontId="10" fillId="3" borderId="24" xfId="12" applyFont="1" applyFill="1" applyBorder="1" applyAlignment="1" applyProtection="1">
      <alignment horizontal="center" vertical="center"/>
      <protection locked="0"/>
    </xf>
    <xf numFmtId="178" fontId="5" fillId="3" borderId="0" xfId="12" applyFont="1" applyFill="1" applyAlignment="1" applyProtection="1">
      <alignment vertical="center" wrapText="1"/>
      <protection locked="0"/>
    </xf>
    <xf numFmtId="178" fontId="6" fillId="3" borderId="3" xfId="10" applyFont="1" applyFill="1" applyBorder="1" applyAlignment="1">
      <alignment horizontal="center" vertical="center" wrapText="1"/>
    </xf>
    <xf numFmtId="178" fontId="39" fillId="3" borderId="1" xfId="10" applyFont="1" applyFill="1" applyBorder="1" applyAlignment="1" applyProtection="1">
      <alignment horizontal="center" vertical="center" wrapText="1"/>
    </xf>
    <xf numFmtId="0" fontId="19" fillId="3" borderId="3" xfId="3" applyFont="1" applyFill="1" applyBorder="1" applyAlignment="1" applyProtection="1">
      <alignment horizontal="center" vertical="center" wrapText="1"/>
      <protection locked="0"/>
    </xf>
    <xf numFmtId="178" fontId="19" fillId="3" borderId="3" xfId="10" applyFont="1" applyFill="1" applyBorder="1" applyAlignment="1" applyProtection="1">
      <alignment horizontal="left" vertical="center" wrapText="1"/>
      <protection locked="0"/>
    </xf>
    <xf numFmtId="0" fontId="12" fillId="3" borderId="3" xfId="3" applyFont="1" applyFill="1" applyBorder="1" applyAlignment="1" applyProtection="1">
      <alignment horizontal="center" vertical="center" wrapText="1"/>
      <protection locked="0"/>
    </xf>
    <xf numFmtId="178" fontId="11" fillId="3" borderId="23" xfId="0" applyFont="1" applyFill="1" applyBorder="1" applyAlignment="1" applyProtection="1">
      <alignment horizontal="center" vertical="center"/>
      <protection locked="0"/>
    </xf>
    <xf numFmtId="178" fontId="5" fillId="3" borderId="23" xfId="12" applyFont="1" applyFill="1" applyBorder="1" applyAlignment="1" applyProtection="1">
      <alignment vertical="center"/>
      <protection locked="0"/>
    </xf>
    <xf numFmtId="178" fontId="5" fillId="3" borderId="23" xfId="12" applyFont="1" applyFill="1" applyBorder="1" applyAlignment="1" applyProtection="1">
      <alignment horizontal="left" vertical="center"/>
      <protection locked="0"/>
    </xf>
    <xf numFmtId="178" fontId="5" fillId="3" borderId="0" xfId="12" applyFont="1" applyFill="1" applyBorder="1" applyAlignment="1" applyProtection="1">
      <alignment horizontal="left" vertical="center"/>
      <protection locked="0"/>
    </xf>
    <xf numFmtId="0" fontId="36" fillId="3" borderId="3" xfId="3" applyFont="1" applyFill="1" applyBorder="1" applyAlignment="1" applyProtection="1">
      <alignment horizontal="center" vertical="center" wrapText="1"/>
      <protection locked="0"/>
    </xf>
    <xf numFmtId="178" fontId="0" fillId="0" borderId="0" xfId="0" applyFont="1" applyFill="1" applyAlignment="1"/>
    <xf numFmtId="178" fontId="11" fillId="3" borderId="0" xfId="10" applyFont="1" applyFill="1" applyAlignment="1" applyProtection="1">
      <alignment horizontal="center" vertical="center" wrapText="1"/>
      <protection locked="0"/>
    </xf>
    <xf numFmtId="185" fontId="5" fillId="3" borderId="0" xfId="12" applyNumberFormat="1" applyFont="1" applyFill="1" applyAlignment="1" applyProtection="1">
      <alignment vertical="center" wrapText="1"/>
      <protection locked="0"/>
    </xf>
    <xf numFmtId="178" fontId="5" fillId="3" borderId="0" xfId="12" applyFont="1" applyFill="1" applyAlignment="1" applyProtection="1">
      <alignment vertical="center"/>
      <protection locked="0"/>
    </xf>
    <xf numFmtId="10" fontId="5" fillId="3" borderId="0" xfId="12" applyNumberFormat="1" applyFont="1" applyFill="1" applyAlignment="1" applyProtection="1">
      <alignment vertical="center" wrapText="1"/>
      <protection locked="0"/>
    </xf>
    <xf numFmtId="178" fontId="36" fillId="3" borderId="0" xfId="10" applyFont="1" applyFill="1" applyAlignment="1" applyProtection="1">
      <alignment horizontal="center" vertical="center" wrapText="1"/>
      <protection locked="0"/>
    </xf>
    <xf numFmtId="177" fontId="5" fillId="3" borderId="0" xfId="12" applyNumberFormat="1" applyFont="1" applyFill="1" applyAlignment="1" applyProtection="1">
      <alignment vertical="center" wrapText="1"/>
      <protection locked="0"/>
    </xf>
    <xf numFmtId="0" fontId="57" fillId="2" borderId="9" xfId="24" applyFont="1" applyFill="1" applyBorder="1" applyAlignment="1">
      <alignment horizontal="center" vertical="center"/>
    </xf>
    <xf numFmtId="178" fontId="43" fillId="2" borderId="3" xfId="0" applyFont="1" applyFill="1" applyBorder="1" applyAlignment="1">
      <alignment horizontal="center" vertical="center" wrapText="1"/>
    </xf>
    <xf numFmtId="178" fontId="43" fillId="2" borderId="3" xfId="0" applyFont="1" applyFill="1" applyBorder="1" applyAlignment="1">
      <alignment horizontal="center" vertical="center"/>
    </xf>
    <xf numFmtId="178" fontId="42" fillId="2" borderId="3" xfId="0" applyFont="1" applyFill="1" applyBorder="1" applyAlignment="1">
      <alignment horizontal="center" vertical="center" wrapText="1"/>
    </xf>
    <xf numFmtId="178" fontId="43" fillId="2" borderId="3" xfId="0" applyFont="1" applyFill="1" applyBorder="1" applyAlignment="1">
      <alignment horizontal="left" vertical="center" wrapText="1"/>
    </xf>
    <xf numFmtId="178" fontId="39" fillId="3" borderId="3" xfId="13" applyFont="1" applyFill="1" applyBorder="1" applyAlignment="1" applyProtection="1">
      <alignment horizontal="left" vertical="center" wrapText="1"/>
      <protection locked="0"/>
    </xf>
    <xf numFmtId="178" fontId="39" fillId="3" borderId="3" xfId="13" applyFont="1" applyFill="1" applyBorder="1" applyAlignment="1" applyProtection="1">
      <alignment horizontal="left" vertical="center" wrapText="1"/>
    </xf>
    <xf numFmtId="178" fontId="18" fillId="2" borderId="3" xfId="10" applyFont="1" applyFill="1" applyBorder="1" applyAlignment="1">
      <alignment horizontal="center" vertical="center" wrapText="1"/>
    </xf>
    <xf numFmtId="178" fontId="18" fillId="3" borderId="3" xfId="0" applyFont="1" applyFill="1" applyBorder="1" applyAlignment="1">
      <alignment horizontal="center" vertical="center"/>
    </xf>
    <xf numFmtId="49" fontId="18" fillId="3" borderId="3" xfId="0" applyNumberFormat="1" applyFont="1" applyFill="1" applyBorder="1" applyAlignment="1">
      <alignment horizontal="center" vertical="center"/>
    </xf>
    <xf numFmtId="0" fontId="5" fillId="3" borderId="3" xfId="26" applyNumberFormat="1" applyFont="1" applyFill="1" applyBorder="1" applyAlignment="1">
      <alignment horizontal="center" vertical="center"/>
    </xf>
    <xf numFmtId="0" fontId="21" fillId="3" borderId="1" xfId="18" applyNumberFormat="1" applyFont="1" applyFill="1" applyBorder="1" applyAlignment="1">
      <alignment horizontal="center" vertical="center"/>
    </xf>
    <xf numFmtId="0" fontId="22" fillId="3" borderId="2" xfId="18" applyNumberFormat="1" applyFont="1" applyFill="1" applyBorder="1" applyAlignment="1">
      <alignment horizontal="center" vertical="center"/>
    </xf>
    <xf numFmtId="0" fontId="22" fillId="3" borderId="4" xfId="18" applyNumberFormat="1" applyFont="1" applyFill="1" applyBorder="1" applyAlignment="1">
      <alignment horizontal="center" vertical="center"/>
    </xf>
    <xf numFmtId="0" fontId="23" fillId="3" borderId="3" xfId="18" applyNumberFormat="1" applyFont="1" applyFill="1" applyBorder="1" applyAlignment="1">
      <alignment horizontal="center" vertical="center"/>
    </xf>
    <xf numFmtId="14" fontId="24" fillId="0" borderId="3" xfId="18" applyNumberFormat="1" applyFont="1" applyFill="1" applyBorder="1" applyAlignment="1">
      <alignment horizontal="center" vertical="center" wrapText="1"/>
    </xf>
    <xf numFmtId="0" fontId="25" fillId="0" borderId="3" xfId="18" applyNumberFormat="1" applyFont="1" applyFill="1" applyBorder="1" applyAlignment="1">
      <alignment horizontal="center" vertical="center"/>
    </xf>
    <xf numFmtId="0" fontId="24" fillId="3" borderId="3" xfId="18" applyNumberFormat="1" applyFont="1" applyFill="1" applyBorder="1" applyAlignment="1">
      <alignment horizontal="center" vertical="center" wrapText="1"/>
    </xf>
    <xf numFmtId="0" fontId="28" fillId="3" borderId="3" xfId="18" applyNumberFormat="1" applyFont="1" applyFill="1" applyBorder="1" applyAlignment="1">
      <alignment horizontal="center" vertical="center"/>
    </xf>
    <xf numFmtId="178" fontId="26" fillId="3" borderId="1" xfId="18" applyFont="1" applyFill="1" applyBorder="1" applyAlignment="1">
      <alignment horizontal="center" vertical="center"/>
    </xf>
    <xf numFmtId="178" fontId="26" fillId="3" borderId="2" xfId="18" applyFont="1" applyFill="1" applyBorder="1" applyAlignment="1">
      <alignment horizontal="center" vertical="center"/>
    </xf>
    <xf numFmtId="178" fontId="26" fillId="3" borderId="4" xfId="18" applyFont="1" applyFill="1" applyBorder="1" applyAlignment="1">
      <alignment horizontal="center" vertical="center"/>
    </xf>
    <xf numFmtId="178" fontId="25" fillId="3" borderId="3" xfId="18" applyFont="1" applyFill="1" applyBorder="1" applyAlignment="1">
      <alignment horizontal="center" vertical="center"/>
    </xf>
    <xf numFmtId="178" fontId="5" fillId="0" borderId="1" xfId="0" applyFont="1" applyBorder="1" applyAlignment="1">
      <alignment horizontal="center" vertical="center" wrapText="1"/>
    </xf>
    <xf numFmtId="178" fontId="5" fillId="0" borderId="2" xfId="0" applyFont="1" applyBorder="1" applyAlignment="1">
      <alignment horizontal="center" vertical="center" wrapText="1"/>
    </xf>
    <xf numFmtId="178" fontId="5" fillId="0" borderId="4" xfId="0" applyFont="1" applyBorder="1" applyAlignment="1">
      <alignment horizontal="center" vertical="center" wrapText="1"/>
    </xf>
    <xf numFmtId="178" fontId="27" fillId="0" borderId="1" xfId="0" applyFont="1" applyBorder="1" applyAlignment="1">
      <alignment horizontal="center" vertical="center" wrapText="1"/>
    </xf>
    <xf numFmtId="178" fontId="5" fillId="0" borderId="3" xfId="0" applyFont="1" applyBorder="1" applyAlignment="1">
      <alignment horizontal="center" vertical="center" wrapText="1"/>
    </xf>
    <xf numFmtId="178" fontId="1" fillId="0" borderId="3" xfId="0" applyFont="1" applyBorder="1" applyAlignment="1">
      <alignment horizontal="center" vertical="center"/>
    </xf>
    <xf numFmtId="178" fontId="5" fillId="3" borderId="3" xfId="0" applyFont="1" applyFill="1" applyBorder="1" applyAlignment="1">
      <alignment horizontal="center" vertical="center" wrapText="1"/>
    </xf>
    <xf numFmtId="178" fontId="1" fillId="3" borderId="3" xfId="0" applyFont="1" applyFill="1" applyBorder="1" applyAlignment="1">
      <alignment horizontal="center" vertical="center"/>
    </xf>
    <xf numFmtId="178" fontId="27" fillId="0" borderId="1" xfId="0" applyFont="1" applyBorder="1" applyAlignment="1">
      <alignment horizontal="left" vertical="center" wrapText="1"/>
    </xf>
    <xf numFmtId="178" fontId="5" fillId="0" borderId="2" xfId="0" applyFont="1" applyBorder="1" applyAlignment="1">
      <alignment horizontal="left" vertical="center" wrapText="1"/>
    </xf>
    <xf numFmtId="178" fontId="5" fillId="0" borderId="4" xfId="0" applyFont="1" applyBorder="1" applyAlignment="1">
      <alignment horizontal="left" vertical="center" wrapText="1"/>
    </xf>
    <xf numFmtId="178" fontId="27" fillId="0" borderId="1" xfId="0" applyFont="1" applyBorder="1" applyAlignment="1">
      <alignment vertical="center" wrapText="1"/>
    </xf>
    <xf numFmtId="178" fontId="27" fillId="0" borderId="2" xfId="0" applyFont="1" applyBorder="1" applyAlignment="1">
      <alignment vertical="center" wrapText="1"/>
    </xf>
    <xf numFmtId="178" fontId="27" fillId="0" borderId="4" xfId="0" applyFont="1" applyBorder="1" applyAlignment="1">
      <alignment vertical="center" wrapText="1"/>
    </xf>
    <xf numFmtId="178" fontId="5" fillId="0" borderId="1" xfId="0" applyFont="1" applyBorder="1" applyAlignment="1">
      <alignment vertical="center" wrapText="1"/>
    </xf>
    <xf numFmtId="178" fontId="5" fillId="0" borderId="2" xfId="0" applyFont="1" applyBorder="1" applyAlignment="1">
      <alignment vertical="center" wrapText="1"/>
    </xf>
    <xf numFmtId="178" fontId="5" fillId="0" borderId="4" xfId="0" applyFont="1" applyBorder="1" applyAlignment="1">
      <alignment vertical="center" wrapText="1"/>
    </xf>
    <xf numFmtId="178" fontId="5" fillId="0" borderId="1" xfId="2" applyFont="1" applyBorder="1" applyAlignment="1">
      <alignment horizontal="left" vertical="center" wrapText="1"/>
    </xf>
    <xf numFmtId="178" fontId="5" fillId="0" borderId="2" xfId="2" applyFont="1" applyBorder="1" applyAlignment="1">
      <alignment horizontal="left" vertical="center" wrapText="1"/>
    </xf>
    <xf numFmtId="178" fontId="5" fillId="0" borderId="4" xfId="2" applyFont="1" applyBorder="1" applyAlignment="1">
      <alignment horizontal="left" vertical="center" wrapText="1"/>
    </xf>
    <xf numFmtId="178" fontId="1" fillId="0" borderId="1" xfId="18" applyFont="1" applyBorder="1" applyAlignment="1">
      <alignment horizontal="left" vertical="center" wrapText="1"/>
    </xf>
    <xf numFmtId="178" fontId="5" fillId="0" borderId="2" xfId="18" applyFont="1" applyBorder="1" applyAlignment="1">
      <alignment horizontal="left" vertical="center" wrapText="1"/>
    </xf>
    <xf numFmtId="178" fontId="5" fillId="0" borderId="4" xfId="18" applyFont="1" applyBorder="1" applyAlignment="1">
      <alignment horizontal="left" vertical="center" wrapText="1"/>
    </xf>
    <xf numFmtId="178" fontId="26" fillId="0" borderId="1" xfId="18" applyFont="1" applyBorder="1" applyAlignment="1">
      <alignment horizontal="center" vertical="center"/>
    </xf>
    <xf numFmtId="178" fontId="26" fillId="0" borderId="2" xfId="18" applyFont="1" applyBorder="1" applyAlignment="1">
      <alignment horizontal="center" vertical="center"/>
    </xf>
    <xf numFmtId="178" fontId="26" fillId="0" borderId="4" xfId="18" applyFont="1" applyBorder="1" applyAlignment="1">
      <alignment horizontal="center" vertical="center"/>
    </xf>
    <xf numFmtId="178" fontId="24" fillId="0" borderId="1" xfId="18" applyFont="1" applyBorder="1" applyAlignment="1">
      <alignment horizontal="center" vertical="center"/>
    </xf>
    <xf numFmtId="178" fontId="24" fillId="0" borderId="4" xfId="18" applyFont="1" applyBorder="1" applyAlignment="1">
      <alignment horizontal="center" vertical="center"/>
    </xf>
    <xf numFmtId="178" fontId="24" fillId="0" borderId="1" xfId="18" applyFont="1" applyFill="1" applyBorder="1" applyAlignment="1">
      <alignment horizontal="center" vertical="center"/>
    </xf>
    <xf numFmtId="178" fontId="24" fillId="0" borderId="2" xfId="18" applyFont="1" applyFill="1" applyBorder="1" applyAlignment="1">
      <alignment horizontal="center" vertical="center"/>
    </xf>
    <xf numFmtId="178" fontId="24" fillId="0" borderId="4" xfId="18" applyFont="1" applyFill="1" applyBorder="1" applyAlignment="1">
      <alignment horizontal="center" vertical="center"/>
    </xf>
    <xf numFmtId="0" fontId="5" fillId="0" borderId="1" xfId="18" applyNumberFormat="1" applyFont="1" applyBorder="1" applyAlignment="1">
      <alignment horizontal="center" vertical="center"/>
    </xf>
    <xf numFmtId="0" fontId="5" fillId="0" borderId="4" xfId="18" applyNumberFormat="1" applyFont="1" applyBorder="1" applyAlignment="1">
      <alignment horizontal="center" vertical="center"/>
    </xf>
    <xf numFmtId="178" fontId="5" fillId="0" borderId="1" xfId="0" applyFont="1" applyBorder="1" applyAlignment="1">
      <alignment horizontal="center" vertical="center"/>
    </xf>
    <xf numFmtId="178" fontId="5" fillId="0" borderId="4" xfId="0" applyFont="1" applyBorder="1" applyAlignment="1">
      <alignment horizontal="center" vertical="center"/>
    </xf>
    <xf numFmtId="178" fontId="27" fillId="3" borderId="1" xfId="0" applyFont="1" applyFill="1" applyBorder="1" applyAlignment="1">
      <alignment horizontal="center" vertical="center" wrapText="1"/>
    </xf>
    <xf numFmtId="178" fontId="27" fillId="3" borderId="2" xfId="0" applyFont="1" applyFill="1" applyBorder="1" applyAlignment="1">
      <alignment horizontal="center" vertical="center" wrapText="1"/>
    </xf>
    <xf numFmtId="178" fontId="27" fillId="3" borderId="4" xfId="0" applyFont="1" applyFill="1" applyBorder="1" applyAlignment="1">
      <alignment horizontal="center" vertical="center" wrapText="1"/>
    </xf>
    <xf numFmtId="178" fontId="13" fillId="3" borderId="25" xfId="0" applyFont="1" applyFill="1" applyBorder="1" applyAlignment="1" applyProtection="1">
      <alignment horizontal="center" vertical="center" wrapText="1"/>
      <protection locked="0"/>
    </xf>
    <xf numFmtId="178" fontId="13" fillId="3" borderId="26" xfId="0" applyFont="1" applyFill="1" applyBorder="1" applyAlignment="1" applyProtection="1">
      <alignment horizontal="center" vertical="center" wrapText="1"/>
      <protection locked="0"/>
    </xf>
    <xf numFmtId="178" fontId="13" fillId="3" borderId="5" xfId="0" applyFont="1" applyFill="1" applyBorder="1" applyAlignment="1" applyProtection="1">
      <alignment horizontal="center" vertical="center" wrapText="1"/>
      <protection locked="0"/>
    </xf>
    <xf numFmtId="178" fontId="13" fillId="3" borderId="19" xfId="0" applyFont="1" applyFill="1" applyBorder="1" applyAlignment="1" applyProtection="1">
      <alignment horizontal="center" vertical="center" wrapText="1"/>
      <protection locked="0"/>
    </xf>
    <xf numFmtId="178" fontId="13" fillId="3" borderId="27" xfId="0" applyFont="1" applyFill="1" applyBorder="1" applyAlignment="1" applyProtection="1">
      <alignment horizontal="center" vertical="center" wrapText="1"/>
      <protection locked="0"/>
    </xf>
    <xf numFmtId="178" fontId="13" fillId="3" borderId="28" xfId="0" applyFont="1" applyFill="1" applyBorder="1" applyAlignment="1" applyProtection="1">
      <alignment horizontal="center" vertical="center" wrapText="1"/>
      <protection locked="0"/>
    </xf>
    <xf numFmtId="0" fontId="18" fillId="3" borderId="9" xfId="3" applyFont="1" applyFill="1" applyBorder="1" applyAlignment="1" applyProtection="1">
      <alignment horizontal="center" vertical="center" wrapText="1"/>
      <protection locked="0"/>
    </xf>
    <xf numFmtId="0" fontId="18" fillId="3" borderId="11" xfId="3" applyFont="1" applyFill="1" applyBorder="1" applyAlignment="1" applyProtection="1">
      <alignment horizontal="center" vertical="center" wrapText="1"/>
      <protection locked="0"/>
    </xf>
    <xf numFmtId="178" fontId="13" fillId="3" borderId="9" xfId="12" applyFont="1" applyFill="1" applyBorder="1" applyAlignment="1" applyProtection="1">
      <alignment horizontal="center" vertical="center" wrapText="1"/>
      <protection locked="0"/>
    </xf>
    <xf numFmtId="178" fontId="13" fillId="3" borderId="10" xfId="12" applyFont="1" applyFill="1" applyBorder="1" applyAlignment="1" applyProtection="1">
      <alignment horizontal="center" vertical="center" wrapText="1"/>
      <protection locked="0"/>
    </xf>
    <xf numFmtId="178" fontId="13" fillId="3" borderId="11" xfId="12" applyFont="1" applyFill="1" applyBorder="1" applyAlignment="1" applyProtection="1">
      <alignment horizontal="center" vertical="center" wrapText="1"/>
      <protection locked="0"/>
    </xf>
    <xf numFmtId="178" fontId="13" fillId="3" borderId="9" xfId="0" applyFont="1" applyFill="1" applyBorder="1" applyAlignment="1" applyProtection="1">
      <alignment horizontal="center" vertical="center" wrapText="1"/>
      <protection locked="0"/>
    </xf>
    <xf numFmtId="178" fontId="13" fillId="3" borderId="10" xfId="0" applyFont="1" applyFill="1" applyBorder="1" applyAlignment="1" applyProtection="1">
      <alignment horizontal="center" vertical="center" wrapText="1"/>
      <protection locked="0"/>
    </xf>
    <xf numFmtId="178" fontId="13" fillId="3" borderId="11" xfId="0" applyFont="1" applyFill="1" applyBorder="1" applyAlignment="1" applyProtection="1">
      <alignment horizontal="center" vertical="center" wrapText="1"/>
      <protection locked="0"/>
    </xf>
    <xf numFmtId="178" fontId="13" fillId="3" borderId="1" xfId="0" applyFont="1" applyFill="1" applyBorder="1" applyAlignment="1" applyProtection="1">
      <alignment horizontal="center" vertical="center" wrapText="1"/>
      <protection locked="0"/>
    </xf>
    <xf numFmtId="178" fontId="13" fillId="3" borderId="4" xfId="0" applyFont="1" applyFill="1" applyBorder="1" applyAlignment="1" applyProtection="1">
      <alignment horizontal="center" vertical="center" wrapText="1"/>
      <protection locked="0"/>
    </xf>
    <xf numFmtId="178" fontId="13" fillId="3" borderId="3" xfId="0" applyFont="1" applyFill="1" applyBorder="1" applyAlignment="1" applyProtection="1">
      <alignment horizontal="center" vertical="center" wrapText="1"/>
      <protection locked="0"/>
    </xf>
    <xf numFmtId="178" fontId="5" fillId="3" borderId="0" xfId="12" applyFont="1" applyFill="1" applyBorder="1" applyAlignment="1" applyProtection="1">
      <alignment horizontal="left" vertical="center" wrapText="1"/>
      <protection locked="0"/>
    </xf>
    <xf numFmtId="178" fontId="9" fillId="3" borderId="15" xfId="10" applyFont="1" applyFill="1" applyBorder="1" applyAlignment="1" applyProtection="1">
      <alignment horizontal="center" vertical="center" wrapText="1"/>
      <protection locked="0"/>
    </xf>
    <xf numFmtId="178" fontId="10" fillId="3" borderId="16" xfId="10" applyFont="1" applyFill="1" applyBorder="1" applyAlignment="1" applyProtection="1">
      <alignment horizontal="center" vertical="center" wrapText="1"/>
      <protection locked="0"/>
    </xf>
    <xf numFmtId="178" fontId="9" fillId="3" borderId="1" xfId="10" applyFont="1" applyFill="1" applyBorder="1" applyAlignment="1" applyProtection="1">
      <alignment horizontal="center" vertical="center" wrapText="1"/>
      <protection locked="0"/>
    </xf>
    <xf numFmtId="178" fontId="10" fillId="3" borderId="4" xfId="10" applyFont="1" applyFill="1" applyBorder="1" applyAlignment="1" applyProtection="1">
      <alignment horizontal="center" vertical="center" wrapText="1"/>
      <protection locked="0"/>
    </xf>
    <xf numFmtId="178" fontId="9" fillId="3" borderId="22" xfId="12" applyFont="1" applyFill="1" applyBorder="1" applyAlignment="1" applyProtection="1">
      <alignment horizontal="center" vertical="center" wrapText="1"/>
      <protection locked="0"/>
    </xf>
    <xf numFmtId="178" fontId="10" fillId="3" borderId="3" xfId="12" applyFont="1" applyFill="1" applyBorder="1" applyAlignment="1" applyProtection="1">
      <alignment horizontal="center" vertical="center" wrapText="1"/>
      <protection locked="0"/>
    </xf>
    <xf numFmtId="178" fontId="13" fillId="3" borderId="3" xfId="13" applyFont="1" applyFill="1" applyBorder="1" applyAlignment="1" applyProtection="1">
      <alignment horizontal="center" vertical="center" wrapText="1"/>
      <protection locked="0"/>
    </xf>
    <xf numFmtId="178" fontId="8" fillId="3" borderId="6" xfId="12" applyFont="1" applyFill="1" applyBorder="1" applyAlignment="1" applyProtection="1">
      <alignment horizontal="center" vertical="center" wrapText="1"/>
      <protection locked="0"/>
    </xf>
    <xf numFmtId="178" fontId="8" fillId="3" borderId="7" xfId="12" applyFont="1" applyFill="1" applyBorder="1" applyAlignment="1" applyProtection="1">
      <alignment horizontal="center" vertical="center" wrapText="1"/>
      <protection locked="0"/>
    </xf>
    <xf numFmtId="178" fontId="8" fillId="3" borderId="14" xfId="12" applyFont="1" applyFill="1" applyBorder="1" applyAlignment="1" applyProtection="1">
      <alignment horizontal="center" vertical="center" wrapText="1"/>
      <protection locked="0"/>
    </xf>
    <xf numFmtId="178" fontId="8" fillId="3" borderId="8" xfId="12" applyFont="1" applyFill="1" applyBorder="1" applyAlignment="1" applyProtection="1">
      <alignment horizontal="center" vertical="center" wrapText="1"/>
      <protection locked="0"/>
    </xf>
    <xf numFmtId="178" fontId="8" fillId="3" borderId="0" xfId="12" applyFont="1" applyFill="1" applyBorder="1" applyAlignment="1" applyProtection="1">
      <alignment horizontal="center" vertical="center" wrapText="1"/>
      <protection locked="0"/>
    </xf>
    <xf numFmtId="178" fontId="8" fillId="3" borderId="19" xfId="12" applyFont="1" applyFill="1" applyBorder="1" applyAlignment="1" applyProtection="1">
      <alignment horizontal="center" vertical="center" wrapText="1"/>
      <protection locked="0"/>
    </xf>
    <xf numFmtId="178" fontId="10" fillId="3" borderId="15" xfId="12" applyFont="1" applyFill="1" applyBorder="1" applyAlignment="1" applyProtection="1">
      <alignment horizontal="center" vertical="center" wrapText="1"/>
      <protection locked="0"/>
    </xf>
    <xf numFmtId="178" fontId="10" fillId="3" borderId="30" xfId="12" applyFont="1" applyFill="1" applyBorder="1" applyAlignment="1" applyProtection="1">
      <alignment horizontal="center" vertical="center" wrapText="1"/>
      <protection locked="0"/>
    </xf>
    <xf numFmtId="178" fontId="10" fillId="3" borderId="16" xfId="12" applyFont="1" applyFill="1" applyBorder="1" applyAlignment="1" applyProtection="1">
      <alignment horizontal="center" vertical="center" wrapText="1"/>
      <protection locked="0"/>
    </xf>
    <xf numFmtId="178" fontId="9" fillId="3" borderId="1" xfId="12" applyFont="1" applyFill="1" applyBorder="1" applyAlignment="1" applyProtection="1">
      <alignment horizontal="center" vertical="center"/>
      <protection locked="0"/>
    </xf>
    <xf numFmtId="178" fontId="9" fillId="3" borderId="2" xfId="12" applyFont="1" applyFill="1" applyBorder="1" applyAlignment="1" applyProtection="1">
      <alignment horizontal="center" vertical="center"/>
      <protection locked="0"/>
    </xf>
    <xf numFmtId="178" fontId="9" fillId="3" borderId="4" xfId="12" applyFont="1" applyFill="1" applyBorder="1" applyAlignment="1" applyProtection="1">
      <alignment horizontal="center" vertical="center"/>
      <protection locked="0"/>
    </xf>
    <xf numFmtId="178" fontId="9" fillId="3" borderId="1" xfId="12" applyFont="1" applyFill="1" applyBorder="1" applyAlignment="1" applyProtection="1">
      <alignment horizontal="center" vertical="center" wrapText="1"/>
      <protection locked="0"/>
    </xf>
    <xf numFmtId="178" fontId="9" fillId="3" borderId="2" xfId="12" applyFont="1" applyFill="1" applyBorder="1" applyAlignment="1" applyProtection="1">
      <alignment horizontal="center" vertical="center" wrapText="1"/>
      <protection locked="0"/>
    </xf>
    <xf numFmtId="178" fontId="9" fillId="3" borderId="20" xfId="12" applyFont="1" applyFill="1" applyBorder="1" applyAlignment="1" applyProtection="1">
      <alignment horizontal="center" vertical="center" wrapText="1"/>
      <protection locked="0"/>
    </xf>
    <xf numFmtId="178" fontId="18" fillId="3" borderId="3" xfId="15" applyFont="1" applyFill="1" applyBorder="1" applyAlignment="1">
      <alignment vertical="center" wrapText="1"/>
    </xf>
    <xf numFmtId="178" fontId="10" fillId="3" borderId="3" xfId="3" applyNumberFormat="1" applyFont="1" applyFill="1" applyBorder="1" applyAlignment="1">
      <alignment horizontal="center" vertical="center" wrapText="1"/>
    </xf>
    <xf numFmtId="178" fontId="9" fillId="3" borderId="3" xfId="3" applyNumberFormat="1" applyFont="1" applyFill="1" applyBorder="1" applyAlignment="1">
      <alignment horizontal="center" vertical="center" wrapText="1"/>
    </xf>
    <xf numFmtId="178" fontId="9" fillId="3" borderId="3" xfId="12" applyFont="1" applyFill="1" applyBorder="1" applyAlignment="1" applyProtection="1">
      <alignment horizontal="center" vertical="center"/>
      <protection locked="0"/>
    </xf>
    <xf numFmtId="178" fontId="10" fillId="3" borderId="3" xfId="12" applyFont="1" applyFill="1" applyBorder="1" applyAlignment="1" applyProtection="1">
      <alignment horizontal="center" vertical="center"/>
      <protection locked="0"/>
    </xf>
    <xf numFmtId="178" fontId="13" fillId="3" borderId="3" xfId="0" applyFont="1" applyFill="1" applyBorder="1" applyAlignment="1" applyProtection="1">
      <alignment horizontal="center" vertical="center"/>
      <protection locked="0"/>
    </xf>
    <xf numFmtId="178" fontId="18" fillId="3" borderId="9" xfId="10" applyFont="1" applyFill="1" applyBorder="1" applyAlignment="1">
      <alignment horizontal="center" vertical="center" wrapText="1"/>
    </xf>
    <xf numFmtId="178" fontId="18" fillId="3" borderId="10" xfId="10" applyFont="1" applyFill="1" applyBorder="1" applyAlignment="1">
      <alignment horizontal="center" vertical="center" wrapText="1"/>
    </xf>
    <xf numFmtId="178" fontId="18" fillId="3" borderId="11" xfId="10" applyFont="1" applyFill="1" applyBorder="1" applyAlignment="1">
      <alignment horizontal="center" vertical="center" wrapText="1"/>
    </xf>
    <xf numFmtId="178" fontId="18" fillId="3" borderId="3" xfId="10" applyFont="1" applyFill="1" applyBorder="1" applyAlignment="1" applyProtection="1">
      <alignment horizontal="left" vertical="center" wrapText="1"/>
      <protection locked="0"/>
    </xf>
    <xf numFmtId="178" fontId="18" fillId="3" borderId="3" xfId="10" applyFont="1" applyFill="1" applyBorder="1" applyAlignment="1" applyProtection="1">
      <alignment vertical="center" wrapText="1"/>
    </xf>
    <xf numFmtId="178" fontId="19" fillId="3" borderId="1" xfId="10" applyFont="1" applyFill="1" applyBorder="1" applyAlignment="1" applyProtection="1">
      <alignment horizontal="left" vertical="center" wrapText="1"/>
      <protection locked="0"/>
    </xf>
    <xf numFmtId="178" fontId="12" fillId="3" borderId="4" xfId="10" applyFont="1" applyFill="1" applyBorder="1" applyAlignment="1" applyProtection="1">
      <alignment horizontal="left" vertical="center" wrapText="1"/>
      <protection locked="0"/>
    </xf>
    <xf numFmtId="178" fontId="18" fillId="3" borderId="3" xfId="10" applyFont="1" applyFill="1" applyBorder="1" applyAlignment="1">
      <alignment horizontal="center" vertical="center" wrapText="1"/>
    </xf>
    <xf numFmtId="178" fontId="18" fillId="3" borderId="3" xfId="10" applyFont="1" applyFill="1" applyBorder="1" applyAlignment="1" applyProtection="1">
      <alignment horizontal="center" vertical="center" wrapText="1"/>
    </xf>
    <xf numFmtId="178" fontId="18" fillId="3" borderId="9" xfId="10" applyFont="1" applyFill="1" applyBorder="1" applyAlignment="1" applyProtection="1">
      <alignment horizontal="center" vertical="center" wrapText="1"/>
    </xf>
    <xf numFmtId="178" fontId="18" fillId="3" borderId="10" xfId="10" applyFont="1" applyFill="1" applyBorder="1" applyAlignment="1" applyProtection="1">
      <alignment horizontal="center" vertical="center" wrapText="1"/>
    </xf>
    <xf numFmtId="178" fontId="18" fillId="3" borderId="11" xfId="10" applyFont="1" applyFill="1" applyBorder="1" applyAlignment="1" applyProtection="1">
      <alignment horizontal="center" vertical="center" wrapText="1"/>
    </xf>
    <xf numFmtId="178" fontId="18" fillId="3" borderId="3" xfId="12" applyFont="1" applyFill="1" applyBorder="1" applyAlignment="1" applyProtection="1">
      <alignment horizontal="center" vertical="center" wrapText="1"/>
      <protection locked="0"/>
    </xf>
    <xf numFmtId="178" fontId="9" fillId="3" borderId="13" xfId="12" applyFont="1" applyFill="1" applyBorder="1" applyAlignment="1" applyProtection="1">
      <alignment horizontal="center" vertical="center"/>
      <protection locked="0"/>
    </xf>
    <xf numFmtId="178" fontId="10" fillId="3" borderId="21" xfId="12" applyFont="1" applyFill="1" applyBorder="1" applyAlignment="1" applyProtection="1">
      <alignment horizontal="center" vertical="center"/>
      <protection locked="0"/>
    </xf>
    <xf numFmtId="178" fontId="11" fillId="3" borderId="3" xfId="10" applyFont="1" applyFill="1" applyBorder="1" applyAlignment="1" applyProtection="1">
      <alignment horizontal="left" vertical="center" wrapText="1"/>
      <protection locked="0"/>
    </xf>
    <xf numFmtId="178" fontId="14" fillId="3" borderId="3" xfId="12" applyFont="1" applyFill="1" applyBorder="1" applyAlignment="1" applyProtection="1">
      <alignment horizontal="center" vertical="center" wrapText="1"/>
      <protection locked="0"/>
    </xf>
    <xf numFmtId="178" fontId="13" fillId="3" borderId="3" xfId="12" applyFont="1" applyFill="1" applyBorder="1" applyAlignment="1" applyProtection="1">
      <alignment horizontal="center" vertical="center"/>
      <protection locked="0"/>
    </xf>
    <xf numFmtId="178" fontId="14" fillId="3" borderId="1" xfId="12" applyFont="1" applyFill="1" applyBorder="1" applyAlignment="1" applyProtection="1">
      <alignment horizontal="center" vertical="center" wrapText="1"/>
      <protection locked="0"/>
    </xf>
    <xf numFmtId="178" fontId="14" fillId="3" borderId="4" xfId="12" applyFont="1" applyFill="1" applyBorder="1" applyAlignment="1" applyProtection="1">
      <alignment horizontal="center" vertical="center" wrapText="1"/>
      <protection locked="0"/>
    </xf>
    <xf numFmtId="178" fontId="13" fillId="3" borderId="3" xfId="12" applyFont="1" applyFill="1" applyBorder="1" applyAlignment="1" applyProtection="1">
      <alignment horizontal="center" vertical="center" wrapText="1"/>
      <protection locked="0"/>
    </xf>
    <xf numFmtId="178" fontId="9" fillId="3" borderId="12" xfId="12" applyFont="1" applyFill="1" applyBorder="1" applyAlignment="1" applyProtection="1">
      <alignment horizontal="center" vertical="center"/>
      <protection locked="0"/>
    </xf>
    <xf numFmtId="178" fontId="10" fillId="3" borderId="13" xfId="12" applyFont="1" applyFill="1" applyBorder="1" applyAlignment="1" applyProtection="1">
      <alignment horizontal="center" vertical="center"/>
      <protection locked="0"/>
    </xf>
    <xf numFmtId="178" fontId="9" fillId="3" borderId="33" xfId="12" applyFont="1" applyFill="1" applyBorder="1" applyAlignment="1" applyProtection="1">
      <alignment horizontal="center" vertical="center"/>
      <protection locked="0"/>
    </xf>
    <xf numFmtId="178" fontId="9" fillId="3" borderId="34" xfId="12" applyFont="1" applyFill="1" applyBorder="1" applyAlignment="1" applyProtection="1">
      <alignment horizontal="center" vertical="center"/>
      <protection locked="0"/>
    </xf>
    <xf numFmtId="178" fontId="14" fillId="3" borderId="2" xfId="12" applyFont="1" applyFill="1" applyBorder="1" applyAlignment="1" applyProtection="1">
      <alignment horizontal="center" vertical="center" wrapText="1"/>
      <protection locked="0"/>
    </xf>
    <xf numFmtId="178" fontId="9" fillId="3" borderId="33" xfId="12" applyFont="1" applyFill="1" applyBorder="1" applyAlignment="1" applyProtection="1">
      <alignment horizontal="center" vertical="center" wrapText="1"/>
      <protection locked="0"/>
    </xf>
    <xf numFmtId="178" fontId="9" fillId="3" borderId="35" xfId="12" applyFont="1" applyFill="1" applyBorder="1" applyAlignment="1" applyProtection="1">
      <alignment horizontal="center" vertical="center" wrapText="1"/>
      <protection locked="0"/>
    </xf>
    <xf numFmtId="178" fontId="9" fillId="3" borderId="34" xfId="12" applyFont="1" applyFill="1" applyBorder="1" applyAlignment="1" applyProtection="1">
      <alignment horizontal="center" vertical="center" wrapText="1"/>
      <protection locked="0"/>
    </xf>
    <xf numFmtId="178" fontId="5" fillId="0" borderId="0" xfId="12" applyFont="1" applyFill="1" applyBorder="1" applyAlignment="1" applyProtection="1">
      <alignment horizontal="left" vertical="center" wrapText="1"/>
      <protection locked="0"/>
    </xf>
    <xf numFmtId="178" fontId="9" fillId="0" borderId="15" xfId="10" applyFont="1" applyFill="1" applyBorder="1" applyAlignment="1" applyProtection="1">
      <alignment horizontal="center" vertical="center" wrapText="1"/>
      <protection locked="0"/>
    </xf>
    <xf numFmtId="178" fontId="10" fillId="0" borderId="16" xfId="10" applyFont="1" applyFill="1" applyBorder="1" applyAlignment="1" applyProtection="1">
      <alignment horizontal="center" vertical="center" wrapText="1"/>
      <protection locked="0"/>
    </xf>
    <xf numFmtId="178" fontId="9" fillId="0" borderId="1" xfId="10" applyFont="1" applyFill="1" applyBorder="1" applyAlignment="1" applyProtection="1">
      <alignment horizontal="center" vertical="center" wrapText="1"/>
      <protection locked="0"/>
    </xf>
    <xf numFmtId="178" fontId="10" fillId="0" borderId="4" xfId="10" applyFont="1" applyFill="1" applyBorder="1" applyAlignment="1" applyProtection="1">
      <alignment horizontal="center" vertical="center" wrapText="1"/>
      <protection locked="0"/>
    </xf>
    <xf numFmtId="178" fontId="9" fillId="0" borderId="22" xfId="12" applyFont="1" applyFill="1" applyBorder="1" applyAlignment="1" applyProtection="1">
      <alignment horizontal="center" vertical="center" wrapText="1"/>
      <protection locked="0"/>
    </xf>
    <xf numFmtId="178" fontId="10" fillId="0" borderId="3" xfId="12" applyFont="1" applyFill="1" applyBorder="1" applyAlignment="1" applyProtection="1">
      <alignment horizontal="center" vertical="center" wrapText="1"/>
      <protection locked="0"/>
    </xf>
    <xf numFmtId="178" fontId="9" fillId="0" borderId="3" xfId="10" applyFont="1" applyFill="1" applyBorder="1" applyAlignment="1" applyProtection="1">
      <alignment horizontal="center" vertical="center" wrapText="1"/>
      <protection locked="0"/>
    </xf>
    <xf numFmtId="178" fontId="10" fillId="0" borderId="3" xfId="10" applyFont="1" applyFill="1" applyBorder="1" applyAlignment="1" applyProtection="1">
      <alignment horizontal="center" vertical="center" wrapText="1"/>
      <protection locked="0"/>
    </xf>
    <xf numFmtId="178" fontId="9" fillId="0" borderId="3" xfId="12" applyFont="1" applyFill="1" applyBorder="1" applyAlignment="1" applyProtection="1">
      <alignment horizontal="center" vertical="center" wrapText="1"/>
      <protection locked="0"/>
    </xf>
    <xf numFmtId="178" fontId="8" fillId="0" borderId="6" xfId="12" applyFont="1" applyFill="1" applyBorder="1" applyAlignment="1" applyProtection="1">
      <alignment horizontal="center" vertical="center" wrapText="1"/>
      <protection locked="0"/>
    </xf>
    <xf numFmtId="178" fontId="8" fillId="0" borderId="7" xfId="12" applyFont="1" applyFill="1" applyBorder="1" applyAlignment="1" applyProtection="1">
      <alignment horizontal="center" vertical="center" wrapText="1"/>
      <protection locked="0"/>
    </xf>
    <xf numFmtId="178" fontId="8" fillId="0" borderId="14" xfId="12" applyFont="1" applyFill="1" applyBorder="1" applyAlignment="1" applyProtection="1">
      <alignment horizontal="center" vertical="center" wrapText="1"/>
      <protection locked="0"/>
    </xf>
    <xf numFmtId="178" fontId="8" fillId="0" borderId="8" xfId="12" applyFont="1" applyFill="1" applyBorder="1" applyAlignment="1" applyProtection="1">
      <alignment horizontal="center" vertical="center" wrapText="1"/>
      <protection locked="0"/>
    </xf>
    <xf numFmtId="178" fontId="8" fillId="0" borderId="0" xfId="12" applyFont="1" applyFill="1" applyBorder="1" applyAlignment="1" applyProtection="1">
      <alignment horizontal="center" vertical="center" wrapText="1"/>
      <protection locked="0"/>
    </xf>
    <xf numFmtId="178" fontId="8" fillId="0" borderId="19" xfId="12" applyFont="1" applyFill="1" applyBorder="1" applyAlignment="1" applyProtection="1">
      <alignment horizontal="center" vertical="center" wrapText="1"/>
      <protection locked="0"/>
    </xf>
    <xf numFmtId="178" fontId="11" fillId="3" borderId="9" xfId="10" applyFont="1" applyFill="1" applyBorder="1" applyAlignment="1" applyProtection="1">
      <alignment horizontal="center" vertical="center" wrapText="1"/>
      <protection locked="0"/>
    </xf>
    <xf numFmtId="178" fontId="11" fillId="3" borderId="10" xfId="10" applyFont="1" applyFill="1" applyBorder="1" applyAlignment="1" applyProtection="1">
      <alignment horizontal="center" vertical="center" wrapText="1"/>
      <protection locked="0"/>
    </xf>
    <xf numFmtId="178" fontId="11" fillId="3" borderId="11" xfId="10" applyFont="1" applyFill="1" applyBorder="1" applyAlignment="1" applyProtection="1">
      <alignment horizontal="center" vertical="center" wrapText="1"/>
      <protection locked="0"/>
    </xf>
    <xf numFmtId="178" fontId="10" fillId="0" borderId="3" xfId="3" applyNumberFormat="1" applyFont="1" applyFill="1" applyBorder="1" applyAlignment="1">
      <alignment horizontal="center" vertical="center" wrapText="1"/>
    </xf>
    <xf numFmtId="178" fontId="9" fillId="0" borderId="3" xfId="3" applyNumberFormat="1" applyFont="1" applyFill="1" applyBorder="1" applyAlignment="1">
      <alignment horizontal="center" vertical="center" wrapText="1"/>
    </xf>
    <xf numFmtId="178" fontId="9" fillId="0" borderId="3" xfId="12" applyFont="1" applyFill="1" applyBorder="1" applyAlignment="1" applyProtection="1">
      <alignment horizontal="center" vertical="center"/>
      <protection locked="0"/>
    </xf>
    <xf numFmtId="178" fontId="10" fillId="0" borderId="3" xfId="12" applyFont="1" applyFill="1" applyBorder="1" applyAlignment="1" applyProtection="1">
      <alignment horizontal="center" vertical="center"/>
      <protection locked="0"/>
    </xf>
    <xf numFmtId="178" fontId="11" fillId="0" borderId="25" xfId="10" applyFont="1" applyFill="1" applyBorder="1" applyAlignment="1" applyProtection="1">
      <alignment horizontal="center" vertical="center" wrapText="1"/>
      <protection locked="0"/>
    </xf>
    <xf numFmtId="178" fontId="11" fillId="0" borderId="23" xfId="10" applyFont="1" applyFill="1" applyBorder="1" applyAlignment="1" applyProtection="1">
      <alignment horizontal="center" vertical="center" wrapText="1"/>
      <protection locked="0"/>
    </xf>
    <xf numFmtId="178" fontId="11" fillId="0" borderId="26" xfId="10" applyFont="1" applyFill="1" applyBorder="1" applyAlignment="1" applyProtection="1">
      <alignment horizontal="center" vertical="center" wrapText="1"/>
      <protection locked="0"/>
    </xf>
    <xf numFmtId="178" fontId="11" fillId="0" borderId="5" xfId="10" applyFont="1" applyFill="1" applyBorder="1" applyAlignment="1" applyProtection="1">
      <alignment horizontal="center" vertical="center" wrapText="1"/>
      <protection locked="0"/>
    </xf>
    <xf numFmtId="178" fontId="11" fillId="0" borderId="0" xfId="10" applyFont="1" applyFill="1" applyBorder="1" applyAlignment="1" applyProtection="1">
      <alignment horizontal="center" vertical="center" wrapText="1"/>
      <protection locked="0"/>
    </xf>
    <xf numFmtId="178" fontId="11" fillId="0" borderId="19" xfId="10" applyFont="1" applyFill="1" applyBorder="1" applyAlignment="1" applyProtection="1">
      <alignment horizontal="center" vertical="center" wrapText="1"/>
      <protection locked="0"/>
    </xf>
    <xf numFmtId="178" fontId="58" fillId="3" borderId="1" xfId="12" applyFont="1" applyFill="1" applyBorder="1" applyAlignment="1" applyProtection="1">
      <alignment horizontal="left" vertical="center" wrapText="1"/>
      <protection locked="0"/>
    </xf>
    <xf numFmtId="178" fontId="58" fillId="3" borderId="2" xfId="12" applyFont="1" applyFill="1" applyBorder="1" applyAlignment="1" applyProtection="1">
      <alignment horizontal="left" vertical="center" wrapText="1"/>
      <protection locked="0"/>
    </xf>
    <xf numFmtId="178" fontId="58" fillId="3" borderId="4" xfId="12" applyFont="1" applyFill="1" applyBorder="1" applyAlignment="1" applyProtection="1">
      <alignment horizontal="left" vertical="center" wrapText="1"/>
      <protection locked="0"/>
    </xf>
    <xf numFmtId="178" fontId="15" fillId="3" borderId="3" xfId="0" applyFont="1" applyFill="1" applyBorder="1" applyAlignment="1">
      <alignment horizontal="center" vertical="center"/>
    </xf>
    <xf numFmtId="178" fontId="18" fillId="3" borderId="3" xfId="0" applyFont="1" applyFill="1" applyBorder="1" applyAlignment="1">
      <alignment horizontal="center" vertical="center"/>
    </xf>
    <xf numFmtId="184" fontId="27" fillId="0" borderId="0" xfId="12" applyNumberFormat="1" applyFont="1" applyFill="1" applyAlignment="1" applyProtection="1">
      <alignment horizontal="center" vertical="center" wrapText="1"/>
      <protection locked="0"/>
    </xf>
    <xf numFmtId="178" fontId="13" fillId="3" borderId="9" xfId="10" applyFont="1" applyFill="1" applyBorder="1" applyAlignment="1" applyProtection="1">
      <alignment horizontal="center" vertical="center" wrapText="1"/>
      <protection locked="0"/>
    </xf>
    <xf numFmtId="178" fontId="13" fillId="3" borderId="10" xfId="10" applyFont="1" applyFill="1" applyBorder="1" applyAlignment="1" applyProtection="1">
      <alignment horizontal="center" vertical="center" wrapText="1"/>
      <protection locked="0"/>
    </xf>
    <xf numFmtId="178" fontId="13" fillId="3" borderId="11" xfId="10" applyFont="1" applyFill="1" applyBorder="1" applyAlignment="1" applyProtection="1">
      <alignment horizontal="center" vertical="center" wrapText="1"/>
      <protection locked="0"/>
    </xf>
    <xf numFmtId="178" fontId="11" fillId="3" borderId="11" xfId="10" applyFont="1" applyFill="1" applyBorder="1" applyAlignment="1" applyProtection="1">
      <alignment horizontal="left" vertical="center" wrapText="1"/>
      <protection locked="0"/>
    </xf>
    <xf numFmtId="0" fontId="48" fillId="0" borderId="1" xfId="24" applyFont="1" applyFill="1" applyBorder="1" applyAlignment="1">
      <alignment horizontal="center" vertical="center" wrapText="1"/>
    </xf>
    <xf numFmtId="0" fontId="48" fillId="0" borderId="2" xfId="24" applyFont="1" applyFill="1" applyBorder="1" applyAlignment="1">
      <alignment horizontal="center" vertical="center" wrapText="1"/>
    </xf>
    <xf numFmtId="0" fontId="48" fillId="0" borderId="4" xfId="24" applyFont="1" applyFill="1" applyBorder="1" applyAlignment="1">
      <alignment horizontal="center" vertical="center" wrapText="1"/>
    </xf>
    <xf numFmtId="0" fontId="50" fillId="0" borderId="3" xfId="24" applyFont="1" applyFill="1" applyBorder="1" applyAlignment="1">
      <alignment horizontal="center" vertical="center" wrapText="1"/>
    </xf>
    <xf numFmtId="0" fontId="50" fillId="0" borderId="9" xfId="24" applyFont="1" applyFill="1" applyBorder="1" applyAlignment="1">
      <alignment horizontal="center" vertical="center" wrapText="1"/>
    </xf>
    <xf numFmtId="0" fontId="50" fillId="0" borderId="11" xfId="24" applyFont="1" applyFill="1" applyBorder="1" applyAlignment="1">
      <alignment horizontal="center" vertical="center" wrapText="1"/>
    </xf>
    <xf numFmtId="0" fontId="53" fillId="0" borderId="3" xfId="24" applyFont="1" applyFill="1" applyBorder="1" applyAlignment="1">
      <alignment horizontal="left" vertical="center" wrapText="1"/>
    </xf>
    <xf numFmtId="0" fontId="53" fillId="3" borderId="1" xfId="24" applyFont="1" applyFill="1" applyBorder="1" applyAlignment="1">
      <alignment horizontal="left" vertical="center" wrapText="1"/>
    </xf>
    <xf numFmtId="0" fontId="53" fillId="3" borderId="2" xfId="24" applyFont="1" applyFill="1" applyBorder="1" applyAlignment="1">
      <alignment horizontal="left" vertical="center" wrapText="1"/>
    </xf>
    <xf numFmtId="0" fontId="53" fillId="3" borderId="4" xfId="24" applyFont="1" applyFill="1" applyBorder="1" applyAlignment="1">
      <alignment horizontal="left" vertical="center" wrapText="1"/>
    </xf>
    <xf numFmtId="0" fontId="50" fillId="3" borderId="3" xfId="24" applyFont="1" applyFill="1" applyBorder="1" applyAlignment="1">
      <alignment horizontal="center" vertical="center" wrapText="1"/>
    </xf>
    <xf numFmtId="0" fontId="51" fillId="0" borderId="9" xfId="24" applyFont="1" applyFill="1" applyBorder="1" applyAlignment="1">
      <alignment horizontal="center" vertical="center" wrapText="1"/>
    </xf>
    <xf numFmtId="0" fontId="51" fillId="0" borderId="11" xfId="24" applyFont="1" applyFill="1" applyBorder="1" applyAlignment="1">
      <alignment horizontal="center" vertical="center" wrapText="1"/>
    </xf>
    <xf numFmtId="0" fontId="7" fillId="0" borderId="1" xfId="24" applyFont="1" applyBorder="1" applyAlignment="1">
      <alignment horizontal="center" vertical="center"/>
    </xf>
    <xf numFmtId="0" fontId="2" fillId="0" borderId="2" xfId="24" applyFont="1" applyBorder="1" applyAlignment="1">
      <alignment horizontal="center" vertical="center"/>
    </xf>
    <xf numFmtId="0" fontId="2" fillId="0" borderId="4" xfId="24" applyFont="1" applyBorder="1" applyAlignment="1">
      <alignment horizontal="center" vertical="center"/>
    </xf>
    <xf numFmtId="178" fontId="45" fillId="3" borderId="29" xfId="7" applyFont="1" applyFill="1" applyBorder="1" applyAlignment="1">
      <alignment horizontal="center" vertical="center"/>
    </xf>
    <xf numFmtId="178" fontId="46" fillId="3" borderId="30" xfId="7" applyFont="1" applyFill="1" applyBorder="1" applyAlignment="1">
      <alignment horizontal="center" vertical="center"/>
    </xf>
    <xf numFmtId="178" fontId="46" fillId="3" borderId="18" xfId="7" applyFont="1" applyFill="1" applyBorder="1" applyAlignment="1">
      <alignment horizontal="center" vertical="center"/>
    </xf>
    <xf numFmtId="0" fontId="2" fillId="0" borderId="1" xfId="24" applyFont="1" applyBorder="1" applyAlignment="1">
      <alignment horizontal="center" vertical="center"/>
    </xf>
  </cellXfs>
  <cellStyles count="28">
    <cellStyle name="Normal_DEI-003" xfId="6"/>
    <cellStyle name="百分比" xfId="27" builtinId="5"/>
    <cellStyle name="常规" xfId="0" builtinId="0"/>
    <cellStyle name="常规 2" xfId="10"/>
    <cellStyle name="常规 2 15" xfId="11"/>
    <cellStyle name="常规 2 18" xfId="12"/>
    <cellStyle name="常规 2 18 2" xfId="3"/>
    <cellStyle name="常规 2 18 3" xfId="13"/>
    <cellStyle name="常规 2 2" xfId="7"/>
    <cellStyle name="常规 2 2 5" xfId="5"/>
    <cellStyle name="常规 2 2 5 2" xfId="15"/>
    <cellStyle name="常规 2 3" xfId="9"/>
    <cellStyle name="常规 24" xfId="16"/>
    <cellStyle name="常规 3" xfId="14"/>
    <cellStyle name="常规 3 12" xfId="8"/>
    <cellStyle name="常规 3 2" xfId="4"/>
    <cellStyle name="常规 3 2 2" xfId="2"/>
    <cellStyle name="常规 3 2 2 2" xfId="17"/>
    <cellStyle name="常规 3 3" xfId="18"/>
    <cellStyle name="常规 3 3 2" xfId="26"/>
    <cellStyle name="常规 35" xfId="19"/>
    <cellStyle name="常规 36" xfId="20"/>
    <cellStyle name="常规 4" xfId="21"/>
    <cellStyle name="常规 4 2" xfId="22"/>
    <cellStyle name="常规 5" xfId="23"/>
    <cellStyle name="常规 6" xfId="1"/>
    <cellStyle name="常规 7" xfId="24"/>
    <cellStyle name="一般_NLX" xfId="2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4</xdr:col>
      <xdr:colOff>190500</xdr:colOff>
      <xdr:row>0</xdr:row>
      <xdr:rowOff>485775</xdr:rowOff>
    </xdr:to>
    <xdr:sp macro="" textlink="">
      <xdr:nvSpPr>
        <xdr:cNvPr id="2" name="文本框 1"/>
        <xdr:cNvSpPr txBox="1"/>
      </xdr:nvSpPr>
      <xdr:spPr>
        <a:xfrm>
          <a:off x="175260" y="152400"/>
          <a:ext cx="160782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r>
            <a:rPr lang="en-US" altLang="zh-CN" sz="1200">
              <a:latin typeface="+mn-ea"/>
              <a:ea typeface="+mn-ea"/>
            </a:rPr>
            <a:t>3</a:t>
          </a:r>
          <a:r>
            <a:rPr lang="zh-CN" altLang="en-US" sz="1200">
              <a:latin typeface="+mn-ea"/>
              <a:ea typeface="+mn-ea"/>
            </a:rPr>
            <a:t>年</a:t>
          </a:r>
        </a:p>
      </xdr:txBody>
    </xdr:sp>
    <xdr:clientData/>
  </xdr:twoCellAnchor>
  <xdr:twoCellAnchor editAs="oneCell">
    <xdr:from>
      <xdr:col>8</xdr:col>
      <xdr:colOff>508000</xdr:colOff>
      <xdr:row>0</xdr:row>
      <xdr:rowOff>119530</xdr:rowOff>
    </xdr:from>
    <xdr:to>
      <xdr:col>9</xdr:col>
      <xdr:colOff>840895</xdr:colOff>
      <xdr:row>0</xdr:row>
      <xdr:rowOff>424330</xdr:rowOff>
    </xdr:to>
    <xdr:pic>
      <xdr:nvPicPr>
        <xdr:cNvPr id="4" name="图片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9080" y="119380"/>
          <a:ext cx="99568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72571</xdr:colOff>
      <xdr:row>6</xdr:row>
      <xdr:rowOff>54430</xdr:rowOff>
    </xdr:from>
    <xdr:to>
      <xdr:col>8</xdr:col>
      <xdr:colOff>834572</xdr:colOff>
      <xdr:row>11</xdr:row>
      <xdr:rowOff>355490</xdr:rowOff>
    </xdr:to>
    <xdr:pic>
      <xdr:nvPicPr>
        <xdr:cNvPr id="4" name="图片 3"/>
        <xdr:cNvPicPr>
          <a:picLocks noChangeAspect="1"/>
        </xdr:cNvPicPr>
      </xdr:nvPicPr>
      <xdr:blipFill>
        <a:blip xmlns:r="http://schemas.openxmlformats.org/officeDocument/2006/relationships" r:embed="rId1"/>
        <a:stretch>
          <a:fillRect/>
        </a:stretch>
      </xdr:blipFill>
      <xdr:spPr>
        <a:xfrm>
          <a:off x="145142" y="2222501"/>
          <a:ext cx="5098144" cy="24056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pe"/>
      <sheetName val="Sheet 2"/>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Assumptions sheet raw material"/>
      <sheetName val="Material"/>
      <sheetName val="SBM-devices-FWZ"/>
      <sheetName val="Language"/>
      <sheetName val="Tabelle1"/>
      <sheetName val="Currency"/>
      <sheetName val="Sheet3"/>
      <sheetName val="分类参考"/>
      <sheetName val="CICA"/>
      <sheetName val="Raw Material Database"/>
      <sheetName val="二级明细-生产"/>
      <sheetName val="工装夹检具"/>
      <sheetName val="EV Project Schedule Rev.01"/>
      <sheetName val="C6-44221人员数量"/>
      <sheetName val="Index"/>
      <sheetName val="_Volumes_ Bella Zhang_1.工作文件夹_1"/>
      <sheetName val="_Users_ocean_Library_Containers"/>
      <sheetName val="_C_Users_ocean_Library_Containe"/>
      <sheetName val="_C_Volumes_ Bella Zhang_1.工作文件夹"/>
      <sheetName val="L EQ"/>
      <sheetName val="ﾛｲ"/>
      <sheetName val="生产领料汇总表"/>
      <sheetName val="Amortization "/>
      <sheetName val="ED&amp;D Labor Rate"/>
      <sheetName val="Drop Downs"/>
      <sheetName val="series pricing"/>
      <sheetName val="Sum"/>
      <sheetName val="Units"/>
      <sheetName val="社保公积金比例"/>
      <sheetName val="部门折旧"/>
      <sheetName val="FA-LISTING"/>
      <sheetName val="125PIECE"/>
      <sheetName val="ISRDATA"/>
      <sheetName val="Cork"/>
      <sheetName val="Bom(P1)"/>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Manufactering costs"/>
      <sheetName val="1"/>
      <sheetName val="填表说明"/>
      <sheetName val="model"/>
      <sheetName val="Sheet371"/>
      <sheetName val="PROFILE"/>
      <sheetName val="Oct"/>
      <sheetName val="日程"/>
      <sheetName val="基礎数値"/>
      <sheetName val="一线排序计划"/>
      <sheetName val="COST"/>
      <sheetName val="03-产能(按平台）"/>
      <sheetName val="CALCUL"/>
      <sheetName val="COG"/>
      <sheetName val="TbList"/>
      <sheetName val="全体ｸﾞﾗﾌ"/>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月度抄表"/>
      <sheetName val="低压抄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Database"/>
      <sheetName val="生产领料汇总表"/>
      <sheetName val="fenxi(内)"/>
      <sheetName val="Cork"/>
      <sheetName val="resume"/>
      <sheetName val="L EQ"/>
      <sheetName val="Summary"/>
      <sheetName val="Assumptions sheet"/>
      <sheetName val="电池片10条生产线 "/>
      <sheetName val="PV6 3.5L LX5 GMX170"/>
      <sheetName val="滯料RAW_Data"/>
      <sheetName val="呆料RAW_Data"/>
      <sheetName val="sheet 2"/>
      <sheetName val="项目计划"/>
      <sheetName val="Assumptions sheet raw material"/>
      <sheetName val="Material"/>
      <sheetName val="SBM-devices-FWZ"/>
      <sheetName val="Investment_for_unit_line"/>
      <sheetName val="Equipment_Req_Plan"/>
      <sheetName val="清冊"/>
      <sheetName val="Amortization "/>
      <sheetName val="ED&amp;D Labor Rate"/>
      <sheetName val="Drop Downs"/>
      <sheetName val="个人欠款账龄分析表"/>
      <sheetName val="B.2"/>
      <sheetName val="E.2"/>
      <sheetName val="C.3"/>
      <sheetName val="Manufactering costs"/>
      <sheetName val="series pricing"/>
      <sheetName val="Oct"/>
      <sheetName val="data"/>
      <sheetName val="Mix A"/>
      <sheetName val="运输包装"/>
      <sheetName val="Tabelle1"/>
      <sheetName val="社保公积金比例"/>
      <sheetName val="Rate"/>
      <sheetName val="应付"/>
      <sheetName val="CALCUL"/>
      <sheetName val="TbList"/>
      <sheetName val="Language"/>
      <sheetName val="125PIECE"/>
      <sheetName val="ISRDATA"/>
      <sheetName val="#REF"/>
      <sheetName val="一线排序计划"/>
      <sheetName val="员工年资"/>
      <sheetName val="3-8"/>
      <sheetName val="Sheet1"/>
      <sheetName val="CBU"/>
      <sheetName val="投资条款汇总"/>
      <sheetName val="Currency"/>
      <sheetName val="Sheet371"/>
      <sheetName val="填表说明"/>
      <sheetName val="전수항목"/>
      <sheetName val="展開日程"/>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Données"/>
      <sheetName val="月度抄表"/>
      <sheetName val="低压抄表"/>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電気参考データ"/>
      <sheetName val="Sheet 2"/>
      <sheetName val="FA-LISTING"/>
      <sheetName val="运输包装"/>
      <sheetName val="resume"/>
      <sheetName val="Database"/>
      <sheetName val="#REF"/>
      <sheetName val="新万人事资料_(2)"/>
      <sheetName val="Equipment_Req_Plan"/>
      <sheetName val="Sheet1"/>
      <sheetName val="Input commodity fallout"/>
      <sheetName val="Reporting"/>
      <sheetName val="Bom(P1)"/>
      <sheetName val="Sheet3"/>
      <sheetName val="PV6 3.5L LX5 GMX170"/>
      <sheetName val="处理方式"/>
      <sheetName val="Mix A"/>
      <sheetName val="滯料RAW_Data"/>
      <sheetName val="呆料RAW_Data"/>
      <sheetName val="ISRDATA"/>
      <sheetName val="125PIECE"/>
      <sheetName val="Fading_Data"/>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QR20-1101"/>
      <sheetName val="補助"/>
      <sheetName val="MASTER"/>
      <sheetName val="XL4Poppy"/>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J20"/>
  <sheetViews>
    <sheetView showGridLines="0" tabSelected="1" view="pageLayout" zoomScaleNormal="85" zoomScaleSheetLayoutView="115" workbookViewId="0">
      <selection activeCell="D5" sqref="D5:H5"/>
    </sheetView>
  </sheetViews>
  <sheetFormatPr defaultColWidth="9" defaultRowHeight="14"/>
  <cols>
    <col min="1" max="1" width="2" style="77" customWidth="1"/>
    <col min="2" max="2" width="6.08984375" style="78" customWidth="1"/>
    <col min="3" max="3" width="7.08984375" style="77" customWidth="1"/>
    <col min="4" max="4" width="7.90625" style="77" customWidth="1"/>
    <col min="5" max="5" width="9.6328125" style="77" customWidth="1"/>
    <col min="6" max="6" width="10.6328125" style="77" customWidth="1"/>
    <col min="7" max="7" width="11.08984375" style="77" customWidth="1"/>
    <col min="8" max="8" width="16.08984375" style="77" customWidth="1"/>
    <col min="9" max="9" width="9.6328125" style="77" customWidth="1"/>
    <col min="10" max="10" width="13.6328125" style="77" customWidth="1"/>
    <col min="11" max="16384" width="9" style="77"/>
  </cols>
  <sheetData>
    <row r="1" spans="2:10" ht="40" customHeight="1">
      <c r="B1" s="244" t="s">
        <v>0</v>
      </c>
      <c r="C1" s="245"/>
      <c r="D1" s="245"/>
      <c r="E1" s="245"/>
      <c r="F1" s="245"/>
      <c r="G1" s="245"/>
      <c r="H1" s="245"/>
      <c r="I1" s="245"/>
      <c r="J1" s="246"/>
    </row>
    <row r="2" spans="2:10" ht="40" customHeight="1">
      <c r="B2" s="247" t="s">
        <v>1</v>
      </c>
      <c r="C2" s="247"/>
      <c r="D2" s="248" t="s">
        <v>348</v>
      </c>
      <c r="E2" s="249"/>
      <c r="F2" s="249"/>
      <c r="G2" s="79" t="s">
        <v>2</v>
      </c>
      <c r="H2" s="250" t="s">
        <v>3</v>
      </c>
      <c r="I2" s="251"/>
      <c r="J2" s="251"/>
    </row>
    <row r="3" spans="2:10" ht="40" customHeight="1">
      <c r="B3" s="252" t="s">
        <v>4</v>
      </c>
      <c r="C3" s="253"/>
      <c r="D3" s="253"/>
      <c r="E3" s="253"/>
      <c r="F3" s="253"/>
      <c r="G3" s="253"/>
      <c r="H3" s="253"/>
      <c r="I3" s="253"/>
      <c r="J3" s="254"/>
    </row>
    <row r="4" spans="2:10" ht="40" customHeight="1">
      <c r="B4" s="80" t="s">
        <v>5</v>
      </c>
      <c r="C4" s="81" t="s">
        <v>6</v>
      </c>
      <c r="D4" s="255" t="s">
        <v>7</v>
      </c>
      <c r="E4" s="255"/>
      <c r="F4" s="255"/>
      <c r="G4" s="255"/>
      <c r="H4" s="255"/>
      <c r="I4" s="91" t="s">
        <v>8</v>
      </c>
      <c r="J4" s="91" t="s">
        <v>9</v>
      </c>
    </row>
    <row r="5" spans="2:10" ht="40" customHeight="1">
      <c r="B5" s="243">
        <v>1</v>
      </c>
      <c r="C5" s="83" t="s">
        <v>396</v>
      </c>
      <c r="D5" s="256" t="s">
        <v>397</v>
      </c>
      <c r="E5" s="257"/>
      <c r="F5" s="257"/>
      <c r="G5" s="257"/>
      <c r="H5" s="258"/>
      <c r="I5" s="190" t="s">
        <v>399</v>
      </c>
      <c r="J5" s="93" t="s">
        <v>403</v>
      </c>
    </row>
    <row r="6" spans="2:10" ht="40" customHeight="1">
      <c r="B6" s="243">
        <v>2</v>
      </c>
      <c r="C6" s="83" t="s">
        <v>401</v>
      </c>
      <c r="D6" s="259" t="s">
        <v>419</v>
      </c>
      <c r="E6" s="257"/>
      <c r="F6" s="257"/>
      <c r="G6" s="257"/>
      <c r="H6" s="258"/>
      <c r="I6" s="190" t="s">
        <v>399</v>
      </c>
      <c r="J6" s="93" t="s">
        <v>402</v>
      </c>
    </row>
    <row r="7" spans="2:10" ht="40" customHeight="1">
      <c r="B7" s="84">
        <v>3</v>
      </c>
      <c r="C7" s="83" t="s">
        <v>400</v>
      </c>
      <c r="D7" s="259" t="s">
        <v>412</v>
      </c>
      <c r="E7" s="257"/>
      <c r="F7" s="257"/>
      <c r="G7" s="257"/>
      <c r="H7" s="258"/>
      <c r="I7" s="190" t="s">
        <v>363</v>
      </c>
      <c r="J7" s="93" t="s">
        <v>406</v>
      </c>
    </row>
    <row r="8" spans="2:10" ht="40" customHeight="1">
      <c r="B8" s="84">
        <v>4</v>
      </c>
      <c r="C8" s="85" t="s">
        <v>407</v>
      </c>
      <c r="D8" s="260" t="s">
        <v>414</v>
      </c>
      <c r="E8" s="261"/>
      <c r="F8" s="261"/>
      <c r="G8" s="261"/>
      <c r="H8" s="261"/>
      <c r="I8" s="190" t="s">
        <v>363</v>
      </c>
      <c r="J8" s="92" t="s">
        <v>408</v>
      </c>
    </row>
    <row r="9" spans="2:10" ht="40" customHeight="1">
      <c r="B9" s="82"/>
      <c r="C9" s="85"/>
      <c r="D9" s="262"/>
      <c r="E9" s="263"/>
      <c r="F9" s="263"/>
      <c r="G9" s="263"/>
      <c r="H9" s="263"/>
      <c r="I9" s="96"/>
      <c r="J9" s="92"/>
    </row>
    <row r="10" spans="2:10" ht="40" customHeight="1">
      <c r="B10" s="84"/>
      <c r="C10" s="85"/>
      <c r="D10" s="259"/>
      <c r="E10" s="257"/>
      <c r="F10" s="257"/>
      <c r="G10" s="257"/>
      <c r="H10" s="258"/>
      <c r="I10" s="96"/>
      <c r="J10" s="92"/>
    </row>
    <row r="11" spans="2:10" ht="40" customHeight="1">
      <c r="B11" s="84"/>
      <c r="C11" s="85"/>
      <c r="D11" s="264"/>
      <c r="E11" s="265"/>
      <c r="F11" s="265"/>
      <c r="G11" s="265"/>
      <c r="H11" s="266"/>
      <c r="I11" s="86"/>
      <c r="J11" s="93"/>
    </row>
    <row r="12" spans="2:10" ht="40" customHeight="1">
      <c r="B12" s="84"/>
      <c r="C12" s="86"/>
      <c r="D12" s="267"/>
      <c r="E12" s="268"/>
      <c r="F12" s="268"/>
      <c r="G12" s="268"/>
      <c r="H12" s="269"/>
      <c r="I12" s="86"/>
      <c r="J12" s="93"/>
    </row>
    <row r="13" spans="2:10" ht="40" customHeight="1">
      <c r="B13" s="84"/>
      <c r="C13" s="86"/>
      <c r="D13" s="270"/>
      <c r="E13" s="271"/>
      <c r="F13" s="271"/>
      <c r="G13" s="271"/>
      <c r="H13" s="272"/>
      <c r="I13" s="86"/>
      <c r="J13" s="94"/>
    </row>
    <row r="14" spans="2:10" ht="40" customHeight="1">
      <c r="B14" s="84"/>
      <c r="C14" s="86"/>
      <c r="D14" s="273"/>
      <c r="E14" s="274"/>
      <c r="F14" s="274"/>
      <c r="G14" s="274"/>
      <c r="H14" s="275"/>
      <c r="I14" s="88"/>
      <c r="J14" s="95"/>
    </row>
    <row r="15" spans="2:10" ht="40" customHeight="1">
      <c r="B15" s="87"/>
      <c r="C15" s="88"/>
      <c r="D15" s="276"/>
      <c r="E15" s="277"/>
      <c r="F15" s="277"/>
      <c r="G15" s="277"/>
      <c r="H15" s="278"/>
      <c r="I15" s="88"/>
      <c r="J15" s="95"/>
    </row>
    <row r="16" spans="2:10" ht="32.25" customHeight="1">
      <c r="B16" s="279" t="s">
        <v>10</v>
      </c>
      <c r="C16" s="280"/>
      <c r="D16" s="280"/>
      <c r="E16" s="280"/>
      <c r="F16" s="280"/>
      <c r="G16" s="280"/>
      <c r="H16" s="280"/>
      <c r="I16" s="280"/>
      <c r="J16" s="281"/>
    </row>
    <row r="17" spans="2:10" ht="21.75" customHeight="1">
      <c r="B17" s="282" t="s">
        <v>11</v>
      </c>
      <c r="C17" s="283"/>
      <c r="D17" s="284" t="s">
        <v>12</v>
      </c>
      <c r="E17" s="285"/>
      <c r="F17" s="285"/>
      <c r="G17" s="286"/>
      <c r="H17" s="89" t="s">
        <v>13</v>
      </c>
      <c r="I17" s="186" t="s">
        <v>14</v>
      </c>
      <c r="J17" s="188" t="s">
        <v>356</v>
      </c>
    </row>
    <row r="18" spans="2:10" ht="44.5" customHeight="1">
      <c r="B18" s="287">
        <v>1</v>
      </c>
      <c r="C18" s="288"/>
      <c r="D18" s="291" t="s">
        <v>354</v>
      </c>
      <c r="E18" s="292"/>
      <c r="F18" s="292"/>
      <c r="G18" s="293"/>
      <c r="H18" s="106" t="s">
        <v>200</v>
      </c>
      <c r="I18" s="187" t="s">
        <v>201</v>
      </c>
      <c r="J18" s="189">
        <v>1</v>
      </c>
    </row>
    <row r="19" spans="2:10" ht="42.65" customHeight="1">
      <c r="B19" s="287">
        <v>2</v>
      </c>
      <c r="C19" s="288"/>
      <c r="D19" s="291" t="s">
        <v>355</v>
      </c>
      <c r="E19" s="292"/>
      <c r="F19" s="292"/>
      <c r="G19" s="293"/>
      <c r="H19" s="106" t="s">
        <v>200</v>
      </c>
      <c r="I19" s="187" t="s">
        <v>201</v>
      </c>
      <c r="J19" s="189">
        <v>1</v>
      </c>
    </row>
    <row r="20" spans="2:10" ht="29.25" customHeight="1">
      <c r="B20" s="287"/>
      <c r="C20" s="288"/>
      <c r="D20" s="260"/>
      <c r="E20" s="260"/>
      <c r="F20" s="260"/>
      <c r="G20" s="260"/>
      <c r="H20" s="90"/>
      <c r="I20" s="289"/>
      <c r="J20" s="290"/>
    </row>
  </sheetData>
  <mergeCells count="27">
    <mergeCell ref="B20:C20"/>
    <mergeCell ref="D20:G20"/>
    <mergeCell ref="I20:J20"/>
    <mergeCell ref="B18:C18"/>
    <mergeCell ref="D18:G18"/>
    <mergeCell ref="B19:C19"/>
    <mergeCell ref="D19:G19"/>
    <mergeCell ref="D14:H14"/>
    <mergeCell ref="D15:H15"/>
    <mergeCell ref="B16:J16"/>
    <mergeCell ref="B17:C17"/>
    <mergeCell ref="D17:G17"/>
    <mergeCell ref="D9:H9"/>
    <mergeCell ref="D10:H10"/>
    <mergeCell ref="D11:H11"/>
    <mergeCell ref="D12:H12"/>
    <mergeCell ref="D13:H13"/>
    <mergeCell ref="D4:H4"/>
    <mergeCell ref="D5:H5"/>
    <mergeCell ref="D6:H6"/>
    <mergeCell ref="D7:H7"/>
    <mergeCell ref="D8:H8"/>
    <mergeCell ref="B1:J1"/>
    <mergeCell ref="B2:C2"/>
    <mergeCell ref="D2:F2"/>
    <mergeCell ref="H2:J2"/>
    <mergeCell ref="B3:J3"/>
  </mergeCells>
  <phoneticPr fontId="38" type="noConversion"/>
  <printOptions horizontalCentered="1" verticalCentered="1"/>
  <pageMargins left="0.19685039370078741" right="0.19685039370078741" top="0.35433070866141736" bottom="0.39370078740157483" header="0.19685039370078741" footer="0.19685039370078741"/>
  <pageSetup paperSize="9" fitToHeight="0" orientation="portrait" r:id="rId1"/>
  <headerFooter alignWithMargins="0">
    <oddHeader>&amp;LPM240707-012&amp;C&amp;K132C2E正极合浆工序控制计划&amp;R&amp;K132C2E版本号：B2</oddHeader>
    <oddFooter>&amp;L&amp;14&amp;K000000&amp;C&amp;K130c0e第 &amp;P 页，共 &amp;N 页&amp;R&amp;14&amp;K000000</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B1:AA33"/>
  <sheetViews>
    <sheetView showGridLines="0" view="pageLayout" zoomScale="55" zoomScaleNormal="70" zoomScaleSheetLayoutView="70" zoomScalePageLayoutView="55" workbookViewId="0">
      <selection activeCell="I11" sqref="I11"/>
    </sheetView>
  </sheetViews>
  <sheetFormatPr defaultColWidth="9" defaultRowHeight="14"/>
  <cols>
    <col min="1" max="1" width="1.08984375" style="203" customWidth="1"/>
    <col min="2" max="2" width="11" style="203" customWidth="1"/>
    <col min="3" max="3" width="8.453125" style="203" customWidth="1"/>
    <col min="4" max="4" width="10.6328125" style="203" customWidth="1"/>
    <col min="5" max="5" width="6.90625" style="203" customWidth="1"/>
    <col min="6" max="6" width="9.08984375" style="203" customWidth="1"/>
    <col min="7" max="7" width="10.08984375" style="203" customWidth="1"/>
    <col min="8" max="8" width="10.453125" style="203" customWidth="1"/>
    <col min="9" max="9" width="30.08984375" style="203" customWidth="1"/>
    <col min="10" max="10" width="15" style="203" customWidth="1"/>
    <col min="11" max="14" width="10.90625" style="203" customWidth="1"/>
    <col min="15" max="15" width="34.453125" style="203" customWidth="1"/>
    <col min="16" max="16" width="14.08984375" style="224" customWidth="1"/>
    <col min="17" max="17" width="19.6328125" style="224" customWidth="1"/>
    <col min="18" max="18" width="18.08984375" style="203" customWidth="1"/>
    <col min="19" max="25" width="9" style="203" hidden="1" customWidth="1"/>
    <col min="26" max="26" width="5.90625" style="203" customWidth="1"/>
    <col min="27" max="27" width="62.6328125" style="203" customWidth="1"/>
    <col min="28" max="16384" width="9" style="203"/>
  </cols>
  <sheetData>
    <row r="1" spans="2:27" s="205" customFormat="1" ht="10.5" customHeight="1" thickBot="1">
      <c r="B1" s="311"/>
      <c r="C1" s="311"/>
      <c r="D1" s="311"/>
      <c r="E1" s="202"/>
      <c r="F1" s="203"/>
      <c r="G1" s="203"/>
      <c r="H1" s="203"/>
      <c r="I1" s="204"/>
      <c r="K1" s="203"/>
      <c r="L1" s="203"/>
      <c r="M1" s="203"/>
      <c r="N1" s="203"/>
      <c r="O1" s="311"/>
      <c r="P1" s="311"/>
      <c r="Q1" s="311"/>
    </row>
    <row r="2" spans="2:27" s="206" customFormat="1" ht="31.5" customHeight="1">
      <c r="B2" s="319" t="s">
        <v>15</v>
      </c>
      <c r="C2" s="320"/>
      <c r="D2" s="320"/>
      <c r="E2" s="320"/>
      <c r="F2" s="320"/>
      <c r="G2" s="320"/>
      <c r="H2" s="320"/>
      <c r="I2" s="320"/>
      <c r="J2" s="321"/>
      <c r="K2" s="312" t="s">
        <v>16</v>
      </c>
      <c r="L2" s="313"/>
      <c r="M2" s="325" t="s">
        <v>367</v>
      </c>
      <c r="N2" s="326"/>
      <c r="O2" s="327"/>
      <c r="P2" s="47" t="s">
        <v>17</v>
      </c>
      <c r="Q2" s="48" t="s">
        <v>404</v>
      </c>
    </row>
    <row r="3" spans="2:27" s="206" customFormat="1" ht="31.5" customHeight="1">
      <c r="B3" s="322"/>
      <c r="C3" s="323"/>
      <c r="D3" s="323"/>
      <c r="E3" s="323"/>
      <c r="F3" s="323"/>
      <c r="G3" s="323"/>
      <c r="H3" s="323"/>
      <c r="I3" s="323"/>
      <c r="J3" s="324"/>
      <c r="K3" s="314" t="s">
        <v>18</v>
      </c>
      <c r="L3" s="315"/>
      <c r="M3" s="328" t="s">
        <v>19</v>
      </c>
      <c r="N3" s="329"/>
      <c r="O3" s="330"/>
      <c r="P3" s="50" t="s">
        <v>20</v>
      </c>
      <c r="Q3" s="109" t="s">
        <v>409</v>
      </c>
      <c r="T3" s="207"/>
      <c r="U3" s="207"/>
      <c r="V3" s="207"/>
      <c r="W3" s="207"/>
      <c r="X3" s="207"/>
      <c r="Y3" s="207"/>
      <c r="Z3" s="207"/>
      <c r="AA3" s="208"/>
    </row>
    <row r="4" spans="2:27" s="206" customFormat="1" ht="32.25" customHeight="1">
      <c r="B4" s="316" t="s">
        <v>21</v>
      </c>
      <c r="C4" s="317"/>
      <c r="D4" s="317"/>
      <c r="E4" s="318" t="s">
        <v>395</v>
      </c>
      <c r="F4" s="318"/>
      <c r="G4" s="318"/>
      <c r="H4" s="318"/>
      <c r="I4" s="318"/>
      <c r="J4" s="318"/>
      <c r="K4" s="314" t="s">
        <v>22</v>
      </c>
      <c r="L4" s="315"/>
      <c r="M4" s="331" t="s">
        <v>197</v>
      </c>
      <c r="N4" s="332"/>
      <c r="O4" s="332"/>
      <c r="P4" s="332"/>
      <c r="Q4" s="333"/>
      <c r="T4" s="209"/>
      <c r="U4" s="207"/>
      <c r="V4" s="207"/>
      <c r="W4" s="207"/>
      <c r="X4" s="207"/>
      <c r="Y4" s="207"/>
      <c r="Z4" s="207"/>
      <c r="AA4" s="208"/>
    </row>
    <row r="5" spans="2:27" s="206" customFormat="1" ht="36.75" customHeight="1">
      <c r="B5" s="210" t="s">
        <v>23</v>
      </c>
      <c r="C5" s="335" t="s">
        <v>368</v>
      </c>
      <c r="D5" s="335"/>
      <c r="E5" s="336" t="s">
        <v>24</v>
      </c>
      <c r="F5" s="335"/>
      <c r="G5" s="335" t="s">
        <v>365</v>
      </c>
      <c r="H5" s="335"/>
      <c r="I5" s="211" t="s">
        <v>25</v>
      </c>
      <c r="J5" s="211" t="s">
        <v>366</v>
      </c>
      <c r="K5" s="212" t="s">
        <v>26</v>
      </c>
      <c r="L5" s="337" t="s">
        <v>27</v>
      </c>
      <c r="M5" s="337"/>
      <c r="N5" s="337"/>
      <c r="O5" s="338"/>
      <c r="P5" s="213" t="s">
        <v>28</v>
      </c>
      <c r="Q5" s="214" t="s">
        <v>398</v>
      </c>
      <c r="T5" s="54"/>
      <c r="U5" s="54"/>
      <c r="V5" s="54"/>
      <c r="W5" s="54"/>
      <c r="X5" s="54"/>
      <c r="Y5" s="54"/>
      <c r="Z5" s="54"/>
      <c r="AA5" s="56"/>
    </row>
    <row r="6" spans="2:27" s="215" customFormat="1" ht="27" customHeight="1">
      <c r="B6" s="302" t="s">
        <v>29</v>
      </c>
      <c r="C6" s="302" t="s">
        <v>30</v>
      </c>
      <c r="D6" s="302" t="s">
        <v>31</v>
      </c>
      <c r="E6" s="310" t="s">
        <v>32</v>
      </c>
      <c r="F6" s="310"/>
      <c r="G6" s="310"/>
      <c r="H6" s="310"/>
      <c r="I6" s="310" t="s">
        <v>33</v>
      </c>
      <c r="J6" s="339"/>
      <c r="K6" s="339"/>
      <c r="L6" s="339"/>
      <c r="M6" s="339"/>
      <c r="N6" s="339"/>
      <c r="O6" s="339"/>
      <c r="P6" s="294" t="s">
        <v>34</v>
      </c>
      <c r="Q6" s="295"/>
      <c r="T6" s="54"/>
      <c r="U6" s="54"/>
      <c r="V6" s="54"/>
      <c r="W6" s="54"/>
      <c r="X6" s="54"/>
      <c r="Y6" s="54"/>
      <c r="Z6" s="54"/>
      <c r="AA6" s="56"/>
    </row>
    <row r="7" spans="2:27" s="215" customFormat="1" ht="30" customHeight="1">
      <c r="B7" s="303"/>
      <c r="C7" s="303"/>
      <c r="D7" s="303"/>
      <c r="E7" s="302" t="s">
        <v>35</v>
      </c>
      <c r="F7" s="305" t="s">
        <v>36</v>
      </c>
      <c r="G7" s="305" t="s">
        <v>37</v>
      </c>
      <c r="H7" s="305" t="s">
        <v>38</v>
      </c>
      <c r="I7" s="305" t="s">
        <v>39</v>
      </c>
      <c r="J7" s="305" t="s">
        <v>40</v>
      </c>
      <c r="K7" s="308" t="s">
        <v>331</v>
      </c>
      <c r="L7" s="309"/>
      <c r="M7" s="308" t="s">
        <v>332</v>
      </c>
      <c r="N7" s="309"/>
      <c r="O7" s="310" t="s">
        <v>41</v>
      </c>
      <c r="P7" s="296"/>
      <c r="Q7" s="297"/>
      <c r="T7" s="54"/>
      <c r="U7" s="54"/>
      <c r="V7" s="54"/>
      <c r="W7" s="54"/>
      <c r="X7" s="54"/>
      <c r="Y7" s="54"/>
      <c r="Z7" s="54"/>
      <c r="AA7" s="56"/>
    </row>
    <row r="8" spans="2:27" s="215" customFormat="1" ht="35.25" customHeight="1">
      <c r="B8" s="303"/>
      <c r="C8" s="303"/>
      <c r="D8" s="303"/>
      <c r="E8" s="303"/>
      <c r="F8" s="306"/>
      <c r="G8" s="306"/>
      <c r="H8" s="306"/>
      <c r="I8" s="306"/>
      <c r="J8" s="306"/>
      <c r="K8" s="308" t="s">
        <v>333</v>
      </c>
      <c r="L8" s="309"/>
      <c r="M8" s="308" t="s">
        <v>333</v>
      </c>
      <c r="N8" s="309"/>
      <c r="O8" s="310"/>
      <c r="P8" s="296"/>
      <c r="Q8" s="297"/>
      <c r="T8" s="54"/>
      <c r="U8" s="54"/>
      <c r="V8" s="54"/>
      <c r="W8" s="54"/>
      <c r="X8" s="54"/>
      <c r="Y8" s="54"/>
      <c r="Z8" s="54"/>
      <c r="AA8" s="56"/>
    </row>
    <row r="9" spans="2:27" s="215" customFormat="1" ht="35.25" customHeight="1">
      <c r="B9" s="304"/>
      <c r="C9" s="304"/>
      <c r="D9" s="304"/>
      <c r="E9" s="304"/>
      <c r="F9" s="307"/>
      <c r="G9" s="307"/>
      <c r="H9" s="307"/>
      <c r="I9" s="307"/>
      <c r="J9" s="307"/>
      <c r="K9" s="181" t="s">
        <v>334</v>
      </c>
      <c r="L9" s="181" t="s">
        <v>335</v>
      </c>
      <c r="M9" s="181" t="s">
        <v>334</v>
      </c>
      <c r="N9" s="181" t="s">
        <v>336</v>
      </c>
      <c r="O9" s="310"/>
      <c r="P9" s="298"/>
      <c r="Q9" s="299"/>
      <c r="T9" s="54"/>
      <c r="U9" s="54"/>
      <c r="V9" s="54"/>
      <c r="W9" s="54"/>
      <c r="X9" s="54"/>
      <c r="Y9" s="54"/>
      <c r="Z9" s="54"/>
      <c r="AA9" s="56"/>
    </row>
    <row r="10" spans="2:27" s="57" customFormat="1" ht="63.65" customHeight="1">
      <c r="B10" s="58" t="s">
        <v>42</v>
      </c>
      <c r="C10" s="199" t="s">
        <v>43</v>
      </c>
      <c r="D10" s="197" t="s">
        <v>27</v>
      </c>
      <c r="E10" s="59" t="s">
        <v>27</v>
      </c>
      <c r="F10" s="59" t="s">
        <v>44</v>
      </c>
      <c r="G10" s="59" t="s">
        <v>27</v>
      </c>
      <c r="H10" s="59" t="s">
        <v>27</v>
      </c>
      <c r="I10" s="199" t="s">
        <v>45</v>
      </c>
      <c r="J10" s="62" t="s">
        <v>46</v>
      </c>
      <c r="K10" s="300" t="s">
        <v>47</v>
      </c>
      <c r="L10" s="59" t="s">
        <v>48</v>
      </c>
      <c r="M10" s="300" t="s">
        <v>337</v>
      </c>
      <c r="N10" s="59" t="s">
        <v>338</v>
      </c>
      <c r="O10" s="63" t="s">
        <v>49</v>
      </c>
      <c r="P10" s="343" t="s">
        <v>50</v>
      </c>
      <c r="Q10" s="343"/>
      <c r="T10" s="76"/>
      <c r="U10" s="76"/>
      <c r="V10" s="76"/>
      <c r="W10" s="76"/>
      <c r="X10" s="76"/>
      <c r="Y10" s="76"/>
      <c r="Z10" s="76"/>
      <c r="AA10" s="76"/>
    </row>
    <row r="11" spans="2:27" s="57" customFormat="1" ht="59.25" customHeight="1">
      <c r="B11" s="58" t="s">
        <v>51</v>
      </c>
      <c r="C11" s="199" t="s">
        <v>52</v>
      </c>
      <c r="D11" s="197" t="s">
        <v>27</v>
      </c>
      <c r="E11" s="59" t="s">
        <v>27</v>
      </c>
      <c r="F11" s="59" t="s">
        <v>53</v>
      </c>
      <c r="G11" s="59" t="s">
        <v>27</v>
      </c>
      <c r="H11" s="59" t="s">
        <v>27</v>
      </c>
      <c r="I11" s="199" t="s">
        <v>54</v>
      </c>
      <c r="J11" s="62" t="s">
        <v>55</v>
      </c>
      <c r="K11" s="301"/>
      <c r="L11" s="59" t="s">
        <v>48</v>
      </c>
      <c r="M11" s="301"/>
      <c r="N11" s="59" t="s">
        <v>338</v>
      </c>
      <c r="O11" s="63" t="s">
        <v>56</v>
      </c>
      <c r="P11" s="343" t="s">
        <v>57</v>
      </c>
      <c r="Q11" s="343"/>
      <c r="T11" s="76"/>
      <c r="U11" s="76"/>
      <c r="V11" s="76"/>
      <c r="W11" s="76"/>
      <c r="X11" s="76"/>
      <c r="Y11" s="76"/>
      <c r="Z11" s="76"/>
      <c r="AA11" s="76"/>
    </row>
    <row r="12" spans="2:27" s="57" customFormat="1" ht="64.5" customHeight="1">
      <c r="B12" s="352" t="s">
        <v>58</v>
      </c>
      <c r="C12" s="348" t="s">
        <v>59</v>
      </c>
      <c r="D12" s="340" t="s">
        <v>27</v>
      </c>
      <c r="E12" s="59" t="s">
        <v>27</v>
      </c>
      <c r="F12" s="59" t="s">
        <v>27</v>
      </c>
      <c r="G12" s="60" t="s">
        <v>60</v>
      </c>
      <c r="H12" s="201" t="s">
        <v>27</v>
      </c>
      <c r="I12" s="60" t="s">
        <v>61</v>
      </c>
      <c r="J12" s="60" t="s">
        <v>62</v>
      </c>
      <c r="K12" s="64" t="s">
        <v>63</v>
      </c>
      <c r="L12" s="65" t="s">
        <v>64</v>
      </c>
      <c r="M12" s="64" t="s">
        <v>339</v>
      </c>
      <c r="N12" s="64" t="s">
        <v>340</v>
      </c>
      <c r="O12" s="66" t="s">
        <v>341</v>
      </c>
      <c r="P12" s="334" t="s">
        <v>65</v>
      </c>
      <c r="Q12" s="334"/>
      <c r="T12" s="76"/>
      <c r="U12" s="76"/>
      <c r="V12" s="76"/>
      <c r="W12" s="76"/>
      <c r="X12" s="76"/>
      <c r="Y12" s="76"/>
      <c r="Z12" s="76"/>
      <c r="AA12" s="76"/>
    </row>
    <row r="13" spans="2:27" s="57" customFormat="1" ht="54.75" customHeight="1">
      <c r="B13" s="352"/>
      <c r="C13" s="348"/>
      <c r="D13" s="341"/>
      <c r="E13" s="59" t="s">
        <v>27</v>
      </c>
      <c r="F13" s="59" t="s">
        <v>27</v>
      </c>
      <c r="G13" s="60" t="s">
        <v>66</v>
      </c>
      <c r="H13" s="216" t="s">
        <v>330</v>
      </c>
      <c r="I13" s="60" t="s">
        <v>376</v>
      </c>
      <c r="J13" s="60" t="s">
        <v>184</v>
      </c>
      <c r="K13" s="64" t="s">
        <v>63</v>
      </c>
      <c r="L13" s="65" t="s">
        <v>64</v>
      </c>
      <c r="M13" s="64" t="s">
        <v>339</v>
      </c>
      <c r="N13" s="64" t="s">
        <v>342</v>
      </c>
      <c r="O13" s="66" t="s">
        <v>343</v>
      </c>
      <c r="P13" s="334" t="s">
        <v>65</v>
      </c>
      <c r="Q13" s="334"/>
      <c r="T13" s="76"/>
      <c r="U13" s="76"/>
      <c r="V13" s="76"/>
      <c r="W13" s="76"/>
      <c r="X13" s="76"/>
      <c r="Y13" s="76"/>
      <c r="Z13" s="76"/>
      <c r="AA13" s="76"/>
    </row>
    <row r="14" spans="2:27" s="57" customFormat="1" ht="65.5" customHeight="1">
      <c r="B14" s="352"/>
      <c r="C14" s="348"/>
      <c r="D14" s="342"/>
      <c r="E14" s="59" t="s">
        <v>27</v>
      </c>
      <c r="F14" s="59" t="s">
        <v>27</v>
      </c>
      <c r="G14" s="59" t="s">
        <v>67</v>
      </c>
      <c r="H14" s="201" t="s">
        <v>27</v>
      </c>
      <c r="I14" s="59" t="s">
        <v>393</v>
      </c>
      <c r="J14" s="62" t="s">
        <v>359</v>
      </c>
      <c r="K14" s="182" t="s">
        <v>342</v>
      </c>
      <c r="L14" s="182" t="s">
        <v>342</v>
      </c>
      <c r="M14" s="64" t="s">
        <v>63</v>
      </c>
      <c r="N14" s="65" t="s">
        <v>68</v>
      </c>
      <c r="O14" s="66" t="s">
        <v>69</v>
      </c>
      <c r="P14" s="334" t="s">
        <v>65</v>
      </c>
      <c r="Q14" s="334"/>
      <c r="T14" s="76"/>
      <c r="U14" s="76"/>
      <c r="V14" s="76"/>
      <c r="W14" s="76"/>
      <c r="X14" s="76"/>
      <c r="Y14" s="76"/>
      <c r="Z14" s="76"/>
      <c r="AA14" s="76"/>
    </row>
    <row r="15" spans="2:27" s="57" customFormat="1" ht="65.25" customHeight="1">
      <c r="B15" s="348" t="s">
        <v>70</v>
      </c>
      <c r="C15" s="348" t="s">
        <v>19</v>
      </c>
      <c r="D15" s="347" t="s">
        <v>71</v>
      </c>
      <c r="E15" s="199" t="s">
        <v>27</v>
      </c>
      <c r="F15" s="199" t="s">
        <v>27</v>
      </c>
      <c r="G15" s="199" t="s">
        <v>72</v>
      </c>
      <c r="H15" s="199" t="s">
        <v>27</v>
      </c>
      <c r="I15" s="199" t="s">
        <v>54</v>
      </c>
      <c r="J15" s="199" t="s">
        <v>73</v>
      </c>
      <c r="K15" s="67" t="s">
        <v>63</v>
      </c>
      <c r="L15" s="199" t="s">
        <v>74</v>
      </c>
      <c r="M15" s="67" t="s">
        <v>63</v>
      </c>
      <c r="N15" s="199" t="s">
        <v>74</v>
      </c>
      <c r="O15" s="68" t="s">
        <v>75</v>
      </c>
      <c r="P15" s="344" t="s">
        <v>76</v>
      </c>
      <c r="Q15" s="344"/>
      <c r="R15" s="69"/>
      <c r="S15" s="75"/>
      <c r="T15" s="75"/>
      <c r="U15" s="75"/>
      <c r="V15" s="76"/>
      <c r="W15" s="76"/>
      <c r="X15" s="76"/>
      <c r="Y15" s="76"/>
      <c r="Z15" s="76"/>
      <c r="AA15" s="76"/>
    </row>
    <row r="16" spans="2:27" s="57" customFormat="1" ht="68.25" customHeight="1">
      <c r="B16" s="348"/>
      <c r="C16" s="348"/>
      <c r="D16" s="347"/>
      <c r="E16" s="199" t="s">
        <v>27</v>
      </c>
      <c r="F16" s="199" t="s">
        <v>27</v>
      </c>
      <c r="G16" s="199" t="s">
        <v>77</v>
      </c>
      <c r="H16" s="199" t="s">
        <v>27</v>
      </c>
      <c r="I16" s="199" t="s">
        <v>54</v>
      </c>
      <c r="J16" s="59" t="s">
        <v>78</v>
      </c>
      <c r="K16" s="70" t="s">
        <v>63</v>
      </c>
      <c r="L16" s="70" t="s">
        <v>74</v>
      </c>
      <c r="M16" s="70" t="s">
        <v>63</v>
      </c>
      <c r="N16" s="70" t="s">
        <v>74</v>
      </c>
      <c r="O16" s="238" t="s">
        <v>391</v>
      </c>
      <c r="P16" s="344" t="s">
        <v>79</v>
      </c>
      <c r="Q16" s="344"/>
      <c r="R16" s="69"/>
      <c r="S16" s="75"/>
      <c r="T16" s="75"/>
      <c r="U16" s="75"/>
      <c r="V16" s="76"/>
      <c r="W16" s="76"/>
      <c r="X16" s="76"/>
      <c r="Y16" s="76"/>
      <c r="Z16" s="76"/>
      <c r="AA16" s="76"/>
    </row>
    <row r="17" spans="2:27" s="57" customFormat="1" ht="53.25" customHeight="1">
      <c r="B17" s="348"/>
      <c r="C17" s="348"/>
      <c r="D17" s="347"/>
      <c r="E17" s="199" t="s">
        <v>27</v>
      </c>
      <c r="F17" s="199" t="s">
        <v>27</v>
      </c>
      <c r="G17" s="199" t="s">
        <v>80</v>
      </c>
      <c r="H17" s="199" t="s">
        <v>27</v>
      </c>
      <c r="I17" s="199" t="s">
        <v>54</v>
      </c>
      <c r="J17" s="72" t="s">
        <v>81</v>
      </c>
      <c r="K17" s="70" t="s">
        <v>63</v>
      </c>
      <c r="L17" s="70" t="s">
        <v>74</v>
      </c>
      <c r="M17" s="70" t="s">
        <v>63</v>
      </c>
      <c r="N17" s="70" t="s">
        <v>74</v>
      </c>
      <c r="O17" s="71" t="s">
        <v>360</v>
      </c>
      <c r="P17" s="344" t="s">
        <v>82</v>
      </c>
      <c r="Q17" s="344"/>
      <c r="R17" s="69"/>
      <c r="S17" s="75"/>
      <c r="T17" s="75"/>
      <c r="U17" s="75"/>
      <c r="V17" s="76"/>
      <c r="W17" s="76"/>
      <c r="X17" s="76"/>
      <c r="Y17" s="76"/>
      <c r="Z17" s="76"/>
      <c r="AA17" s="76"/>
    </row>
    <row r="18" spans="2:27" s="57" customFormat="1" ht="85.5" customHeight="1">
      <c r="B18" s="348"/>
      <c r="C18" s="348"/>
      <c r="D18" s="347"/>
      <c r="E18" s="199" t="s">
        <v>27</v>
      </c>
      <c r="F18" s="199" t="s">
        <v>27</v>
      </c>
      <c r="G18" s="199" t="s">
        <v>83</v>
      </c>
      <c r="H18" s="199" t="s">
        <v>27</v>
      </c>
      <c r="I18" s="199" t="s">
        <v>54</v>
      </c>
      <c r="J18" s="72" t="s">
        <v>84</v>
      </c>
      <c r="K18" s="70" t="s">
        <v>63</v>
      </c>
      <c r="L18" s="70" t="s">
        <v>74</v>
      </c>
      <c r="M18" s="70" t="s">
        <v>63</v>
      </c>
      <c r="N18" s="70" t="s">
        <v>74</v>
      </c>
      <c r="O18" s="71" t="s">
        <v>344</v>
      </c>
      <c r="P18" s="344" t="s">
        <v>85</v>
      </c>
      <c r="Q18" s="344"/>
      <c r="R18" s="69"/>
      <c r="S18" s="75"/>
      <c r="T18" s="75"/>
      <c r="U18" s="75"/>
      <c r="V18" s="76"/>
      <c r="W18" s="76"/>
      <c r="X18" s="76"/>
      <c r="Y18" s="76"/>
      <c r="Z18" s="76"/>
      <c r="AA18" s="76"/>
    </row>
    <row r="19" spans="2:27" s="57" customFormat="1" ht="109" customHeight="1">
      <c r="B19" s="348"/>
      <c r="C19" s="348"/>
      <c r="D19" s="347"/>
      <c r="E19" s="199" t="s">
        <v>27</v>
      </c>
      <c r="F19" s="199" t="s">
        <v>27</v>
      </c>
      <c r="G19" s="199" t="s">
        <v>86</v>
      </c>
      <c r="H19" s="199" t="s">
        <v>27</v>
      </c>
      <c r="I19" s="199" t="s">
        <v>54</v>
      </c>
      <c r="J19" s="72" t="s">
        <v>87</v>
      </c>
      <c r="K19" s="70" t="s">
        <v>63</v>
      </c>
      <c r="L19" s="70" t="s">
        <v>74</v>
      </c>
      <c r="M19" s="70" t="s">
        <v>63</v>
      </c>
      <c r="N19" s="70" t="s">
        <v>74</v>
      </c>
      <c r="O19" s="71" t="s">
        <v>373</v>
      </c>
      <c r="P19" s="344" t="s">
        <v>88</v>
      </c>
      <c r="Q19" s="344"/>
      <c r="R19" s="69"/>
      <c r="S19" s="75"/>
      <c r="T19" s="75"/>
      <c r="U19" s="75"/>
      <c r="V19" s="76"/>
      <c r="W19" s="76"/>
      <c r="X19" s="76"/>
      <c r="Y19" s="76"/>
      <c r="Z19" s="76"/>
      <c r="AA19" s="76"/>
    </row>
    <row r="20" spans="2:27" s="57" customFormat="1" ht="52">
      <c r="B20" s="349" t="s">
        <v>90</v>
      </c>
      <c r="C20" s="349" t="s">
        <v>91</v>
      </c>
      <c r="D20" s="348" t="s">
        <v>92</v>
      </c>
      <c r="E20" s="199" t="s">
        <v>27</v>
      </c>
      <c r="F20" s="199" t="s">
        <v>27</v>
      </c>
      <c r="G20" s="199" t="s">
        <v>93</v>
      </c>
      <c r="H20" s="199" t="s">
        <v>27</v>
      </c>
      <c r="I20" s="198" t="s">
        <v>94</v>
      </c>
      <c r="J20" s="72" t="s">
        <v>81</v>
      </c>
      <c r="K20" s="74" t="s">
        <v>63</v>
      </c>
      <c r="L20" s="64" t="s">
        <v>89</v>
      </c>
      <c r="M20" s="74" t="s">
        <v>340</v>
      </c>
      <c r="N20" s="64" t="s">
        <v>340</v>
      </c>
      <c r="O20" s="71" t="s">
        <v>361</v>
      </c>
      <c r="P20" s="344" t="s">
        <v>95</v>
      </c>
      <c r="Q20" s="344"/>
      <c r="R20" s="75"/>
      <c r="S20" s="75"/>
      <c r="T20" s="75"/>
      <c r="U20" s="75"/>
      <c r="V20" s="76"/>
      <c r="W20" s="76"/>
      <c r="X20" s="76"/>
      <c r="Y20" s="76"/>
      <c r="Z20" s="76"/>
      <c r="AA20" s="76"/>
    </row>
    <row r="21" spans="2:27" s="57" customFormat="1" ht="39">
      <c r="B21" s="350"/>
      <c r="C21" s="350"/>
      <c r="D21" s="348"/>
      <c r="E21" s="199" t="s">
        <v>27</v>
      </c>
      <c r="F21" s="199" t="s">
        <v>27</v>
      </c>
      <c r="G21" s="199" t="s">
        <v>96</v>
      </c>
      <c r="H21" s="199" t="s">
        <v>27</v>
      </c>
      <c r="I21" s="199" t="s">
        <v>97</v>
      </c>
      <c r="J21" s="73" t="s">
        <v>73</v>
      </c>
      <c r="K21" s="64" t="s">
        <v>63</v>
      </c>
      <c r="L21" s="64" t="s">
        <v>89</v>
      </c>
      <c r="M21" s="64" t="s">
        <v>63</v>
      </c>
      <c r="N21" s="64" t="s">
        <v>345</v>
      </c>
      <c r="O21" s="239" t="s">
        <v>392</v>
      </c>
      <c r="P21" s="344" t="s">
        <v>98</v>
      </c>
      <c r="Q21" s="344"/>
      <c r="R21" s="75"/>
      <c r="S21" s="75"/>
      <c r="T21" s="75"/>
      <c r="U21" s="75"/>
      <c r="V21" s="69"/>
    </row>
    <row r="22" spans="2:27" s="57" customFormat="1" ht="26">
      <c r="B22" s="350"/>
      <c r="C22" s="350"/>
      <c r="D22" s="348"/>
      <c r="E22" s="199" t="s">
        <v>27</v>
      </c>
      <c r="F22" s="199" t="s">
        <v>99</v>
      </c>
      <c r="G22" s="199" t="s">
        <v>27</v>
      </c>
      <c r="H22" s="199" t="s">
        <v>27</v>
      </c>
      <c r="I22" s="240" t="s">
        <v>413</v>
      </c>
      <c r="J22" s="73" t="s">
        <v>100</v>
      </c>
      <c r="K22" s="67" t="s">
        <v>63</v>
      </c>
      <c r="L22" s="64" t="s">
        <v>89</v>
      </c>
      <c r="M22" s="67" t="s">
        <v>63</v>
      </c>
      <c r="N22" s="64" t="s">
        <v>89</v>
      </c>
      <c r="O22" s="68" t="s">
        <v>101</v>
      </c>
      <c r="P22" s="344" t="s">
        <v>98</v>
      </c>
      <c r="Q22" s="344"/>
      <c r="R22" s="75"/>
      <c r="S22" s="75"/>
      <c r="T22" s="75"/>
      <c r="U22" s="75"/>
      <c r="V22" s="69"/>
    </row>
    <row r="23" spans="2:27" s="57" customFormat="1" ht="53.15" customHeight="1">
      <c r="B23" s="350"/>
      <c r="C23" s="350"/>
      <c r="D23" s="348"/>
      <c r="E23" s="179">
        <v>1</v>
      </c>
      <c r="F23" s="199" t="s">
        <v>102</v>
      </c>
      <c r="G23" s="199" t="s">
        <v>27</v>
      </c>
      <c r="H23" s="199" t="s">
        <v>103</v>
      </c>
      <c r="I23" s="199" t="s">
        <v>104</v>
      </c>
      <c r="J23" s="199" t="s">
        <v>105</v>
      </c>
      <c r="K23" s="64" t="s">
        <v>63</v>
      </c>
      <c r="L23" s="64" t="s">
        <v>89</v>
      </c>
      <c r="M23" s="64" t="s">
        <v>63</v>
      </c>
      <c r="N23" s="64" t="s">
        <v>89</v>
      </c>
      <c r="O23" s="68" t="s">
        <v>106</v>
      </c>
      <c r="P23" s="344" t="s">
        <v>98</v>
      </c>
      <c r="Q23" s="344"/>
      <c r="R23" s="75"/>
      <c r="S23" s="75"/>
      <c r="T23" s="75"/>
      <c r="U23" s="75"/>
      <c r="V23" s="69"/>
    </row>
    <row r="24" spans="2:27" s="57" customFormat="1" ht="38.5" customHeight="1">
      <c r="B24" s="351"/>
      <c r="C24" s="351"/>
      <c r="D24" s="348"/>
      <c r="E24" s="199" t="s">
        <v>27</v>
      </c>
      <c r="F24" s="199" t="s">
        <v>107</v>
      </c>
      <c r="G24" s="199" t="s">
        <v>27</v>
      </c>
      <c r="H24" s="199" t="s">
        <v>27</v>
      </c>
      <c r="I24" s="240" t="s">
        <v>410</v>
      </c>
      <c r="J24" s="199" t="s">
        <v>108</v>
      </c>
      <c r="K24" s="199" t="s">
        <v>63</v>
      </c>
      <c r="L24" s="199" t="s">
        <v>89</v>
      </c>
      <c r="M24" s="199" t="s">
        <v>63</v>
      </c>
      <c r="N24" s="199" t="s">
        <v>89</v>
      </c>
      <c r="O24" s="68" t="s">
        <v>109</v>
      </c>
      <c r="P24" s="344" t="s">
        <v>98</v>
      </c>
      <c r="Q24" s="344"/>
      <c r="R24" s="75"/>
      <c r="S24" s="75"/>
      <c r="T24" s="75"/>
      <c r="U24" s="75"/>
      <c r="V24" s="69"/>
    </row>
    <row r="25" spans="2:27" s="57" customFormat="1" ht="31" customHeight="1">
      <c r="B25" s="349" t="s">
        <v>110</v>
      </c>
      <c r="C25" s="349" t="s">
        <v>111</v>
      </c>
      <c r="D25" s="349" t="s">
        <v>112</v>
      </c>
      <c r="E25" s="199" t="s">
        <v>27</v>
      </c>
      <c r="F25" s="199" t="s">
        <v>27</v>
      </c>
      <c r="G25" s="199" t="s">
        <v>113</v>
      </c>
      <c r="H25" s="199" t="s">
        <v>27</v>
      </c>
      <c r="I25" s="200" t="s">
        <v>374</v>
      </c>
      <c r="J25" s="199" t="s">
        <v>55</v>
      </c>
      <c r="K25" s="64" t="s">
        <v>114</v>
      </c>
      <c r="L25" s="64" t="s">
        <v>115</v>
      </c>
      <c r="M25" s="64" t="s">
        <v>342</v>
      </c>
      <c r="N25" s="64" t="s">
        <v>342</v>
      </c>
      <c r="O25" s="195" t="s">
        <v>116</v>
      </c>
      <c r="P25" s="344" t="s">
        <v>117</v>
      </c>
      <c r="Q25" s="344"/>
      <c r="R25" s="75"/>
      <c r="S25" s="75"/>
      <c r="T25" s="75"/>
      <c r="U25" s="75"/>
      <c r="V25" s="69"/>
    </row>
    <row r="26" spans="2:27" s="57" customFormat="1" ht="26">
      <c r="B26" s="350"/>
      <c r="C26" s="350"/>
      <c r="D26" s="350"/>
      <c r="E26" s="199" t="s">
        <v>27</v>
      </c>
      <c r="F26" s="61" t="s">
        <v>27</v>
      </c>
      <c r="G26" s="61" t="s">
        <v>118</v>
      </c>
      <c r="H26" s="61" t="s">
        <v>27</v>
      </c>
      <c r="I26" s="61" t="s">
        <v>119</v>
      </c>
      <c r="J26" s="61" t="s">
        <v>120</v>
      </c>
      <c r="K26" s="217" t="s">
        <v>346</v>
      </c>
      <c r="L26" s="225" t="s">
        <v>415</v>
      </c>
      <c r="M26" s="217" t="s">
        <v>346</v>
      </c>
      <c r="N26" s="218" t="s">
        <v>416</v>
      </c>
      <c r="O26" s="219" t="s">
        <v>377</v>
      </c>
      <c r="P26" s="345" t="s">
        <v>121</v>
      </c>
      <c r="Q26" s="346"/>
      <c r="R26" s="75"/>
      <c r="S26" s="75"/>
      <c r="T26" s="75"/>
      <c r="U26" s="75"/>
      <c r="V26" s="69"/>
    </row>
    <row r="27" spans="2:27" s="57" customFormat="1" ht="37.5" customHeight="1">
      <c r="B27" s="350"/>
      <c r="C27" s="350"/>
      <c r="D27" s="351"/>
      <c r="E27" s="199" t="s">
        <v>27</v>
      </c>
      <c r="F27" s="61" t="s">
        <v>27</v>
      </c>
      <c r="G27" s="61" t="s">
        <v>122</v>
      </c>
      <c r="H27" s="61" t="s">
        <v>27</v>
      </c>
      <c r="I27" s="194" t="s">
        <v>371</v>
      </c>
      <c r="J27" s="61" t="s">
        <v>120</v>
      </c>
      <c r="K27" s="220" t="s">
        <v>123</v>
      </c>
      <c r="L27" s="218" t="s">
        <v>347</v>
      </c>
      <c r="M27" s="64" t="s">
        <v>340</v>
      </c>
      <c r="N27" s="64" t="s">
        <v>340</v>
      </c>
      <c r="O27" s="219" t="s">
        <v>124</v>
      </c>
      <c r="P27" s="345" t="s">
        <v>125</v>
      </c>
      <c r="Q27" s="346"/>
      <c r="R27" s="75"/>
      <c r="S27" s="75"/>
      <c r="T27" s="75"/>
      <c r="U27" s="75"/>
      <c r="V27" s="69"/>
    </row>
    <row r="28" spans="2:27" s="57" customFormat="1" ht="48" customHeight="1">
      <c r="B28" s="350"/>
      <c r="C28" s="350"/>
      <c r="D28" s="340" t="s">
        <v>126</v>
      </c>
      <c r="E28" s="199" t="s">
        <v>27</v>
      </c>
      <c r="F28" s="59" t="s">
        <v>27</v>
      </c>
      <c r="G28" s="59" t="s">
        <v>127</v>
      </c>
      <c r="H28" s="59" t="s">
        <v>27</v>
      </c>
      <c r="I28" s="59" t="s">
        <v>128</v>
      </c>
      <c r="J28" s="59" t="s">
        <v>129</v>
      </c>
      <c r="K28" s="70" t="s">
        <v>63</v>
      </c>
      <c r="L28" s="218" t="s">
        <v>353</v>
      </c>
      <c r="M28" s="70" t="s">
        <v>63</v>
      </c>
      <c r="N28" s="218" t="s">
        <v>352</v>
      </c>
      <c r="O28" s="195" t="s">
        <v>130</v>
      </c>
      <c r="P28" s="343" t="s">
        <v>131</v>
      </c>
      <c r="Q28" s="343"/>
      <c r="R28" s="75"/>
      <c r="S28" s="75"/>
      <c r="T28" s="75"/>
      <c r="U28" s="75"/>
      <c r="V28" s="69"/>
    </row>
    <row r="29" spans="2:27" s="57" customFormat="1" ht="54.65" customHeight="1">
      <c r="B29" s="351"/>
      <c r="C29" s="351"/>
      <c r="D29" s="342"/>
      <c r="E29" s="179">
        <v>2</v>
      </c>
      <c r="F29" s="201" t="s">
        <v>27</v>
      </c>
      <c r="G29" s="201" t="s">
        <v>132</v>
      </c>
      <c r="H29" s="201" t="s">
        <v>103</v>
      </c>
      <c r="I29" s="201" t="s">
        <v>133</v>
      </c>
      <c r="J29" s="201" t="s">
        <v>185</v>
      </c>
      <c r="K29" s="199" t="s">
        <v>63</v>
      </c>
      <c r="L29" s="199" t="s">
        <v>134</v>
      </c>
      <c r="M29" s="199" t="s">
        <v>63</v>
      </c>
      <c r="N29" s="199" t="s">
        <v>134</v>
      </c>
      <c r="O29" s="193" t="s">
        <v>375</v>
      </c>
      <c r="P29" s="344" t="s">
        <v>372</v>
      </c>
      <c r="Q29" s="344"/>
      <c r="R29" s="75"/>
      <c r="S29" s="75"/>
      <c r="T29" s="75"/>
      <c r="U29" s="75"/>
      <c r="V29" s="69"/>
    </row>
    <row r="30" spans="2:27" ht="96.75" customHeight="1">
      <c r="B30" s="196" t="s">
        <v>135</v>
      </c>
      <c r="C30" s="355" t="s">
        <v>136</v>
      </c>
      <c r="D30" s="355"/>
      <c r="E30" s="355"/>
      <c r="F30" s="355"/>
      <c r="G30" s="355"/>
      <c r="H30" s="355"/>
      <c r="I30" s="355"/>
      <c r="J30" s="355"/>
      <c r="K30" s="355"/>
      <c r="L30" s="355"/>
      <c r="M30" s="355"/>
      <c r="N30" s="355"/>
      <c r="O30" s="355"/>
      <c r="P30" s="355"/>
      <c r="Q30" s="355"/>
    </row>
    <row r="31" spans="2:27" ht="34.5" customHeight="1">
      <c r="B31" s="356" t="s">
        <v>137</v>
      </c>
      <c r="C31" s="357"/>
      <c r="D31" s="357"/>
      <c r="E31" s="356" t="s">
        <v>328</v>
      </c>
      <c r="F31" s="356"/>
      <c r="G31" s="358" t="s">
        <v>138</v>
      </c>
      <c r="H31" s="359"/>
      <c r="I31" s="358" t="s">
        <v>139</v>
      </c>
      <c r="J31" s="365"/>
      <c r="K31" s="359"/>
      <c r="L31" s="356" t="s">
        <v>140</v>
      </c>
      <c r="M31" s="356"/>
      <c r="N31" s="356"/>
      <c r="O31" s="360"/>
      <c r="P31" s="356" t="s">
        <v>349</v>
      </c>
      <c r="Q31" s="360"/>
    </row>
    <row r="32" spans="2:27" ht="29.5" customHeight="1" thickBot="1">
      <c r="B32" s="361" t="s">
        <v>364</v>
      </c>
      <c r="C32" s="362"/>
      <c r="D32" s="362"/>
      <c r="E32" s="353" t="s">
        <v>358</v>
      </c>
      <c r="F32" s="354"/>
      <c r="G32" s="363" t="s">
        <v>357</v>
      </c>
      <c r="H32" s="364"/>
      <c r="I32" s="366" t="s">
        <v>417</v>
      </c>
      <c r="J32" s="367"/>
      <c r="K32" s="368"/>
      <c r="L32" s="353" t="s">
        <v>183</v>
      </c>
      <c r="M32" s="363"/>
      <c r="N32" s="363"/>
      <c r="O32" s="354"/>
      <c r="P32" s="353" t="s">
        <v>358</v>
      </c>
      <c r="Q32" s="354"/>
    </row>
    <row r="33" spans="2:17" ht="31.5" customHeight="1">
      <c r="B33" s="221"/>
      <c r="C33" s="221"/>
      <c r="D33" s="222"/>
      <c r="E33" s="222"/>
      <c r="F33" s="222"/>
      <c r="G33" s="222"/>
      <c r="H33" s="222"/>
      <c r="I33" s="222"/>
      <c r="J33" s="222"/>
      <c r="K33" s="222"/>
      <c r="L33" s="222"/>
      <c r="M33" s="222"/>
      <c r="N33" s="222"/>
      <c r="O33" s="222"/>
      <c r="P33" s="223"/>
      <c r="Q33" s="223"/>
    </row>
  </sheetData>
  <sheetProtection formatCells="0" formatRows="0" insertColumns="0" insertRows="0" insertHyperlinks="0" deleteColumns="0" deleteRows="0" sort="0" autoFilter="0" pivotTables="0"/>
  <protectedRanges>
    <protectedRange sqref="Q1" name="区域1_1"/>
    <protectedRange sqref="D20:D24" name="区域1_1_2_1"/>
    <protectedRange sqref="H15:H19 E15:F19" name="区域1_1_2_3_1"/>
    <protectedRange sqref="H20:H21 E20:F21" name="区域1_1_3_3_1"/>
    <protectedRange sqref="S21:T28 S15:T19" name="区域1_1_2_4_1"/>
    <protectedRange sqref="U15:U19" name="区域1_1_2_1_1_12_1"/>
    <protectedRange sqref="U20" name="区域1_1_2_1_1_5_1_1"/>
    <protectedRange sqref="U21" name="区域1_1_2_6_1"/>
    <protectedRange sqref="U23:U28" name="区域1_1_1_1_2_1_1"/>
    <protectedRange sqref="U22" name="区域1_1_2_1_1_11_1_1"/>
    <protectedRange sqref="G15 J15" name="区域1_1_2_7_4_4"/>
    <protectedRange sqref="G20:G21" name="区域1_1_4_2_3_2"/>
    <protectedRange sqref="J24 E22:H24" name="区域1_1_4_3_3_3"/>
    <protectedRange sqref="E25:H25 E26:E27" name="区域1_1_2_3_1_3_2"/>
    <protectedRange sqref="D25:D27" name="区域1_1_2_3_2_1_1"/>
    <protectedRange sqref="B21:C29" name="区域1_1_4_4_1_3"/>
    <protectedRange sqref="S29:T29" name="区域1_1_1_2_1_2_1"/>
    <protectedRange sqref="D28 D12:D14 E29:F29" name="区域1_1_5_1_2"/>
    <protectedRange sqref="G29:I29 H12:H14" name="区域1_1_4_5_1_1"/>
    <protectedRange sqref="S20:T20" name="区域1_1_1_4_1_3_1"/>
    <protectedRange sqref="R29 P29" name="区域1_1_1_2_1_2_1_1_2"/>
    <protectedRange sqref="P15:P20" name="区域1_1_2_4_1_1_2_1_1"/>
    <protectedRange sqref="R20" name="区域1_1_2_4_1_1_7_1_2"/>
    <protectedRange sqref="R21" name="区域1_1_2_4_3_1_4_1_2"/>
    <protectedRange sqref="R22" name="区域1_1_2_4_3_1_5_1_2"/>
    <protectedRange sqref="R23" name="区域1_1_2_4_3_1_6_1_2"/>
    <protectedRange sqref="R24:R28" name="区域1_1_2_4_3_1_7_1_1"/>
    <protectedRange sqref="Q15:Q20" name="区域1_1_1_2_5_2_8"/>
    <protectedRange sqref="D15:D19" name="区域1_1_4_1_1"/>
    <protectedRange sqref="Q29" name="区域1_1_10_1_2"/>
    <protectedRange sqref="I24" name="区域1_1_25_1_1"/>
    <protectedRange sqref="C12:C14" name="区域1_1_4_4_1_1_1"/>
    <protectedRange sqref="G12:G13" name="区域1_1_8_2_1"/>
    <protectedRange sqref="I12:I13" name="区域1_1_3_1_1_3_4_1_1"/>
    <protectedRange sqref="J12:J13" name="区域1_1_8_4_1_1"/>
    <protectedRange sqref="I10:I11 I15:I19" name="区域1_1_2_7_4_1_1"/>
    <protectedRange sqref="D10:D11" name="区域1_1_5_1_1_1"/>
    <protectedRange sqref="C10:C11" name="区域1_1_4_4_1_1_2_1"/>
    <protectedRange sqref="G16:G19" name="区域1_1_2_7_4_3_1"/>
    <protectedRange sqref="I21" name="区域1_1_4_2_3_1_1"/>
    <protectedRange sqref="Q25 I25:J25" name="区域1_1_2_3_1_3_1_1"/>
    <protectedRange sqref="P25" name="区域1_1_1_5_1_1_1_1_1"/>
    <protectedRange sqref="P21" name="区域1_1_2_4_3_1_4_1_1_1"/>
    <protectedRange sqref="Q21" name="区域1_1_1_2_5_2_3_1"/>
    <protectedRange sqref="I20" name="区域1_1_19_1_1_1"/>
    <protectedRange sqref="I23:J23" name="区域1_1_4_3_3_1_1"/>
    <protectedRange sqref="P22" name="区域1_1_2_4_3_1_5_1_1_1"/>
    <protectedRange sqref="P23:P24" name="区域1_1_2_4_3_1_6_1_1_1"/>
    <protectedRange sqref="Q22:Q24" name="区域1_1_1_2_5_2_4_1"/>
    <protectedRange sqref="I22" name="区域1_1_27_1_1"/>
    <protectedRange sqref="E28" name="区域1_1_4_3_3_4_1"/>
    <protectedRange sqref="P12:P14" name="区域1_1_1_2_1_2_1_1_1_1"/>
    <protectedRange sqref="Q12:Q14" name="区域1_1_10_1_1_2_1"/>
    <protectedRange sqref="J22" name="区域1_1_4_11_2_1_1"/>
    <protectedRange sqref="J29" name="区域1_1_11_1_1_1"/>
    <protectedRange sqref="N15" name="区域1_1_2_7_4_4_1"/>
    <protectedRange sqref="M24:N24" name="区域1_1_4_3_3_3_1"/>
    <protectedRange sqref="O29" name="区域1_1_10_1_2_1"/>
    <protectedRange sqref="N29" name="区域1_1_12_1_1_1"/>
    <protectedRange sqref="N20 M21:N21" name="区域1_1_4_2_3_1_1_1"/>
    <protectedRange sqref="N25 N27" name="区域1_1_2_3_1_3_1_1_1"/>
    <protectedRange sqref="M25 M27" name="区域1_1_18_1_1_1_2"/>
    <protectedRange sqref="N22 M23:N23" name="区域1_1_4_3_3_1_1_1"/>
    <protectedRange sqref="O12:O14" name="区域1_1_10_1_1_1_1"/>
    <protectedRange sqref="M22" name="区域1_1_4_3_3_2_1_1"/>
    <protectedRange sqref="O15" name="区域1_1_1_2_5_2_1_1_1"/>
    <protectedRange sqref="M15" name="区域1_1_2_7_4_2_1_1"/>
    <protectedRange sqref="O21" name="区域1_1_1_2_5_2_6_1_1"/>
    <protectedRange sqref="O22:O24" name="区域1_1_1_2_5_2_7_1_1"/>
    <protectedRange sqref="M26" name="区域1_1_18_1_1_1_1_1"/>
    <protectedRange sqref="L15" name="区域1_1_2_7_4_4_1_1"/>
    <protectedRange sqref="K24:L24" name="区域1_1_4_3_3_3_1_1"/>
    <protectedRange sqref="L29" name="区域1_1_12_1_1_1_1"/>
    <protectedRange sqref="K14:L14 K12:K13" name="区域1_1_4_3_1_1_1_1_1"/>
    <protectedRange sqref="K21:L21 L20" name="区域1_1_4_2_3_1_1_1_1"/>
    <protectedRange sqref="L25" name="区域1_1_2_3_1_3_1_1_1_1"/>
    <protectedRange sqref="K25" name="区域1_1_18_1_1_1_2_1"/>
    <protectedRange sqref="K23:L23 L22" name="区域1_1_4_3_3_1_1_1_1"/>
    <protectedRange sqref="K22" name="区域1_1_4_3_3_2_1_1_1"/>
    <protectedRange sqref="K15" name="区域1_1_2_7_4_2_1_1_1"/>
    <protectedRange sqref="K26" name="区域1_1_18_1_1_1_1_1_1"/>
  </protectedRanges>
  <mergeCells count="80">
    <mergeCell ref="P32:Q32"/>
    <mergeCell ref="P28:Q28"/>
    <mergeCell ref="P29:Q29"/>
    <mergeCell ref="C30:Q30"/>
    <mergeCell ref="B31:D31"/>
    <mergeCell ref="E31:F31"/>
    <mergeCell ref="G31:H31"/>
    <mergeCell ref="P31:Q31"/>
    <mergeCell ref="D28:D29"/>
    <mergeCell ref="B32:D32"/>
    <mergeCell ref="E32:F32"/>
    <mergeCell ref="G32:H32"/>
    <mergeCell ref="L31:O31"/>
    <mergeCell ref="L32:O32"/>
    <mergeCell ref="I31:K31"/>
    <mergeCell ref="I32:K32"/>
    <mergeCell ref="B12:B14"/>
    <mergeCell ref="B15:B19"/>
    <mergeCell ref="B20:B24"/>
    <mergeCell ref="B25:B29"/>
    <mergeCell ref="B6:B9"/>
    <mergeCell ref="D15:D19"/>
    <mergeCell ref="D20:D24"/>
    <mergeCell ref="D25:D27"/>
    <mergeCell ref="D6:D9"/>
    <mergeCell ref="C12:C14"/>
    <mergeCell ref="C15:C19"/>
    <mergeCell ref="C20:C24"/>
    <mergeCell ref="C25:C29"/>
    <mergeCell ref="C6:C9"/>
    <mergeCell ref="P25:Q25"/>
    <mergeCell ref="P26:Q26"/>
    <mergeCell ref="P27:Q27"/>
    <mergeCell ref="P19:Q19"/>
    <mergeCell ref="P20:Q20"/>
    <mergeCell ref="P21:Q21"/>
    <mergeCell ref="P22:Q22"/>
    <mergeCell ref="P23:Q23"/>
    <mergeCell ref="P24:Q24"/>
    <mergeCell ref="P14:Q14"/>
    <mergeCell ref="P15:Q15"/>
    <mergeCell ref="P16:Q16"/>
    <mergeCell ref="P17:Q17"/>
    <mergeCell ref="P18:Q18"/>
    <mergeCell ref="P12:Q12"/>
    <mergeCell ref="P13:Q13"/>
    <mergeCell ref="C5:D5"/>
    <mergeCell ref="E5:F5"/>
    <mergeCell ref="G5:H5"/>
    <mergeCell ref="L5:O5"/>
    <mergeCell ref="E6:H6"/>
    <mergeCell ref="I6:O6"/>
    <mergeCell ref="K10:K11"/>
    <mergeCell ref="D12:D14"/>
    <mergeCell ref="P10:Q10"/>
    <mergeCell ref="P11:Q11"/>
    <mergeCell ref="K7:L7"/>
    <mergeCell ref="M7:N7"/>
    <mergeCell ref="M8:N8"/>
    <mergeCell ref="J7:J9"/>
    <mergeCell ref="B1:D1"/>
    <mergeCell ref="O1:Q1"/>
    <mergeCell ref="K2:L2"/>
    <mergeCell ref="K3:L3"/>
    <mergeCell ref="B4:D4"/>
    <mergeCell ref="E4:J4"/>
    <mergeCell ref="K4:L4"/>
    <mergeCell ref="B2:J3"/>
    <mergeCell ref="M2:O2"/>
    <mergeCell ref="M3:O3"/>
    <mergeCell ref="M4:Q4"/>
    <mergeCell ref="P6:Q9"/>
    <mergeCell ref="M10:M11"/>
    <mergeCell ref="E7:E9"/>
    <mergeCell ref="F7:F9"/>
    <mergeCell ref="G7:G9"/>
    <mergeCell ref="H7:H9"/>
    <mergeCell ref="I7:I9"/>
    <mergeCell ref="K8:L8"/>
    <mergeCell ref="O7:O9"/>
  </mergeCells>
  <phoneticPr fontId="38" type="noConversion"/>
  <printOptions horizontalCentered="1" verticalCentered="1"/>
  <pageMargins left="0.19685039370078741" right="0.19685039370078741" top="0.35433070866141736" bottom="0.39370078740157483" header="0.19685039370078741" footer="0.19685039370078741"/>
  <pageSetup paperSize="9" scale="65" fitToHeight="0" orientation="landscape" r:id="rId1"/>
  <headerFooter alignWithMargins="0">
    <oddHeader>&amp;LPM240707-012&amp;C&amp;K132C2E正极合浆工序控制计划&amp;R&amp;K132C2E版本号：B2</oddHeader>
    <oddFooter>&amp;L&amp;14&amp;K000000&amp;C&amp;K130c0e第 &amp;P 页，共 &amp;N 页&amp;R&amp;14&amp;K000000</oddFooter>
  </headerFooter>
  <rowBreaks count="1" manualBreakCount="1">
    <brk id="18" min="1" max="16"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B1:Y19"/>
  <sheetViews>
    <sheetView showGridLines="0" view="pageLayout" topLeftCell="A12" zoomScale="85" zoomScaleNormal="70" zoomScaleSheetLayoutView="85" zoomScalePageLayoutView="85" workbookViewId="0">
      <selection activeCell="I19" sqref="I19:K19"/>
    </sheetView>
  </sheetViews>
  <sheetFormatPr defaultColWidth="9" defaultRowHeight="14"/>
  <cols>
    <col min="1" max="1" width="1.08984375" style="42" customWidth="1"/>
    <col min="2" max="2" width="11" style="42" customWidth="1"/>
    <col min="3" max="3" width="8.453125" style="42" customWidth="1"/>
    <col min="4" max="4" width="10.6328125" style="42" customWidth="1"/>
    <col min="5" max="5" width="5.453125" style="42" customWidth="1"/>
    <col min="6" max="6" width="8.453125" style="42" customWidth="1"/>
    <col min="7" max="7" width="8.6328125" style="42" customWidth="1"/>
    <col min="8" max="8" width="9.36328125" style="42" customWidth="1"/>
    <col min="9" max="9" width="14.90625" style="42" customWidth="1"/>
    <col min="10" max="10" width="13.08984375" style="42" customWidth="1"/>
    <col min="11" max="12" width="10.90625" style="42" customWidth="1"/>
    <col min="13" max="13" width="15.6328125" style="42" customWidth="1"/>
    <col min="14" max="14" width="12.90625" style="43" customWidth="1"/>
    <col min="15" max="15" width="20.36328125" style="43" customWidth="1"/>
    <col min="16" max="16" width="9" style="42"/>
    <col min="17" max="17" width="9" style="42" customWidth="1"/>
    <col min="18" max="19" width="9" style="42"/>
    <col min="20" max="20" width="9.36328125" style="42" bestFit="1" customWidth="1"/>
    <col min="21" max="21" width="9" style="42"/>
    <col min="22" max="22" width="9.453125" style="42" bestFit="1" customWidth="1"/>
    <col min="23" max="16384" width="9" style="42"/>
  </cols>
  <sheetData>
    <row r="1" spans="2:25" s="39" customFormat="1" ht="10.5" customHeight="1">
      <c r="B1" s="369"/>
      <c r="C1" s="369"/>
      <c r="D1" s="369"/>
      <c r="E1" s="44"/>
      <c r="F1" s="42"/>
      <c r="G1" s="42"/>
      <c r="H1" s="42"/>
      <c r="I1" s="45"/>
      <c r="K1" s="42"/>
      <c r="L1" s="42"/>
      <c r="M1" s="369"/>
      <c r="N1" s="369"/>
      <c r="O1" s="369"/>
    </row>
    <row r="2" spans="2:25" s="40" customFormat="1" ht="30" customHeight="1">
      <c r="B2" s="379" t="s">
        <v>15</v>
      </c>
      <c r="C2" s="380"/>
      <c r="D2" s="380"/>
      <c r="E2" s="380"/>
      <c r="F2" s="380"/>
      <c r="G2" s="380"/>
      <c r="H2" s="380"/>
      <c r="I2" s="380"/>
      <c r="J2" s="381"/>
      <c r="K2" s="370" t="s">
        <v>16</v>
      </c>
      <c r="L2" s="371"/>
      <c r="M2" s="46" t="s">
        <v>369</v>
      </c>
      <c r="N2" s="47" t="s">
        <v>17</v>
      </c>
      <c r="O2" s="48" t="s">
        <v>405</v>
      </c>
    </row>
    <row r="3" spans="2:25" s="40" customFormat="1" ht="30" customHeight="1">
      <c r="B3" s="382"/>
      <c r="C3" s="383"/>
      <c r="D3" s="383"/>
      <c r="E3" s="383"/>
      <c r="F3" s="383"/>
      <c r="G3" s="383"/>
      <c r="H3" s="383"/>
      <c r="I3" s="383"/>
      <c r="J3" s="384"/>
      <c r="K3" s="372" t="s">
        <v>18</v>
      </c>
      <c r="L3" s="373"/>
      <c r="M3" s="49" t="s">
        <v>19</v>
      </c>
      <c r="N3" s="50" t="s">
        <v>20</v>
      </c>
      <c r="O3" s="109" t="s">
        <v>411</v>
      </c>
      <c r="R3" s="52"/>
      <c r="S3" s="52"/>
      <c r="T3" s="52"/>
      <c r="U3" s="52"/>
      <c r="V3" s="52"/>
      <c r="W3" s="52"/>
      <c r="X3" s="52"/>
      <c r="Y3" s="55"/>
    </row>
    <row r="4" spans="2:25" s="40" customFormat="1" ht="44.25" customHeight="1">
      <c r="B4" s="374" t="s">
        <v>21</v>
      </c>
      <c r="C4" s="375"/>
      <c r="D4" s="375"/>
      <c r="E4" s="318" t="s">
        <v>395</v>
      </c>
      <c r="F4" s="318"/>
      <c r="G4" s="318"/>
      <c r="H4" s="318"/>
      <c r="I4" s="318"/>
      <c r="J4" s="318"/>
      <c r="K4" s="376" t="s">
        <v>22</v>
      </c>
      <c r="L4" s="377"/>
      <c r="M4" s="378" t="s">
        <v>198</v>
      </c>
      <c r="N4" s="378"/>
      <c r="O4" s="378"/>
      <c r="R4" s="53"/>
      <c r="S4" s="52"/>
      <c r="T4" s="52"/>
      <c r="U4" s="52"/>
      <c r="V4" s="52"/>
      <c r="W4" s="52"/>
      <c r="X4" s="52"/>
      <c r="Y4" s="55"/>
    </row>
    <row r="5" spans="2:25" s="40" customFormat="1" ht="38.25" customHeight="1">
      <c r="B5" s="192" t="s">
        <v>23</v>
      </c>
      <c r="C5" s="388" t="s">
        <v>368</v>
      </c>
      <c r="D5" s="388"/>
      <c r="E5" s="389" t="s">
        <v>24</v>
      </c>
      <c r="F5" s="388"/>
      <c r="G5" s="388" t="s">
        <v>365</v>
      </c>
      <c r="H5" s="388"/>
      <c r="I5" s="191" t="s">
        <v>25</v>
      </c>
      <c r="J5" s="191" t="s">
        <v>366</v>
      </c>
      <c r="K5" s="51" t="s">
        <v>26</v>
      </c>
      <c r="L5" s="390" t="s">
        <v>27</v>
      </c>
      <c r="M5" s="391"/>
      <c r="N5" s="105" t="s">
        <v>28</v>
      </c>
      <c r="O5" s="104" t="s">
        <v>27</v>
      </c>
      <c r="R5" s="54"/>
      <c r="S5" s="54"/>
      <c r="T5" s="54"/>
      <c r="U5" s="54"/>
      <c r="V5" s="54"/>
      <c r="W5" s="54"/>
      <c r="X5" s="54"/>
      <c r="Y5" s="56"/>
    </row>
    <row r="6" spans="2:25" s="40" customFormat="1" ht="18">
      <c r="B6" s="398" t="s">
        <v>394</v>
      </c>
      <c r="C6" s="399"/>
      <c r="D6" s="399"/>
      <c r="E6" s="399"/>
      <c r="F6" s="399"/>
      <c r="G6" s="399"/>
      <c r="H6" s="399"/>
      <c r="I6" s="399"/>
      <c r="J6" s="399"/>
      <c r="K6" s="399"/>
      <c r="L6" s="399"/>
      <c r="M6" s="399"/>
      <c r="N6" s="399"/>
      <c r="O6" s="400"/>
      <c r="R6" s="54"/>
      <c r="S6" s="54"/>
      <c r="T6" s="54"/>
      <c r="U6" s="54"/>
      <c r="V6" s="54"/>
      <c r="W6" s="54"/>
      <c r="X6" s="54"/>
      <c r="Y6" s="56"/>
    </row>
    <row r="7" spans="2:25" s="41" customFormat="1" ht="30" customHeight="1">
      <c r="B7" s="392"/>
      <c r="C7" s="393"/>
      <c r="D7" s="393"/>
      <c r="E7" s="393"/>
      <c r="F7" s="393"/>
      <c r="G7" s="393"/>
      <c r="H7" s="393"/>
      <c r="I7" s="393"/>
      <c r="J7" s="393"/>
      <c r="K7" s="393"/>
      <c r="L7" s="393"/>
      <c r="M7" s="393"/>
      <c r="N7" s="393"/>
      <c r="O7" s="394"/>
    </row>
    <row r="8" spans="2:25" s="41" customFormat="1" ht="30" customHeight="1">
      <c r="B8" s="395"/>
      <c r="C8" s="396"/>
      <c r="D8" s="396"/>
      <c r="E8" s="396"/>
      <c r="F8" s="396"/>
      <c r="G8" s="396"/>
      <c r="H8" s="396"/>
      <c r="I8" s="396"/>
      <c r="J8" s="396"/>
      <c r="K8" s="396"/>
      <c r="L8" s="396"/>
      <c r="M8" s="396"/>
      <c r="N8" s="396"/>
      <c r="O8" s="397"/>
    </row>
    <row r="9" spans="2:25" s="41" customFormat="1" ht="30" customHeight="1">
      <c r="B9" s="395"/>
      <c r="C9" s="396"/>
      <c r="D9" s="396"/>
      <c r="E9" s="396"/>
      <c r="F9" s="396"/>
      <c r="G9" s="396"/>
      <c r="H9" s="396"/>
      <c r="I9" s="396"/>
      <c r="J9" s="396"/>
      <c r="K9" s="396"/>
      <c r="L9" s="396"/>
      <c r="M9" s="396"/>
      <c r="N9" s="396"/>
      <c r="O9" s="397"/>
    </row>
    <row r="10" spans="2:25" s="41" customFormat="1" ht="30" customHeight="1">
      <c r="B10" s="395"/>
      <c r="C10" s="396"/>
      <c r="D10" s="396"/>
      <c r="E10" s="396"/>
      <c r="F10" s="396"/>
      <c r="G10" s="396"/>
      <c r="H10" s="396"/>
      <c r="I10" s="396"/>
      <c r="J10" s="396"/>
      <c r="K10" s="396"/>
      <c r="L10" s="396"/>
      <c r="M10" s="396"/>
      <c r="N10" s="396"/>
      <c r="O10" s="397"/>
    </row>
    <row r="11" spans="2:25" s="41" customFormat="1" ht="45.65" customHeight="1">
      <c r="B11" s="395"/>
      <c r="C11" s="396"/>
      <c r="D11" s="396"/>
      <c r="E11" s="396"/>
      <c r="F11" s="396"/>
      <c r="G11" s="396"/>
      <c r="H11" s="396"/>
      <c r="I11" s="396"/>
      <c r="J11" s="396"/>
      <c r="K11" s="396"/>
      <c r="L11" s="396"/>
      <c r="M11" s="396"/>
      <c r="N11" s="396"/>
      <c r="O11" s="397"/>
      <c r="T11" s="183"/>
      <c r="U11" s="185"/>
    </row>
    <row r="12" spans="2:25" s="41" customFormat="1" ht="30" customHeight="1">
      <c r="B12" s="395"/>
      <c r="C12" s="396"/>
      <c r="D12" s="396"/>
      <c r="E12" s="396"/>
      <c r="F12" s="396"/>
      <c r="G12" s="396"/>
      <c r="H12" s="396"/>
      <c r="I12" s="396"/>
      <c r="J12" s="396"/>
      <c r="K12" s="396"/>
      <c r="L12" s="396"/>
      <c r="M12" s="396"/>
      <c r="N12" s="396"/>
      <c r="O12" s="397"/>
      <c r="P12"/>
      <c r="Q12" s="403"/>
      <c r="R12" s="403"/>
      <c r="T12" s="183"/>
      <c r="U12" s="184"/>
      <c r="V12" s="185"/>
    </row>
    <row r="13" spans="2:25" s="215" customFormat="1">
      <c r="B13" s="404"/>
      <c r="C13" s="401" t="s">
        <v>381</v>
      </c>
      <c r="D13" s="401"/>
      <c r="E13" s="401"/>
      <c r="F13" s="401"/>
      <c r="G13" s="401"/>
      <c r="H13" s="401"/>
      <c r="I13" s="385"/>
      <c r="J13" s="401" t="s">
        <v>382</v>
      </c>
      <c r="K13" s="401"/>
      <c r="L13" s="401"/>
      <c r="M13" s="401"/>
      <c r="N13" s="401"/>
      <c r="O13" s="385"/>
      <c r="P13" s="227"/>
      <c r="Q13" s="228"/>
    </row>
    <row r="14" spans="2:25" s="215" customFormat="1">
      <c r="B14" s="405"/>
      <c r="C14" s="241" t="s">
        <v>11</v>
      </c>
      <c r="D14" s="402" t="s">
        <v>383</v>
      </c>
      <c r="E14" s="402"/>
      <c r="F14" s="402"/>
      <c r="G14" s="402"/>
      <c r="H14" s="241" t="s">
        <v>384</v>
      </c>
      <c r="I14" s="386"/>
      <c r="J14" s="241" t="s">
        <v>11</v>
      </c>
      <c r="K14" s="402" t="s">
        <v>383</v>
      </c>
      <c r="L14" s="402"/>
      <c r="M14" s="402"/>
      <c r="N14" s="241" t="s">
        <v>384</v>
      </c>
      <c r="O14" s="386"/>
      <c r="P14" s="227"/>
    </row>
    <row r="15" spans="2:25" s="215" customFormat="1">
      <c r="B15" s="405"/>
      <c r="C15" s="242">
        <v>1</v>
      </c>
      <c r="D15" s="402" t="s">
        <v>385</v>
      </c>
      <c r="E15" s="402"/>
      <c r="F15" s="402"/>
      <c r="G15" s="402"/>
      <c r="H15" s="241" t="s">
        <v>386</v>
      </c>
      <c r="I15" s="386"/>
      <c r="J15" s="242">
        <v>1</v>
      </c>
      <c r="K15" s="402" t="s">
        <v>387</v>
      </c>
      <c r="L15" s="402"/>
      <c r="M15" s="402"/>
      <c r="N15" s="241" t="s">
        <v>386</v>
      </c>
      <c r="O15" s="386"/>
      <c r="P15" s="227"/>
      <c r="Q15" s="229"/>
      <c r="U15" s="230"/>
    </row>
    <row r="16" spans="2:25" s="215" customFormat="1">
      <c r="B16" s="406"/>
      <c r="C16" s="242">
        <v>2</v>
      </c>
      <c r="D16" s="402" t="s">
        <v>388</v>
      </c>
      <c r="E16" s="402"/>
      <c r="F16" s="402"/>
      <c r="G16" s="402"/>
      <c r="H16" s="241" t="s">
        <v>389</v>
      </c>
      <c r="I16" s="387"/>
      <c r="J16" s="242">
        <v>2</v>
      </c>
      <c r="K16" s="402" t="s">
        <v>390</v>
      </c>
      <c r="L16" s="402"/>
      <c r="M16" s="402"/>
      <c r="N16" s="241" t="s">
        <v>389</v>
      </c>
      <c r="O16" s="387"/>
      <c r="P16" s="231"/>
      <c r="Q16" s="232"/>
      <c r="R16" s="232"/>
      <c r="S16" s="232"/>
      <c r="T16" s="232"/>
      <c r="U16" s="232"/>
      <c r="V16" s="232"/>
    </row>
    <row r="17" spans="2:15" ht="93.75" customHeight="1">
      <c r="B17" s="180" t="s">
        <v>350</v>
      </c>
      <c r="C17" s="407" t="s">
        <v>351</v>
      </c>
      <c r="D17" s="407"/>
      <c r="E17" s="407"/>
      <c r="F17" s="407"/>
      <c r="G17" s="407"/>
      <c r="H17" s="407"/>
      <c r="I17" s="407"/>
      <c r="J17" s="407"/>
      <c r="K17" s="407"/>
      <c r="L17" s="407"/>
      <c r="M17" s="407"/>
      <c r="N17" s="407"/>
      <c r="O17" s="407"/>
    </row>
    <row r="18" spans="2:15" ht="29.25" customHeight="1">
      <c r="B18" s="356" t="s">
        <v>137</v>
      </c>
      <c r="C18" s="357"/>
      <c r="D18" s="357"/>
      <c r="E18" s="356" t="s">
        <v>328</v>
      </c>
      <c r="F18" s="356"/>
      <c r="G18" s="358" t="s">
        <v>138</v>
      </c>
      <c r="H18" s="359"/>
      <c r="I18" s="358" t="s">
        <v>139</v>
      </c>
      <c r="J18" s="365"/>
      <c r="K18" s="359"/>
      <c r="L18" s="356" t="s">
        <v>140</v>
      </c>
      <c r="M18" s="360"/>
      <c r="N18" s="356" t="s">
        <v>329</v>
      </c>
      <c r="O18" s="360"/>
    </row>
    <row r="19" spans="2:15" ht="29.5" customHeight="1">
      <c r="B19" s="361" t="s">
        <v>363</v>
      </c>
      <c r="C19" s="362"/>
      <c r="D19" s="362"/>
      <c r="E19" s="353" t="s">
        <v>358</v>
      </c>
      <c r="F19" s="354"/>
      <c r="G19" s="363" t="s">
        <v>362</v>
      </c>
      <c r="H19" s="364"/>
      <c r="I19" s="366" t="s">
        <v>418</v>
      </c>
      <c r="J19" s="367"/>
      <c r="K19" s="368"/>
      <c r="L19" s="353" t="s">
        <v>183</v>
      </c>
      <c r="M19" s="354"/>
      <c r="N19" s="353" t="s">
        <v>358</v>
      </c>
      <c r="O19" s="354"/>
    </row>
  </sheetData>
  <sheetProtection formatCells="0" formatRows="0" insertColumns="0" insertRows="0" insertHyperlinks="0" deleteColumns="0" deleteRows="0" sort="0" autoFilter="0" pivotTables="0"/>
  <protectedRanges>
    <protectedRange sqref="O1" name="区域1_1"/>
    <protectedRange sqref="Q13:S16" name="区域1_1_4_4_1_2"/>
    <protectedRange sqref="S14:S16 Q13:R16" name="区域1_1_4_4_1_1_1"/>
  </protectedRanges>
  <mergeCells count="40">
    <mergeCell ref="Q12:R12"/>
    <mergeCell ref="B13:B16"/>
    <mergeCell ref="B19:D19"/>
    <mergeCell ref="E19:F19"/>
    <mergeCell ref="G19:H19"/>
    <mergeCell ref="C17:O17"/>
    <mergeCell ref="B18:D18"/>
    <mergeCell ref="E18:F18"/>
    <mergeCell ref="G18:H18"/>
    <mergeCell ref="N18:O18"/>
    <mergeCell ref="I18:K18"/>
    <mergeCell ref="I19:K19"/>
    <mergeCell ref="L19:M19"/>
    <mergeCell ref="N19:O19"/>
    <mergeCell ref="L18:M18"/>
    <mergeCell ref="C13:H13"/>
    <mergeCell ref="I13:I16"/>
    <mergeCell ref="C5:D5"/>
    <mergeCell ref="E5:F5"/>
    <mergeCell ref="G5:H5"/>
    <mergeCell ref="L5:M5"/>
    <mergeCell ref="B7:O12"/>
    <mergeCell ref="B6:O6"/>
    <mergeCell ref="J13:N13"/>
    <mergeCell ref="O13:O16"/>
    <mergeCell ref="D14:G14"/>
    <mergeCell ref="K14:M14"/>
    <mergeCell ref="D15:G15"/>
    <mergeCell ref="K15:M15"/>
    <mergeCell ref="D16:G16"/>
    <mergeCell ref="K16:M16"/>
    <mergeCell ref="B1:D1"/>
    <mergeCell ref="M1:O1"/>
    <mergeCell ref="K2:L2"/>
    <mergeCell ref="K3:L3"/>
    <mergeCell ref="B4:D4"/>
    <mergeCell ref="E4:J4"/>
    <mergeCell ref="K4:L4"/>
    <mergeCell ref="M4:O4"/>
    <mergeCell ref="B2:J3"/>
  </mergeCells>
  <phoneticPr fontId="38" type="noConversion"/>
  <printOptions horizontalCentered="1" verticalCentered="1"/>
  <pageMargins left="0.19685039370078741" right="0.19685039370078741" top="0.35433070866141736" bottom="0.39370078740157483" header="0.19685039370078741" footer="0.19685039370078741"/>
  <pageSetup paperSize="9" scale="58" fitToHeight="0" orientation="landscape" r:id="rId1"/>
  <headerFooter alignWithMargins="0">
    <oddHeader>&amp;LPM240707-012&amp;C&amp;K132C2E正极合浆工序控制计划&amp;R&amp;K132C2E版本号：B2</oddHeader>
    <oddFooter>&amp;L&amp;14&amp;K000000&amp;C&amp;K130c0e第 &amp;P 页，共 &amp;N 页&amp;R&amp;14&amp;K000000</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3"/>
  <sheetViews>
    <sheetView view="pageLayout" zoomScale="64" zoomScaleNormal="72" zoomScaleSheetLayoutView="85" zoomScalePageLayoutView="64" workbookViewId="0">
      <selection activeCell="Q5" sqref="Q5"/>
    </sheetView>
  </sheetViews>
  <sheetFormatPr defaultRowHeight="14"/>
  <cols>
    <col min="1" max="1" width="6.90625" customWidth="1"/>
    <col min="2" max="2" width="6.08984375" customWidth="1"/>
    <col min="3" max="3" width="11.36328125" customWidth="1"/>
    <col min="6" max="6" width="7.36328125" customWidth="1"/>
    <col min="8" max="8" width="9.6328125" customWidth="1"/>
    <col min="10" max="10" width="9.6328125" customWidth="1"/>
    <col min="11" max="11" width="12.90625" customWidth="1"/>
    <col min="12" max="12" width="11.6328125" customWidth="1"/>
    <col min="13" max="13" width="10.90625" customWidth="1"/>
    <col min="14" max="14" width="9.36328125" customWidth="1"/>
    <col min="15" max="15" width="11.90625" customWidth="1"/>
    <col min="16" max="16" width="10.90625" customWidth="1"/>
    <col min="17" max="17" width="19.90625" customWidth="1"/>
  </cols>
  <sheetData>
    <row r="1" spans="1:17" ht="15.5">
      <c r="A1" s="408" t="s">
        <v>370</v>
      </c>
      <c r="B1" s="409"/>
      <c r="C1" s="409"/>
      <c r="D1" s="409"/>
      <c r="E1" s="409"/>
      <c r="F1" s="409"/>
      <c r="G1" s="409"/>
      <c r="H1" s="409"/>
      <c r="I1" s="409"/>
      <c r="J1" s="409"/>
      <c r="K1" s="409"/>
      <c r="L1" s="409"/>
      <c r="M1" s="409"/>
      <c r="N1" s="409"/>
      <c r="O1" s="409"/>
      <c r="P1" s="409"/>
      <c r="Q1" s="410"/>
    </row>
    <row r="2" spans="1:17">
      <c r="A2" s="166"/>
      <c r="B2" s="167"/>
      <c r="C2" s="167"/>
      <c r="D2" s="167"/>
      <c r="E2" s="167"/>
      <c r="F2" s="168"/>
      <c r="G2" s="167"/>
      <c r="H2" s="167"/>
      <c r="I2" s="169"/>
      <c r="J2" s="167"/>
      <c r="K2" s="167"/>
      <c r="L2" s="167"/>
      <c r="M2" s="167"/>
      <c r="N2" s="167"/>
      <c r="O2" s="167"/>
      <c r="P2" s="168"/>
      <c r="Q2" s="170"/>
    </row>
    <row r="3" spans="1:17">
      <c r="A3" s="411" t="s">
        <v>11</v>
      </c>
      <c r="B3" s="411" t="s">
        <v>296</v>
      </c>
      <c r="C3" s="411" t="s">
        <v>297</v>
      </c>
      <c r="D3" s="411" t="s">
        <v>298</v>
      </c>
      <c r="E3" s="411" t="s">
        <v>299</v>
      </c>
      <c r="F3" s="412" t="s">
        <v>300</v>
      </c>
      <c r="G3" s="411" t="s">
        <v>301</v>
      </c>
      <c r="H3" s="411" t="s">
        <v>302</v>
      </c>
      <c r="I3" s="411" t="s">
        <v>303</v>
      </c>
      <c r="J3" s="411" t="s">
        <v>304</v>
      </c>
      <c r="K3" s="411" t="s">
        <v>305</v>
      </c>
      <c r="L3" s="411" t="s">
        <v>306</v>
      </c>
      <c r="M3" s="418" t="s">
        <v>307</v>
      </c>
      <c r="N3" s="411" t="s">
        <v>308</v>
      </c>
      <c r="O3" s="411" t="s">
        <v>309</v>
      </c>
      <c r="P3" s="419" t="s">
        <v>310</v>
      </c>
      <c r="Q3" s="412" t="s">
        <v>311</v>
      </c>
    </row>
    <row r="4" spans="1:17">
      <c r="A4" s="411"/>
      <c r="B4" s="411"/>
      <c r="C4" s="411"/>
      <c r="D4" s="411"/>
      <c r="E4" s="411"/>
      <c r="F4" s="413"/>
      <c r="G4" s="411"/>
      <c r="H4" s="411"/>
      <c r="I4" s="411"/>
      <c r="J4" s="411"/>
      <c r="K4" s="411"/>
      <c r="L4" s="411"/>
      <c r="M4" s="418"/>
      <c r="N4" s="411"/>
      <c r="O4" s="411"/>
      <c r="P4" s="420"/>
      <c r="Q4" s="413"/>
    </row>
    <row r="5" spans="1:17" ht="158.5" customHeight="1">
      <c r="A5" s="178">
        <v>1</v>
      </c>
      <c r="B5" s="174" t="s">
        <v>312</v>
      </c>
      <c r="C5" s="174" t="s">
        <v>313</v>
      </c>
      <c r="D5" s="175" t="s">
        <v>323</v>
      </c>
      <c r="E5" s="176" t="s">
        <v>314</v>
      </c>
      <c r="F5" s="175" t="s">
        <v>315</v>
      </c>
      <c r="G5" s="175" t="s">
        <v>324</v>
      </c>
      <c r="H5" s="175" t="s">
        <v>325</v>
      </c>
      <c r="I5" s="175" t="s">
        <v>326</v>
      </c>
      <c r="J5" s="176" t="s">
        <v>327</v>
      </c>
      <c r="K5" s="175" t="s">
        <v>27</v>
      </c>
      <c r="L5" s="175" t="s">
        <v>27</v>
      </c>
      <c r="M5" s="175" t="s">
        <v>27</v>
      </c>
      <c r="N5" s="175" t="s">
        <v>27</v>
      </c>
      <c r="O5" s="175" t="s">
        <v>27</v>
      </c>
      <c r="P5" s="175" t="s">
        <v>27</v>
      </c>
      <c r="Q5" s="177" t="s">
        <v>316</v>
      </c>
    </row>
    <row r="6" spans="1:17" s="226" customFormat="1" ht="173.5" customHeight="1">
      <c r="A6" s="233">
        <v>2</v>
      </c>
      <c r="B6" s="234" t="s">
        <v>312</v>
      </c>
      <c r="C6" s="235" t="s">
        <v>313</v>
      </c>
      <c r="D6" s="236" t="s">
        <v>323</v>
      </c>
      <c r="E6" s="234" t="s">
        <v>314</v>
      </c>
      <c r="F6" s="234" t="s">
        <v>315</v>
      </c>
      <c r="G6" s="234" t="s">
        <v>378</v>
      </c>
      <c r="H6" s="234" t="s">
        <v>325</v>
      </c>
      <c r="I6" s="234" t="s">
        <v>379</v>
      </c>
      <c r="J6" s="234" t="s">
        <v>380</v>
      </c>
      <c r="K6" s="234" t="s">
        <v>27</v>
      </c>
      <c r="L6" s="234" t="s">
        <v>27</v>
      </c>
      <c r="M6" s="235" t="s">
        <v>27</v>
      </c>
      <c r="N6" s="235" t="s">
        <v>27</v>
      </c>
      <c r="O6" s="235" t="s">
        <v>27</v>
      </c>
      <c r="P6" s="234" t="s">
        <v>27</v>
      </c>
      <c r="Q6" s="237" t="s">
        <v>316</v>
      </c>
    </row>
    <row r="7" spans="1:17">
      <c r="A7" s="171"/>
      <c r="B7" s="171"/>
      <c r="C7" s="172"/>
      <c r="D7" s="171"/>
      <c r="E7" s="171"/>
      <c r="F7" s="171"/>
      <c r="G7" s="171"/>
      <c r="H7" s="171"/>
      <c r="I7" s="173"/>
      <c r="J7" s="171"/>
      <c r="K7" s="171"/>
      <c r="L7" s="172"/>
      <c r="M7" s="172"/>
      <c r="N7" s="171"/>
      <c r="O7" s="172"/>
      <c r="P7" s="172"/>
      <c r="Q7" s="173"/>
    </row>
    <row r="8" spans="1:17">
      <c r="A8" s="171"/>
      <c r="B8" s="171"/>
      <c r="C8" s="172"/>
      <c r="D8" s="171"/>
      <c r="E8" s="171"/>
      <c r="F8" s="171"/>
      <c r="G8" s="171"/>
      <c r="H8" s="171"/>
      <c r="I8" s="173"/>
      <c r="J8" s="171"/>
      <c r="K8" s="171"/>
      <c r="L8" s="172"/>
      <c r="M8" s="172"/>
      <c r="N8" s="171"/>
      <c r="O8" s="172"/>
      <c r="P8" s="172"/>
      <c r="Q8" s="173"/>
    </row>
    <row r="9" spans="1:17">
      <c r="A9" s="171"/>
      <c r="B9" s="171"/>
      <c r="C9" s="172"/>
      <c r="D9" s="171"/>
      <c r="E9" s="171"/>
      <c r="F9" s="171"/>
      <c r="G9" s="171"/>
      <c r="H9" s="171"/>
      <c r="I9" s="173"/>
      <c r="J9" s="171"/>
      <c r="K9" s="171"/>
      <c r="L9" s="172"/>
      <c r="M9" s="172"/>
      <c r="N9" s="171"/>
      <c r="O9" s="172"/>
      <c r="P9" s="172"/>
      <c r="Q9" s="173"/>
    </row>
    <row r="10" spans="1:17">
      <c r="A10" s="171"/>
      <c r="B10" s="171"/>
      <c r="C10" s="172"/>
      <c r="D10" s="171"/>
      <c r="E10" s="171"/>
      <c r="F10" s="171"/>
      <c r="G10" s="171"/>
      <c r="H10" s="171"/>
      <c r="I10" s="173"/>
      <c r="J10" s="171"/>
      <c r="K10" s="171"/>
      <c r="L10" s="172"/>
      <c r="M10" s="172"/>
      <c r="N10" s="171"/>
      <c r="O10" s="172"/>
      <c r="P10" s="172"/>
      <c r="Q10" s="173"/>
    </row>
    <row r="11" spans="1:17">
      <c r="A11" s="171"/>
      <c r="B11" s="171"/>
      <c r="C11" s="172"/>
      <c r="D11" s="171"/>
      <c r="E11" s="171"/>
      <c r="F11" s="171"/>
      <c r="G11" s="171"/>
      <c r="H11" s="171"/>
      <c r="I11" s="173"/>
      <c r="J11" s="171"/>
      <c r="K11" s="171"/>
      <c r="L11" s="172"/>
      <c r="M11" s="172"/>
      <c r="N11" s="171"/>
      <c r="O11" s="172"/>
      <c r="P11" s="172"/>
      <c r="Q11" s="173"/>
    </row>
    <row r="12" spans="1:17" ht="22" customHeight="1">
      <c r="A12" s="414" t="s">
        <v>317</v>
      </c>
      <c r="B12" s="414"/>
      <c r="C12" s="414"/>
      <c r="D12" s="414"/>
      <c r="E12" s="414"/>
      <c r="F12" s="414"/>
      <c r="G12" s="414"/>
      <c r="H12" s="414"/>
      <c r="I12" s="414"/>
      <c r="J12" s="414"/>
      <c r="K12" s="415" t="s">
        <v>318</v>
      </c>
      <c r="L12" s="416"/>
      <c r="M12" s="417"/>
      <c r="N12" s="415" t="s">
        <v>319</v>
      </c>
      <c r="O12" s="416"/>
      <c r="P12" s="416"/>
      <c r="Q12" s="417"/>
    </row>
    <row r="13" spans="1:17" ht="68.5" customHeight="1">
      <c r="A13" s="414" t="s">
        <v>320</v>
      </c>
      <c r="B13" s="414"/>
      <c r="C13" s="414"/>
      <c r="D13" s="414"/>
      <c r="E13" s="414"/>
      <c r="F13" s="414"/>
      <c r="G13" s="414"/>
      <c r="H13" s="414"/>
      <c r="I13" s="414"/>
      <c r="J13" s="414"/>
      <c r="K13" s="415" t="s">
        <v>321</v>
      </c>
      <c r="L13" s="416"/>
      <c r="M13" s="417"/>
      <c r="N13" s="415" t="s">
        <v>322</v>
      </c>
      <c r="O13" s="416"/>
      <c r="P13" s="416"/>
      <c r="Q13" s="417"/>
    </row>
  </sheetData>
  <mergeCells count="24">
    <mergeCell ref="A13:J13"/>
    <mergeCell ref="K13:M13"/>
    <mergeCell ref="N13:Q13"/>
    <mergeCell ref="J3:J4"/>
    <mergeCell ref="K3:K4"/>
    <mergeCell ref="L3:L4"/>
    <mergeCell ref="M3:M4"/>
    <mergeCell ref="N3:N4"/>
    <mergeCell ref="O3:O4"/>
    <mergeCell ref="P3:P4"/>
    <mergeCell ref="Q3:Q4"/>
    <mergeCell ref="A12:J12"/>
    <mergeCell ref="K12:M12"/>
    <mergeCell ref="N12:Q12"/>
    <mergeCell ref="A1:Q1"/>
    <mergeCell ref="A3:A4"/>
    <mergeCell ref="B3:B4"/>
    <mergeCell ref="C3:C4"/>
    <mergeCell ref="D3:D4"/>
    <mergeCell ref="E3:E4"/>
    <mergeCell ref="F3:F4"/>
    <mergeCell ref="G3:G4"/>
    <mergeCell ref="H3:H4"/>
    <mergeCell ref="I3:I4"/>
  </mergeCells>
  <phoneticPr fontId="38" type="noConversion"/>
  <printOptions horizontalCentered="1" verticalCentered="1"/>
  <pageMargins left="0.19685039370078741" right="0.19685039370078741" top="0.35433070866141736" bottom="0.39370078740157483" header="0.19685039370078741" footer="0.19685039370078741"/>
  <pageSetup paperSize="9" scale="84" fitToHeight="0" orientation="landscape" r:id="rId1"/>
  <headerFooter alignWithMargins="0">
    <oddHeader>&amp;LPM240707-012&amp;C&amp;K132C2E正极合浆工序控制计划&amp;R&amp;K132C2E版本号：B2</oddHeader>
    <oddFooter>&amp;L&amp;14&amp;K000000&amp;C&amp;K130c0e第 &amp;P 页，共 &amp;N 页&amp;R&amp;14&amp;K000000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13"/>
  <sheetViews>
    <sheetView zoomScale="70" zoomScaleNormal="70" workbookViewId="0">
      <selection activeCell="K10" sqref="K10"/>
    </sheetView>
  </sheetViews>
  <sheetFormatPr defaultColWidth="9" defaultRowHeight="14"/>
  <cols>
    <col min="1" max="1" width="5.08984375" style="1" customWidth="1"/>
    <col min="2" max="2" width="10" style="1" customWidth="1"/>
    <col min="3" max="3" width="12.453125" style="2" customWidth="1"/>
    <col min="4" max="4" width="8.36328125" style="1" customWidth="1"/>
    <col min="5" max="5" width="6.36328125" style="1" customWidth="1"/>
    <col min="6" max="8" width="8.90625" style="1" customWidth="1"/>
    <col min="9" max="9" width="22.90625" style="1" customWidth="1"/>
    <col min="10" max="10" width="8.6328125" style="1" customWidth="1"/>
    <col min="11" max="11" width="26" style="2" customWidth="1"/>
    <col min="12" max="13" width="9.453125" style="1" customWidth="1"/>
    <col min="14" max="14" width="15.453125" style="1" customWidth="1"/>
    <col min="15" max="15" width="9.36328125" style="1" customWidth="1"/>
    <col min="16" max="18" width="9" style="1"/>
    <col min="19" max="19" width="9" style="3"/>
    <col min="20" max="20" width="13.36328125" style="1" customWidth="1"/>
    <col min="21" max="16384" width="9" style="1"/>
  </cols>
  <sheetData>
    <row r="1" spans="1:20" ht="28" customHeight="1">
      <c r="A1" s="421" t="s">
        <v>141</v>
      </c>
      <c r="B1" s="422"/>
      <c r="C1" s="422"/>
      <c r="D1" s="422"/>
      <c r="E1" s="422"/>
      <c r="F1" s="422"/>
      <c r="G1" s="422"/>
      <c r="H1" s="422"/>
      <c r="I1" s="422"/>
      <c r="J1" s="422"/>
      <c r="K1" s="423"/>
      <c r="L1" s="13"/>
      <c r="M1" s="14"/>
      <c r="N1" s="4"/>
      <c r="O1" s="24" t="s">
        <v>142</v>
      </c>
      <c r="P1" s="24" t="s">
        <v>143</v>
      </c>
      <c r="Q1" s="24" t="s">
        <v>144</v>
      </c>
      <c r="R1" s="24" t="s">
        <v>145</v>
      </c>
      <c r="S1" s="25" t="s">
        <v>146</v>
      </c>
      <c r="T1" s="26" t="s">
        <v>147</v>
      </c>
    </row>
    <row r="2" spans="1:20" ht="30" customHeight="1">
      <c r="A2" s="4" t="s">
        <v>148</v>
      </c>
      <c r="B2" s="4" t="s">
        <v>149</v>
      </c>
      <c r="C2" s="5" t="s">
        <v>150</v>
      </c>
      <c r="D2" s="4" t="s">
        <v>151</v>
      </c>
      <c r="E2" s="4" t="s">
        <v>152</v>
      </c>
      <c r="F2" s="4" t="s">
        <v>153</v>
      </c>
      <c r="G2" s="4" t="s">
        <v>154</v>
      </c>
      <c r="H2" s="4" t="s">
        <v>155</v>
      </c>
      <c r="I2" s="4" t="s">
        <v>156</v>
      </c>
      <c r="J2" s="4" t="s">
        <v>157</v>
      </c>
      <c r="K2" s="5" t="s">
        <v>158</v>
      </c>
      <c r="L2" s="4" t="s">
        <v>159</v>
      </c>
      <c r="M2" s="15"/>
      <c r="N2" s="4" t="s">
        <v>160</v>
      </c>
      <c r="O2" s="27">
        <v>96.8</v>
      </c>
      <c r="P2" s="28">
        <v>1</v>
      </c>
      <c r="Q2" s="29">
        <f>O12</f>
        <v>185.95041322314049</v>
      </c>
      <c r="R2" s="30">
        <f>Q2*O2/100</f>
        <v>180</v>
      </c>
      <c r="S2" s="31">
        <f>O2/100/P2*Q2</f>
        <v>180</v>
      </c>
      <c r="T2" s="32">
        <f>S2-R2</f>
        <v>0</v>
      </c>
    </row>
    <row r="3" spans="1:20" ht="26.5" customHeight="1">
      <c r="A3" s="4">
        <v>1</v>
      </c>
      <c r="B3" s="4" t="s">
        <v>161</v>
      </c>
      <c r="C3" s="6" t="str">
        <f>N2</f>
        <v>FP05</v>
      </c>
      <c r="D3" s="7">
        <f>S2/2</f>
        <v>90</v>
      </c>
      <c r="E3" s="7">
        <f>D3*0.5%</f>
        <v>0.45</v>
      </c>
      <c r="F3" s="7" t="s">
        <v>27</v>
      </c>
      <c r="G3" s="7" t="s">
        <v>27</v>
      </c>
      <c r="H3" s="7" t="s">
        <v>27</v>
      </c>
      <c r="I3" s="4" t="s">
        <v>27</v>
      </c>
      <c r="J3" s="4" t="s">
        <v>27</v>
      </c>
      <c r="K3" s="5" t="s">
        <v>27</v>
      </c>
      <c r="L3" s="16">
        <f>D3/D3</f>
        <v>1</v>
      </c>
      <c r="M3" s="17"/>
      <c r="N3" s="5" t="s">
        <v>162</v>
      </c>
      <c r="O3" s="27">
        <v>2</v>
      </c>
      <c r="P3" s="28">
        <v>1</v>
      </c>
      <c r="Q3" s="29">
        <f>Q2</f>
        <v>185.95041322314049</v>
      </c>
      <c r="R3" s="30">
        <f>Q3*O3/100</f>
        <v>3.7190082644628095</v>
      </c>
      <c r="S3" s="31">
        <f>O3/100/P3*Q3</f>
        <v>3.71900826446281</v>
      </c>
      <c r="T3" s="32">
        <f>S3-R3</f>
        <v>0</v>
      </c>
    </row>
    <row r="4" spans="1:20" ht="28" customHeight="1">
      <c r="A4" s="4">
        <v>2</v>
      </c>
      <c r="B4" s="4" t="s">
        <v>161</v>
      </c>
      <c r="C4" s="6" t="str">
        <f>N3</f>
        <v>2520-P5</v>
      </c>
      <c r="D4" s="7">
        <f>S3</f>
        <v>3.71900826446281</v>
      </c>
      <c r="E4" s="7">
        <f t="shared" ref="E4:E11" si="0">D4*0.5%</f>
        <v>1.859504132231405E-2</v>
      </c>
      <c r="F4" s="7" t="s">
        <v>27</v>
      </c>
      <c r="G4" s="7" t="s">
        <v>27</v>
      </c>
      <c r="H4" s="7" t="s">
        <v>27</v>
      </c>
      <c r="I4" s="4" t="s">
        <v>27</v>
      </c>
      <c r="J4" s="4" t="s">
        <v>27</v>
      </c>
      <c r="K4" s="5" t="s">
        <v>27</v>
      </c>
      <c r="L4" s="16">
        <f>(D3+D4)/SUM(D3:D4)</f>
        <v>1</v>
      </c>
      <c r="M4" s="17"/>
      <c r="N4" s="5" t="s">
        <v>163</v>
      </c>
      <c r="O4" s="27">
        <v>0.5</v>
      </c>
      <c r="P4" s="28">
        <v>0.05</v>
      </c>
      <c r="Q4" s="29">
        <f>Q3</f>
        <v>185.95041322314049</v>
      </c>
      <c r="R4" s="30">
        <f>Q4*O4/100</f>
        <v>0.92975206611570238</v>
      </c>
      <c r="S4" s="31">
        <f>R4/P4</f>
        <v>18.595041322314046</v>
      </c>
      <c r="T4" s="32">
        <f>S4-R4</f>
        <v>17.665289256198342</v>
      </c>
    </row>
    <row r="5" spans="1:20" ht="16.5">
      <c r="A5" s="4">
        <v>3</v>
      </c>
      <c r="B5" s="4" t="s">
        <v>161</v>
      </c>
      <c r="C5" s="8" t="str">
        <f>N5</f>
        <v>80R</v>
      </c>
      <c r="D5" s="7">
        <f>S5</f>
        <v>0.92975206611570238</v>
      </c>
      <c r="E5" s="7">
        <f t="shared" si="0"/>
        <v>4.6487603305785117E-3</v>
      </c>
      <c r="F5" s="7" t="s">
        <v>27</v>
      </c>
      <c r="G5" s="7" t="s">
        <v>27</v>
      </c>
      <c r="H5" s="7" t="s">
        <v>27</v>
      </c>
      <c r="I5" s="4" t="s">
        <v>27</v>
      </c>
      <c r="J5" s="4" t="s">
        <v>27</v>
      </c>
      <c r="K5" s="5" t="s">
        <v>27</v>
      </c>
      <c r="L5" s="16">
        <f>(D4+D5)/SUM(D4:D5)</f>
        <v>1</v>
      </c>
      <c r="M5" s="17"/>
      <c r="N5" s="4" t="s">
        <v>164</v>
      </c>
      <c r="O5" s="27">
        <v>0.5</v>
      </c>
      <c r="P5" s="28">
        <v>1</v>
      </c>
      <c r="Q5" s="29">
        <f>Q4</f>
        <v>185.95041322314049</v>
      </c>
      <c r="R5" s="30">
        <f>Q5*O5/100</f>
        <v>0.92975206611570238</v>
      </c>
      <c r="S5" s="31">
        <f>R5/P5</f>
        <v>0.92975206611570238</v>
      </c>
      <c r="T5" s="32">
        <f>S5-R5</f>
        <v>0</v>
      </c>
    </row>
    <row r="6" spans="1:20" ht="33">
      <c r="A6" s="4">
        <v>4</v>
      </c>
      <c r="B6" s="4" t="s">
        <v>165</v>
      </c>
      <c r="C6" s="6" t="str">
        <f>N2</f>
        <v>FP05</v>
      </c>
      <c r="D6" s="7">
        <f>S2/2</f>
        <v>90</v>
      </c>
      <c r="E6" s="7">
        <f t="shared" si="0"/>
        <v>0.45</v>
      </c>
      <c r="F6" s="4">
        <v>20</v>
      </c>
      <c r="G6" s="4">
        <v>1000</v>
      </c>
      <c r="H6" s="4">
        <v>10</v>
      </c>
      <c r="I6" s="18" t="s">
        <v>166</v>
      </c>
      <c r="J6" s="4" t="s">
        <v>27</v>
      </c>
      <c r="K6" s="19" t="s">
        <v>167</v>
      </c>
      <c r="L6" s="16">
        <f>SUM(D3:D6)/SUM(D3:D6)</f>
        <v>1</v>
      </c>
      <c r="M6" s="20"/>
      <c r="N6" s="4" t="s">
        <v>168</v>
      </c>
      <c r="O6" s="27">
        <v>0.2</v>
      </c>
      <c r="P6" s="28">
        <v>0.25</v>
      </c>
      <c r="Q6" s="29">
        <f>Q5</f>
        <v>185.95041322314049</v>
      </c>
      <c r="R6" s="30">
        <f>Q6*O6/100</f>
        <v>0.37190082644628097</v>
      </c>
      <c r="S6" s="31">
        <f>R6/P6</f>
        <v>1.4876033057851239</v>
      </c>
      <c r="T6" s="32"/>
    </row>
    <row r="7" spans="1:20" ht="49.5">
      <c r="A7" s="4">
        <v>5</v>
      </c>
      <c r="B7" s="4" t="s">
        <v>165</v>
      </c>
      <c r="C7" s="7" t="s">
        <v>169</v>
      </c>
      <c r="D7" s="7">
        <v>61.5</v>
      </c>
      <c r="E7" s="7">
        <f t="shared" si="0"/>
        <v>0.3075</v>
      </c>
      <c r="F7" s="4">
        <v>11</v>
      </c>
      <c r="G7" s="7" t="s">
        <v>27</v>
      </c>
      <c r="H7" s="4">
        <v>15</v>
      </c>
      <c r="I7" s="18" t="s">
        <v>166</v>
      </c>
      <c r="J7" s="4" t="s">
        <v>27</v>
      </c>
      <c r="K7" s="19" t="s">
        <v>170</v>
      </c>
      <c r="L7" s="16">
        <f>SUM(D3:D6)/SUM(D3:D7)</f>
        <v>0.75015108783239326</v>
      </c>
      <c r="M7" s="17"/>
      <c r="N7" s="4"/>
      <c r="O7" s="4"/>
      <c r="P7" s="33"/>
      <c r="Q7" s="34"/>
      <c r="R7" s="4"/>
      <c r="S7" s="35"/>
      <c r="T7" s="32"/>
    </row>
    <row r="8" spans="1:20" ht="49.5">
      <c r="A8" s="4">
        <v>6</v>
      </c>
      <c r="B8" s="4" t="s">
        <v>171</v>
      </c>
      <c r="C8" s="7" t="s">
        <v>27</v>
      </c>
      <c r="D8" s="7" t="s">
        <v>27</v>
      </c>
      <c r="E8" s="7" t="s">
        <v>27</v>
      </c>
      <c r="F8" s="4">
        <v>20</v>
      </c>
      <c r="G8" s="7" t="s">
        <v>27</v>
      </c>
      <c r="H8" s="4">
        <v>45</v>
      </c>
      <c r="I8" s="18" t="s">
        <v>166</v>
      </c>
      <c r="J8" s="4" t="s">
        <v>27</v>
      </c>
      <c r="K8" s="5" t="s">
        <v>172</v>
      </c>
      <c r="L8" s="16">
        <f>L7</f>
        <v>0.75015108783239326</v>
      </c>
      <c r="M8" s="17"/>
      <c r="N8" s="4"/>
      <c r="O8" s="4"/>
      <c r="P8" s="33"/>
      <c r="Q8" s="34"/>
      <c r="R8" s="4"/>
      <c r="S8" s="35"/>
      <c r="T8" s="32"/>
    </row>
    <row r="9" spans="1:20" ht="33">
      <c r="A9" s="4">
        <v>7</v>
      </c>
      <c r="B9" s="4" t="s">
        <v>161</v>
      </c>
      <c r="C9" s="7" t="str">
        <f>N6</f>
        <v>A1001</v>
      </c>
      <c r="D9" s="7">
        <f>S6</f>
        <v>1.4876033057851239</v>
      </c>
      <c r="E9" s="7">
        <f t="shared" si="0"/>
        <v>7.4380165289256199E-3</v>
      </c>
      <c r="F9" s="7" t="s">
        <v>27</v>
      </c>
      <c r="G9" s="7" t="s">
        <v>27</v>
      </c>
      <c r="H9" s="7" t="s">
        <v>27</v>
      </c>
      <c r="I9" s="18" t="s">
        <v>166</v>
      </c>
      <c r="J9" s="4" t="s">
        <v>27</v>
      </c>
      <c r="K9" s="4" t="s">
        <v>27</v>
      </c>
      <c r="L9" s="16">
        <f>(SUM(D3:D6)+D9*P6)/SUM(D3:D9)</f>
        <v>0.74714657589106925</v>
      </c>
      <c r="M9" s="17"/>
      <c r="N9" s="4"/>
      <c r="O9" s="4"/>
      <c r="P9" s="33"/>
      <c r="Q9" s="34"/>
      <c r="R9" s="4"/>
      <c r="S9" s="35"/>
      <c r="T9" s="32"/>
    </row>
    <row r="10" spans="1:20" ht="33">
      <c r="A10" s="4">
        <v>8</v>
      </c>
      <c r="B10" s="10" t="s">
        <v>173</v>
      </c>
      <c r="C10" s="7" t="s">
        <v>169</v>
      </c>
      <c r="D10" s="31">
        <v>38</v>
      </c>
      <c r="E10" s="7">
        <f t="shared" si="0"/>
        <v>0.19</v>
      </c>
      <c r="F10" s="11">
        <v>25</v>
      </c>
      <c r="G10" s="12">
        <v>800</v>
      </c>
      <c r="H10" s="11">
        <v>20</v>
      </c>
      <c r="I10" s="18" t="s">
        <v>166</v>
      </c>
      <c r="J10" s="4" t="s">
        <v>174</v>
      </c>
      <c r="K10" s="4" t="s">
        <v>27</v>
      </c>
      <c r="L10" s="16">
        <f>(D3+D4+D5+D6+D9*P6+D11*P4)/SUM(D3:D10)</f>
        <v>0.65100399282448929</v>
      </c>
      <c r="M10" s="17"/>
      <c r="N10" s="4"/>
      <c r="O10" s="4"/>
      <c r="P10" s="33"/>
      <c r="Q10" s="34"/>
      <c r="R10" s="4"/>
      <c r="S10" s="35"/>
      <c r="T10" s="32"/>
    </row>
    <row r="11" spans="1:20" ht="33">
      <c r="A11" s="4">
        <v>9</v>
      </c>
      <c r="B11" s="10" t="s">
        <v>173</v>
      </c>
      <c r="C11" s="5" t="s">
        <v>163</v>
      </c>
      <c r="D11" s="7">
        <f>S4</f>
        <v>18.595041322314046</v>
      </c>
      <c r="E11" s="7">
        <f t="shared" si="0"/>
        <v>9.297520661157023E-2</v>
      </c>
      <c r="F11" s="11">
        <v>25</v>
      </c>
      <c r="G11" s="11">
        <v>2000</v>
      </c>
      <c r="H11" s="11">
        <v>150</v>
      </c>
      <c r="I11" s="18" t="s">
        <v>166</v>
      </c>
      <c r="J11" s="4" t="s">
        <v>174</v>
      </c>
      <c r="K11" s="5" t="s">
        <v>175</v>
      </c>
      <c r="L11" s="16">
        <f>(D3+D4+D5+D6+D9*P6+D11*P4)/SUM(D3:D11)</f>
        <v>0.611213734651744</v>
      </c>
      <c r="M11" s="17"/>
      <c r="N11" s="4"/>
      <c r="O11" s="4"/>
      <c r="P11" s="33"/>
      <c r="Q11" s="34"/>
      <c r="R11" s="4"/>
      <c r="S11" s="35"/>
      <c r="T11" s="32"/>
    </row>
    <row r="12" spans="1:20" ht="33">
      <c r="A12" s="4">
        <v>10</v>
      </c>
      <c r="B12" s="4" t="s">
        <v>176</v>
      </c>
      <c r="C12" s="7" t="s">
        <v>169</v>
      </c>
      <c r="D12" s="4" t="s">
        <v>27</v>
      </c>
      <c r="E12" s="4" t="s">
        <v>27</v>
      </c>
      <c r="F12" s="4">
        <v>25</v>
      </c>
      <c r="G12" s="4">
        <v>2000</v>
      </c>
      <c r="H12" s="4">
        <v>30</v>
      </c>
      <c r="I12" s="18" t="s">
        <v>166</v>
      </c>
      <c r="J12" s="4" t="s">
        <v>174</v>
      </c>
      <c r="K12" s="22" t="s">
        <v>177</v>
      </c>
      <c r="L12" s="16" t="s">
        <v>27</v>
      </c>
      <c r="M12" s="17"/>
      <c r="N12" s="23" t="s">
        <v>144</v>
      </c>
      <c r="O12" s="36">
        <f>180/O2*100</f>
        <v>185.95041322314049</v>
      </c>
      <c r="P12" s="37"/>
      <c r="Q12" s="37"/>
      <c r="R12" s="4"/>
      <c r="S12" s="38"/>
      <c r="T12" s="32"/>
    </row>
    <row r="13" spans="1:20" ht="50.25" customHeight="1">
      <c r="A13" s="4">
        <v>11</v>
      </c>
      <c r="B13" s="4" t="s">
        <v>178</v>
      </c>
      <c r="C13" s="5" t="s">
        <v>27</v>
      </c>
      <c r="D13" s="7" t="s">
        <v>27</v>
      </c>
      <c r="E13" s="4" t="s">
        <v>27</v>
      </c>
      <c r="F13" s="4">
        <v>10</v>
      </c>
      <c r="G13" s="7" t="s">
        <v>27</v>
      </c>
      <c r="H13" s="11">
        <v>30</v>
      </c>
      <c r="I13" s="18" t="s">
        <v>166</v>
      </c>
      <c r="J13" s="4" t="s">
        <v>174</v>
      </c>
      <c r="K13" s="5" t="s">
        <v>179</v>
      </c>
      <c r="L13" s="16" t="s">
        <v>27</v>
      </c>
      <c r="M13" s="17"/>
    </row>
  </sheetData>
  <mergeCells count="1">
    <mergeCell ref="A1:K1"/>
  </mergeCells>
  <phoneticPr fontId="38" type="noConversion"/>
  <printOptions horizontalCentered="1" verticalCentered="1"/>
  <pageMargins left="0.70866141732283505" right="0.70866141732283505" top="0.74803149606299202" bottom="0.74803149606299202" header="0.31496062992126" footer="0.31496062992126"/>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V22"/>
  <sheetViews>
    <sheetView topLeftCell="B1" zoomScale="55" zoomScaleNormal="55" workbookViewId="0">
      <selection activeCell="O16" sqref="O16"/>
    </sheetView>
  </sheetViews>
  <sheetFormatPr defaultColWidth="9.90625" defaultRowHeight="14"/>
  <cols>
    <col min="1" max="1" width="3.08984375" style="163" customWidth="1"/>
    <col min="2" max="2" width="11.453125" style="163" customWidth="1"/>
    <col min="3" max="3" width="13.90625" style="163" customWidth="1"/>
    <col min="4" max="4" width="13.08984375" style="163" customWidth="1"/>
    <col min="5" max="5" width="12.36328125" style="164" customWidth="1"/>
    <col min="6" max="6" width="11" style="163" customWidth="1"/>
    <col min="7" max="7" width="11.08984375" style="163" customWidth="1"/>
    <col min="8" max="8" width="9.6328125" style="163" customWidth="1"/>
    <col min="9" max="9" width="11.08984375" style="163" customWidth="1"/>
    <col min="10" max="10" width="22.6328125" style="163" customWidth="1"/>
    <col min="11" max="11" width="9.90625" style="163"/>
    <col min="12" max="12" width="30.6328125" style="163" customWidth="1"/>
    <col min="13" max="14" width="9.90625" style="163"/>
    <col min="15" max="15" width="14.08984375" style="163" bestFit="1" customWidth="1"/>
    <col min="16" max="21" width="9.90625" style="163"/>
    <col min="22" max="22" width="9.90625" style="165"/>
    <col min="23" max="16384" width="9.90625" style="163"/>
  </cols>
  <sheetData>
    <row r="1" spans="2:22" s="110" customFormat="1" ht="28" customHeight="1">
      <c r="B1" s="111" t="s">
        <v>202</v>
      </c>
      <c r="C1" s="111"/>
      <c r="D1" s="111" t="s">
        <v>203</v>
      </c>
      <c r="E1" s="111" t="s">
        <v>204</v>
      </c>
      <c r="F1" s="111" t="s">
        <v>205</v>
      </c>
      <c r="G1" s="112">
        <f>P13/M18</f>
        <v>287.50155118924511</v>
      </c>
      <c r="H1" s="111"/>
      <c r="I1" s="111" t="s">
        <v>143</v>
      </c>
      <c r="J1" s="113">
        <f>M18</f>
        <v>0.6474494090225672</v>
      </c>
      <c r="K1" s="114"/>
      <c r="L1" s="114"/>
      <c r="M1" s="114"/>
      <c r="V1" s="115"/>
    </row>
    <row r="2" spans="2:22" s="110" customFormat="1" ht="30" customHeight="1">
      <c r="B2" s="116" t="s">
        <v>206</v>
      </c>
      <c r="C2" s="27" t="str">
        <f>O7</f>
        <v>FP05</v>
      </c>
      <c r="D2" s="117" t="str">
        <f>O8</f>
        <v>HEVER701</v>
      </c>
      <c r="E2" s="117" t="s">
        <v>207</v>
      </c>
      <c r="F2" s="27" t="s">
        <v>208</v>
      </c>
      <c r="G2" s="111" t="str">
        <f>O12</f>
        <v>A1001</v>
      </c>
      <c r="H2" s="114"/>
      <c r="I2" s="111" t="s">
        <v>209</v>
      </c>
      <c r="J2" s="111" t="s">
        <v>210</v>
      </c>
      <c r="K2" s="114"/>
      <c r="L2" s="114"/>
      <c r="M2" s="114"/>
      <c r="V2" s="115"/>
    </row>
    <row r="3" spans="2:22" s="110" customFormat="1" ht="26.5" customHeight="1">
      <c r="B3" s="116" t="s">
        <v>211</v>
      </c>
      <c r="C3" s="118">
        <v>0.96699999999999997</v>
      </c>
      <c r="D3" s="118">
        <v>0.02</v>
      </c>
      <c r="E3" s="118">
        <v>5.0000000000000001E-3</v>
      </c>
      <c r="F3" s="118">
        <v>5.0000000000000001E-3</v>
      </c>
      <c r="G3" s="119">
        <v>3.0000000000000001E-3</v>
      </c>
      <c r="H3" s="114"/>
      <c r="I3" s="111" t="s">
        <v>212</v>
      </c>
      <c r="J3" s="111">
        <v>20</v>
      </c>
      <c r="K3" s="114"/>
      <c r="L3" s="114"/>
      <c r="M3" s="114"/>
      <c r="V3" s="115"/>
    </row>
    <row r="4" spans="2:22" s="110" customFormat="1" ht="28" customHeight="1">
      <c r="B4" s="116" t="s">
        <v>213</v>
      </c>
      <c r="C4" s="28">
        <v>1</v>
      </c>
      <c r="D4" s="28">
        <v>1</v>
      </c>
      <c r="E4" s="28">
        <f>Q9</f>
        <v>0.05</v>
      </c>
      <c r="F4" s="28">
        <v>1</v>
      </c>
      <c r="G4" s="120">
        <f>Q12</f>
        <v>0.25</v>
      </c>
      <c r="H4" s="114"/>
      <c r="I4" s="111"/>
      <c r="J4" s="111"/>
      <c r="K4" s="114"/>
      <c r="L4" s="114"/>
      <c r="M4" s="114"/>
      <c r="V4" s="115"/>
    </row>
    <row r="5" spans="2:22" s="110" customFormat="1" ht="15" thickBot="1">
      <c r="B5" s="121"/>
      <c r="C5" s="122"/>
      <c r="D5" s="123"/>
      <c r="E5" s="123"/>
      <c r="F5" s="123"/>
      <c r="G5" s="123"/>
      <c r="H5" s="124"/>
      <c r="I5" s="125"/>
      <c r="J5" s="126"/>
      <c r="K5" s="127"/>
      <c r="L5" s="127"/>
      <c r="M5" s="127"/>
      <c r="V5" s="115"/>
    </row>
    <row r="6" spans="2:22" s="110" customFormat="1" ht="20">
      <c r="B6" s="424" t="s">
        <v>214</v>
      </c>
      <c r="C6" s="425"/>
      <c r="D6" s="425"/>
      <c r="E6" s="425"/>
      <c r="F6" s="425"/>
      <c r="G6" s="425"/>
      <c r="H6" s="425"/>
      <c r="I6" s="425"/>
      <c r="J6" s="425"/>
      <c r="K6" s="425"/>
      <c r="L6" s="425"/>
      <c r="M6" s="426"/>
      <c r="O6" s="27"/>
      <c r="P6" s="128" t="s">
        <v>215</v>
      </c>
      <c r="Q6" s="128" t="s">
        <v>216</v>
      </c>
      <c r="R6" s="128" t="s">
        <v>217</v>
      </c>
      <c r="S6" s="128" t="s">
        <v>218</v>
      </c>
      <c r="T6" s="129" t="s">
        <v>219</v>
      </c>
      <c r="U6" s="128" t="s">
        <v>220</v>
      </c>
      <c r="V6" s="115"/>
    </row>
    <row r="7" spans="2:22" s="110" customFormat="1" ht="16.5">
      <c r="B7" s="130" t="s">
        <v>221</v>
      </c>
      <c r="C7" s="131" t="s">
        <v>222</v>
      </c>
      <c r="D7" s="132" t="s">
        <v>223</v>
      </c>
      <c r="E7" s="131" t="s">
        <v>224</v>
      </c>
      <c r="F7" s="131" t="s">
        <v>225</v>
      </c>
      <c r="G7" s="131" t="s">
        <v>226</v>
      </c>
      <c r="H7" s="131" t="s">
        <v>227</v>
      </c>
      <c r="I7" s="131" t="s">
        <v>228</v>
      </c>
      <c r="J7" s="131" t="s">
        <v>229</v>
      </c>
      <c r="K7" s="131" t="s">
        <v>230</v>
      </c>
      <c r="L7" s="132" t="s">
        <v>231</v>
      </c>
      <c r="M7" s="133" t="s">
        <v>216</v>
      </c>
      <c r="O7" s="27" t="s">
        <v>232</v>
      </c>
      <c r="P7" s="27">
        <v>96.7</v>
      </c>
      <c r="Q7" s="28">
        <v>1</v>
      </c>
      <c r="R7" s="134">
        <f>P13</f>
        <v>186.14270941054809</v>
      </c>
      <c r="S7" s="135">
        <f t="shared" ref="S7:S12" si="0">R7*P7/100</f>
        <v>180</v>
      </c>
      <c r="T7" s="31">
        <f>P7/100/Q7*R7</f>
        <v>180.00000000000003</v>
      </c>
      <c r="U7" s="136">
        <f t="shared" ref="U7:U12" si="1">T7-S7</f>
        <v>0</v>
      </c>
      <c r="V7" s="115"/>
    </row>
    <row r="8" spans="2:22" s="110" customFormat="1" ht="16.5">
      <c r="B8" s="130">
        <v>1</v>
      </c>
      <c r="C8" s="131" t="s">
        <v>190</v>
      </c>
      <c r="D8" s="137" t="str">
        <f>O7</f>
        <v>FP05</v>
      </c>
      <c r="E8" s="138">
        <v>90</v>
      </c>
      <c r="F8" s="138">
        <f>E8*0.2%</f>
        <v>0.18</v>
      </c>
      <c r="G8" s="138" t="s">
        <v>233</v>
      </c>
      <c r="H8" s="138" t="s">
        <v>233</v>
      </c>
      <c r="I8" s="138" t="s">
        <v>234</v>
      </c>
      <c r="J8" s="131" t="s">
        <v>233</v>
      </c>
      <c r="K8" s="131" t="s">
        <v>186</v>
      </c>
      <c r="L8" s="132" t="s">
        <v>234</v>
      </c>
      <c r="M8" s="139">
        <f>E8/E8</f>
        <v>1</v>
      </c>
      <c r="O8" s="117" t="s">
        <v>235</v>
      </c>
      <c r="P8" s="27">
        <v>2</v>
      </c>
      <c r="Q8" s="28">
        <v>1</v>
      </c>
      <c r="R8" s="134">
        <f>R7</f>
        <v>186.14270941054809</v>
      </c>
      <c r="S8" s="135">
        <f t="shared" si="0"/>
        <v>3.7228541882109618</v>
      </c>
      <c r="T8" s="31">
        <f>P8/100/Q8*R8</f>
        <v>3.7228541882109618</v>
      </c>
      <c r="U8" s="136">
        <f t="shared" si="1"/>
        <v>0</v>
      </c>
      <c r="V8" s="115"/>
    </row>
    <row r="9" spans="2:22" s="110" customFormat="1" ht="28">
      <c r="B9" s="130">
        <v>2</v>
      </c>
      <c r="C9" s="131" t="s">
        <v>236</v>
      </c>
      <c r="D9" s="137" t="str">
        <f>D2</f>
        <v>HEVER701</v>
      </c>
      <c r="E9" s="138">
        <f>T8</f>
        <v>3.7228541882109618</v>
      </c>
      <c r="F9" s="138">
        <f>0.01</f>
        <v>0.01</v>
      </c>
      <c r="G9" s="138" t="s">
        <v>237</v>
      </c>
      <c r="H9" s="138" t="s">
        <v>233</v>
      </c>
      <c r="I9" s="138" t="s">
        <v>237</v>
      </c>
      <c r="J9" s="131" t="s">
        <v>237</v>
      </c>
      <c r="K9" s="131" t="s">
        <v>237</v>
      </c>
      <c r="L9" s="132" t="s">
        <v>237</v>
      </c>
      <c r="M9" s="139">
        <f>(E8+E9)/SUM(E8:E9)</f>
        <v>1</v>
      </c>
      <c r="O9" s="117" t="s">
        <v>238</v>
      </c>
      <c r="P9" s="27">
        <v>0.5</v>
      </c>
      <c r="Q9" s="28">
        <v>0.05</v>
      </c>
      <c r="R9" s="134">
        <f>R8</f>
        <v>186.14270941054809</v>
      </c>
      <c r="S9" s="135">
        <f t="shared" si="0"/>
        <v>0.93071354705274045</v>
      </c>
      <c r="T9" s="31">
        <f>S9/Q9</f>
        <v>18.614270941054809</v>
      </c>
      <c r="U9" s="136">
        <f t="shared" si="1"/>
        <v>17.683557394002069</v>
      </c>
      <c r="V9" s="115"/>
    </row>
    <row r="10" spans="2:22" s="110" customFormat="1" ht="16.5">
      <c r="B10" s="130">
        <v>3</v>
      </c>
      <c r="C10" s="131" t="s">
        <v>236</v>
      </c>
      <c r="D10" s="138" t="str">
        <f>O10</f>
        <v>SP</v>
      </c>
      <c r="E10" s="138">
        <f>T10</f>
        <v>0.93071354705274045</v>
      </c>
      <c r="F10" s="138">
        <f>0.01</f>
        <v>0.01</v>
      </c>
      <c r="G10" s="138" t="s">
        <v>237</v>
      </c>
      <c r="H10" s="138" t="s">
        <v>237</v>
      </c>
      <c r="I10" s="138" t="s">
        <v>237</v>
      </c>
      <c r="J10" s="131" t="s">
        <v>237</v>
      </c>
      <c r="K10" s="131" t="s">
        <v>233</v>
      </c>
      <c r="L10" s="132" t="s">
        <v>233</v>
      </c>
      <c r="M10" s="139">
        <f>(E9+E10)/SUM(E9:E10)</f>
        <v>1</v>
      </c>
      <c r="O10" s="27" t="s">
        <v>239</v>
      </c>
      <c r="P10" s="27">
        <v>0.5</v>
      </c>
      <c r="Q10" s="28">
        <v>1</v>
      </c>
      <c r="R10" s="134">
        <f>R9</f>
        <v>186.14270941054809</v>
      </c>
      <c r="S10" s="135">
        <f t="shared" si="0"/>
        <v>0.93071354705274045</v>
      </c>
      <c r="T10" s="31">
        <f>S10/Q10</f>
        <v>0.93071354705274045</v>
      </c>
      <c r="U10" s="136">
        <f t="shared" si="1"/>
        <v>0</v>
      </c>
      <c r="V10" s="115"/>
    </row>
    <row r="11" spans="2:22" s="110" customFormat="1" ht="33">
      <c r="B11" s="130">
        <v>4</v>
      </c>
      <c r="C11" s="131" t="s">
        <v>240</v>
      </c>
      <c r="D11" s="137" t="str">
        <f>O7</f>
        <v>FP05</v>
      </c>
      <c r="E11" s="138">
        <f>T7/2</f>
        <v>90.000000000000014</v>
      </c>
      <c r="F11" s="138">
        <f>E11*0.2%</f>
        <v>0.18000000000000002</v>
      </c>
      <c r="G11" s="131">
        <v>20</v>
      </c>
      <c r="H11" s="131">
        <v>1000</v>
      </c>
      <c r="I11" s="131">
        <v>10</v>
      </c>
      <c r="J11" s="140" t="s">
        <v>189</v>
      </c>
      <c r="K11" s="131" t="s">
        <v>186</v>
      </c>
      <c r="L11" s="132" t="s">
        <v>241</v>
      </c>
      <c r="M11" s="139">
        <f>SUM(E8:E11)/SUM(E8:E11)</f>
        <v>1</v>
      </c>
      <c r="O11" s="27"/>
      <c r="P11" s="27"/>
      <c r="Q11" s="28"/>
      <c r="R11" s="134"/>
      <c r="S11" s="135"/>
      <c r="T11" s="31"/>
      <c r="U11" s="136"/>
      <c r="V11" s="115"/>
    </row>
    <row r="12" spans="2:22" s="110" customFormat="1" ht="33">
      <c r="B12" s="130">
        <v>5</v>
      </c>
      <c r="C12" s="131" t="s">
        <v>242</v>
      </c>
      <c r="D12" s="138" t="s">
        <v>243</v>
      </c>
      <c r="E12" s="141">
        <v>68</v>
      </c>
      <c r="F12" s="138">
        <f>E12*0.2%</f>
        <v>0.13600000000000001</v>
      </c>
      <c r="G12" s="131">
        <v>5</v>
      </c>
      <c r="H12" s="138" t="s">
        <v>244</v>
      </c>
      <c r="I12" s="131">
        <v>5</v>
      </c>
      <c r="J12" s="140" t="s">
        <v>245</v>
      </c>
      <c r="K12" s="131" t="s">
        <v>244</v>
      </c>
      <c r="L12" s="132" t="s">
        <v>246</v>
      </c>
      <c r="M12" s="139">
        <f>SUM(E8:E11)/SUM(E8:E12)</f>
        <v>0.73085675927896665</v>
      </c>
      <c r="O12" s="27" t="s">
        <v>194</v>
      </c>
      <c r="P12" s="27">
        <v>0.3</v>
      </c>
      <c r="Q12" s="28">
        <v>0.25</v>
      </c>
      <c r="R12" s="134">
        <f>R10</f>
        <v>186.14270941054809</v>
      </c>
      <c r="S12" s="135">
        <f t="shared" si="0"/>
        <v>0.55842812823164434</v>
      </c>
      <c r="T12" s="31">
        <f>S12/Q12</f>
        <v>2.2337125129265774</v>
      </c>
      <c r="U12" s="142">
        <f t="shared" si="1"/>
        <v>1.675284384694933</v>
      </c>
      <c r="V12" s="115"/>
    </row>
    <row r="13" spans="2:22" s="110" customFormat="1" ht="33">
      <c r="B13" s="130">
        <v>6</v>
      </c>
      <c r="C13" s="131" t="s">
        <v>247</v>
      </c>
      <c r="D13" s="138" t="s">
        <v>244</v>
      </c>
      <c r="E13" s="138" t="s">
        <v>237</v>
      </c>
      <c r="F13" s="138" t="s">
        <v>244</v>
      </c>
      <c r="G13" s="131">
        <v>15</v>
      </c>
      <c r="H13" s="138" t="s">
        <v>244</v>
      </c>
      <c r="I13" s="131">
        <v>15</v>
      </c>
      <c r="J13" s="140" t="s">
        <v>189</v>
      </c>
      <c r="K13" s="131" t="s">
        <v>237</v>
      </c>
      <c r="L13" s="132" t="s">
        <v>248</v>
      </c>
      <c r="M13" s="139">
        <f>M12</f>
        <v>0.73085675927896665</v>
      </c>
      <c r="O13" s="128" t="s">
        <v>249</v>
      </c>
      <c r="P13" s="134">
        <f>90/P7*200</f>
        <v>186.14270941054809</v>
      </c>
      <c r="Q13" s="143"/>
      <c r="R13" s="143"/>
      <c r="S13" s="27"/>
      <c r="T13" s="144"/>
      <c r="U13" s="136"/>
      <c r="V13" s="115"/>
    </row>
    <row r="14" spans="2:22" s="110" customFormat="1" ht="33">
      <c r="B14" s="130">
        <v>7</v>
      </c>
      <c r="C14" s="131" t="s">
        <v>250</v>
      </c>
      <c r="D14" s="138" t="s">
        <v>244</v>
      </c>
      <c r="E14" s="138" t="s">
        <v>186</v>
      </c>
      <c r="F14" s="138" t="s">
        <v>244</v>
      </c>
      <c r="G14" s="131">
        <v>20</v>
      </c>
      <c r="H14" s="138" t="s">
        <v>237</v>
      </c>
      <c r="I14" s="131">
        <v>45</v>
      </c>
      <c r="J14" s="140" t="s">
        <v>251</v>
      </c>
      <c r="K14" s="131" t="s">
        <v>237</v>
      </c>
      <c r="L14" s="132" t="s">
        <v>248</v>
      </c>
      <c r="M14" s="139">
        <f>M13</f>
        <v>0.73085675927896665</v>
      </c>
      <c r="O14" s="145"/>
      <c r="P14" s="146"/>
      <c r="Q14" s="147"/>
      <c r="R14" s="147"/>
      <c r="S14" s="148"/>
      <c r="T14" s="149"/>
      <c r="U14" s="150"/>
      <c r="V14" s="115"/>
    </row>
    <row r="15" spans="2:22" s="110" customFormat="1" ht="33">
      <c r="B15" s="130">
        <v>8</v>
      </c>
      <c r="C15" s="131" t="s">
        <v>191</v>
      </c>
      <c r="D15" s="138" t="s">
        <v>252</v>
      </c>
      <c r="E15" s="138">
        <v>4</v>
      </c>
      <c r="F15" s="138">
        <f>0.01</f>
        <v>0.01</v>
      </c>
      <c r="G15" s="151">
        <v>20</v>
      </c>
      <c r="H15" s="152">
        <v>200</v>
      </c>
      <c r="I15" s="151">
        <v>30</v>
      </c>
      <c r="J15" s="140" t="s">
        <v>251</v>
      </c>
      <c r="K15" s="131" t="s">
        <v>237</v>
      </c>
      <c r="L15" s="132" t="s">
        <v>248</v>
      </c>
      <c r="M15" s="139">
        <f>(E8+E9+E10+E11)/SUM(E8:E15)</f>
        <v>0.7194662024949231</v>
      </c>
      <c r="V15" s="115"/>
    </row>
    <row r="16" spans="2:22" s="110" customFormat="1" ht="50.25" customHeight="1">
      <c r="B16" s="130">
        <v>9</v>
      </c>
      <c r="C16" s="131" t="s">
        <v>190</v>
      </c>
      <c r="D16" s="138" t="str">
        <f>O12</f>
        <v>A1001</v>
      </c>
      <c r="E16" s="138">
        <f>T12</f>
        <v>2.2337125129265774</v>
      </c>
      <c r="F16" s="138">
        <f>0.01</f>
        <v>0.01</v>
      </c>
      <c r="G16" s="138" t="s">
        <v>186</v>
      </c>
      <c r="H16" s="138" t="s">
        <v>237</v>
      </c>
      <c r="I16" s="138" t="s">
        <v>237</v>
      </c>
      <c r="J16" s="140" t="s">
        <v>189</v>
      </c>
      <c r="K16" s="131" t="s">
        <v>253</v>
      </c>
      <c r="L16" s="132"/>
      <c r="M16" s="139">
        <f>(E8+E9+E10+E11+E16*Q12)/SUM(E8:E16)</f>
        <v>0.71541558815070472</v>
      </c>
      <c r="V16" s="115"/>
    </row>
    <row r="17" spans="2:22" s="110" customFormat="1" ht="33">
      <c r="B17" s="130">
        <v>10</v>
      </c>
      <c r="C17" s="131" t="s">
        <v>173</v>
      </c>
      <c r="D17" s="138" t="s">
        <v>193</v>
      </c>
      <c r="E17" s="138">
        <v>10</v>
      </c>
      <c r="F17" s="138">
        <f>0.01</f>
        <v>0.01</v>
      </c>
      <c r="G17" s="151">
        <v>25</v>
      </c>
      <c r="H17" s="151">
        <v>1500</v>
      </c>
      <c r="I17" s="151">
        <v>20</v>
      </c>
      <c r="J17" s="140" t="s">
        <v>245</v>
      </c>
      <c r="K17" s="131" t="s">
        <v>253</v>
      </c>
      <c r="L17" s="132"/>
      <c r="M17" s="139">
        <f>(E8+E9+E10+E11+E16*Q12)/SUM(E8:E17)</f>
        <v>0.68880906412731624</v>
      </c>
      <c r="V17" s="115"/>
    </row>
    <row r="18" spans="2:22" s="110" customFormat="1" ht="33">
      <c r="B18" s="130">
        <v>11</v>
      </c>
      <c r="C18" s="131" t="s">
        <v>173</v>
      </c>
      <c r="D18" s="132" t="str">
        <f>O9</f>
        <v>CNT
(LB122-50</v>
      </c>
      <c r="E18" s="138">
        <f>T9</f>
        <v>18.614270941054809</v>
      </c>
      <c r="F18" s="138">
        <f>E18*0.2%</f>
        <v>3.7228541882109618E-2</v>
      </c>
      <c r="G18" s="131">
        <v>25</v>
      </c>
      <c r="H18" s="131">
        <v>2000</v>
      </c>
      <c r="I18" s="131">
        <v>150</v>
      </c>
      <c r="J18" s="140" t="s">
        <v>251</v>
      </c>
      <c r="K18" s="131" t="s">
        <v>253</v>
      </c>
      <c r="L18" s="132"/>
      <c r="M18" s="139">
        <f>(E8+E9+E10+E11+E16*Q12+E18*Q9)/SUM(E8:E18)</f>
        <v>0.6474494090225672</v>
      </c>
      <c r="V18" s="115"/>
    </row>
    <row r="19" spans="2:22" s="110" customFormat="1" ht="33">
      <c r="B19" s="130">
        <v>12</v>
      </c>
      <c r="C19" s="131" t="s">
        <v>254</v>
      </c>
      <c r="D19" s="138" t="s">
        <v>243</v>
      </c>
      <c r="E19" s="131" t="s">
        <v>186</v>
      </c>
      <c r="F19" s="131" t="s">
        <v>186</v>
      </c>
      <c r="G19" s="131">
        <v>25</v>
      </c>
      <c r="H19" s="131">
        <v>2000</v>
      </c>
      <c r="I19" s="131">
        <v>30</v>
      </c>
      <c r="J19" s="140" t="s">
        <v>189</v>
      </c>
      <c r="K19" s="131" t="s">
        <v>255</v>
      </c>
      <c r="L19" s="153" t="s">
        <v>256</v>
      </c>
      <c r="M19" s="139" t="s">
        <v>186</v>
      </c>
      <c r="V19" s="115"/>
    </row>
    <row r="20" spans="2:22" s="110" customFormat="1" ht="33.5" thickBot="1">
      <c r="B20" s="130">
        <v>13</v>
      </c>
      <c r="C20" s="154" t="s">
        <v>257</v>
      </c>
      <c r="D20" s="154" t="s">
        <v>237</v>
      </c>
      <c r="E20" s="155" t="s">
        <v>237</v>
      </c>
      <c r="F20" s="156" t="s">
        <v>244</v>
      </c>
      <c r="G20" s="156">
        <v>11</v>
      </c>
      <c r="H20" s="155" t="s">
        <v>244</v>
      </c>
      <c r="I20" s="157">
        <v>30</v>
      </c>
      <c r="J20" s="158" t="s">
        <v>251</v>
      </c>
      <c r="K20" s="156" t="s">
        <v>258</v>
      </c>
      <c r="L20" s="154" t="s">
        <v>259</v>
      </c>
      <c r="M20" s="159" t="s">
        <v>244</v>
      </c>
      <c r="V20" s="115"/>
    </row>
    <row r="21" spans="2:22" s="110" customFormat="1" ht="15" thickBot="1">
      <c r="B21" s="160"/>
      <c r="C21" s="161"/>
      <c r="D21" s="161"/>
      <c r="E21" s="161"/>
      <c r="F21" s="161"/>
      <c r="G21" s="161"/>
      <c r="H21" s="161"/>
      <c r="I21" s="161"/>
      <c r="J21" s="161"/>
      <c r="K21" s="161"/>
      <c r="L21" s="161"/>
      <c r="M21" s="162"/>
      <c r="V21" s="115"/>
    </row>
    <row r="22" spans="2:22" s="110" customFormat="1">
      <c r="B22" s="163"/>
      <c r="C22" s="163"/>
      <c r="D22" s="163"/>
      <c r="E22" s="164"/>
      <c r="F22" s="163"/>
      <c r="G22" s="163"/>
      <c r="H22" s="163"/>
      <c r="I22" s="163"/>
      <c r="J22" s="163"/>
      <c r="K22" s="163"/>
      <c r="L22" s="163"/>
      <c r="M22" s="163"/>
      <c r="V22" s="115"/>
    </row>
  </sheetData>
  <mergeCells count="1">
    <mergeCell ref="B6:M6"/>
  </mergeCells>
  <phoneticPr fontId="3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2"/>
  <sheetViews>
    <sheetView view="pageBreakPreview" zoomScale="55" zoomScaleNormal="55" zoomScaleSheetLayoutView="55" workbookViewId="0">
      <selection activeCell="O16" sqref="O16"/>
    </sheetView>
  </sheetViews>
  <sheetFormatPr defaultColWidth="9.90625" defaultRowHeight="14"/>
  <cols>
    <col min="1" max="1" width="3.08984375" style="163" customWidth="1"/>
    <col min="2" max="2" width="11.453125" style="163" customWidth="1"/>
    <col min="3" max="3" width="13.90625" style="163" customWidth="1"/>
    <col min="4" max="4" width="13.08984375" style="163" customWidth="1"/>
    <col min="5" max="5" width="12.36328125" style="164" customWidth="1"/>
    <col min="6" max="6" width="11" style="163" customWidth="1"/>
    <col min="7" max="7" width="11.08984375" style="163" customWidth="1"/>
    <col min="8" max="8" width="9.6328125" style="163" customWidth="1"/>
    <col min="9" max="9" width="11.08984375" style="163" customWidth="1"/>
    <col min="10" max="10" width="22.6328125" style="163" customWidth="1"/>
    <col min="11" max="11" width="9.90625" style="163"/>
    <col min="12" max="12" width="30.6328125" style="163" customWidth="1"/>
    <col min="13" max="14" width="9.90625" style="163"/>
    <col min="15" max="15" width="14.08984375" style="163" bestFit="1" customWidth="1"/>
    <col min="16" max="21" width="9.90625" style="163"/>
    <col min="22" max="22" width="9.90625" style="165"/>
    <col min="23" max="16384" width="9.90625" style="163"/>
  </cols>
  <sheetData>
    <row r="1" spans="2:22" s="110" customFormat="1" ht="18.75" customHeight="1">
      <c r="B1" s="111" t="s">
        <v>202</v>
      </c>
      <c r="C1" s="111"/>
      <c r="D1" s="111" t="s">
        <v>203</v>
      </c>
      <c r="E1" s="111" t="s">
        <v>293</v>
      </c>
      <c r="F1" s="111" t="s">
        <v>260</v>
      </c>
      <c r="G1" s="112">
        <f>P13/M18</f>
        <v>192.00103412616338</v>
      </c>
      <c r="H1" s="111" t="s">
        <v>186</v>
      </c>
      <c r="I1" s="111" t="s">
        <v>143</v>
      </c>
      <c r="J1" s="113">
        <f>M18</f>
        <v>0.64632537096383269</v>
      </c>
      <c r="K1" s="114"/>
      <c r="L1" s="114"/>
      <c r="M1" s="114"/>
      <c r="V1" s="115"/>
    </row>
    <row r="2" spans="2:22" s="110" customFormat="1" ht="28">
      <c r="B2" s="116" t="s">
        <v>206</v>
      </c>
      <c r="C2" s="27" t="str">
        <f>O7</f>
        <v>FP05</v>
      </c>
      <c r="D2" s="117" t="str">
        <f>O8</f>
        <v>HEVER701</v>
      </c>
      <c r="E2" s="117" t="s">
        <v>261</v>
      </c>
      <c r="F2" s="27" t="s">
        <v>195</v>
      </c>
      <c r="G2" s="27"/>
      <c r="H2" s="111" t="str">
        <f>O12</f>
        <v>A1001</v>
      </c>
      <c r="I2" s="111" t="s">
        <v>209</v>
      </c>
      <c r="J2" s="111" t="s">
        <v>262</v>
      </c>
      <c r="K2" s="114"/>
      <c r="L2" s="114"/>
      <c r="M2" s="114"/>
      <c r="V2" s="115"/>
    </row>
    <row r="3" spans="2:22" s="110" customFormat="1" ht="18.75" customHeight="1">
      <c r="B3" s="116" t="s">
        <v>211</v>
      </c>
      <c r="C3" s="118">
        <v>0.96699999999999997</v>
      </c>
      <c r="D3" s="118">
        <v>0.02</v>
      </c>
      <c r="E3" s="118">
        <v>5.0000000000000001E-3</v>
      </c>
      <c r="F3" s="118">
        <v>5.0000000000000001E-3</v>
      </c>
      <c r="G3" s="118"/>
      <c r="H3" s="119">
        <v>3.0000000000000001E-3</v>
      </c>
      <c r="I3" s="111" t="s">
        <v>212</v>
      </c>
      <c r="J3" s="111">
        <v>20</v>
      </c>
      <c r="K3" s="114"/>
      <c r="L3" s="114"/>
      <c r="M3" s="114"/>
      <c r="V3" s="115"/>
    </row>
    <row r="4" spans="2:22" s="110" customFormat="1" ht="18.75" customHeight="1">
      <c r="B4" s="116" t="s">
        <v>213</v>
      </c>
      <c r="C4" s="28">
        <v>1</v>
      </c>
      <c r="D4" s="28">
        <v>1</v>
      </c>
      <c r="E4" s="28">
        <f>Q9</f>
        <v>0.05</v>
      </c>
      <c r="F4" s="28">
        <v>1</v>
      </c>
      <c r="G4" s="28"/>
      <c r="H4" s="120">
        <f>Q12</f>
        <v>0.25</v>
      </c>
      <c r="I4" s="111"/>
      <c r="J4" s="111"/>
      <c r="K4" s="114"/>
      <c r="L4" s="114"/>
      <c r="M4" s="114"/>
      <c r="V4" s="115"/>
    </row>
    <row r="5" spans="2:22" s="110" customFormat="1" ht="9" customHeight="1" thickBot="1">
      <c r="B5" s="121"/>
      <c r="C5" s="122"/>
      <c r="D5" s="123"/>
      <c r="E5" s="123"/>
      <c r="F5" s="123"/>
      <c r="G5" s="123"/>
      <c r="H5" s="124"/>
      <c r="I5" s="125"/>
      <c r="J5" s="126"/>
      <c r="K5" s="127"/>
      <c r="L5" s="127"/>
      <c r="M5" s="127"/>
      <c r="V5" s="115"/>
    </row>
    <row r="6" spans="2:22" s="110" customFormat="1" ht="21.75" customHeight="1">
      <c r="B6" s="424" t="s">
        <v>263</v>
      </c>
      <c r="C6" s="425"/>
      <c r="D6" s="425"/>
      <c r="E6" s="425"/>
      <c r="F6" s="425"/>
      <c r="G6" s="425"/>
      <c r="H6" s="425"/>
      <c r="I6" s="425"/>
      <c r="J6" s="425"/>
      <c r="K6" s="425"/>
      <c r="L6" s="425"/>
      <c r="M6" s="426"/>
      <c r="O6" s="27"/>
      <c r="P6" s="128" t="s">
        <v>264</v>
      </c>
      <c r="Q6" s="128" t="s">
        <v>265</v>
      </c>
      <c r="R6" s="128" t="s">
        <v>249</v>
      </c>
      <c r="S6" s="128" t="s">
        <v>266</v>
      </c>
      <c r="T6" s="129" t="s">
        <v>267</v>
      </c>
      <c r="U6" s="128" t="s">
        <v>268</v>
      </c>
      <c r="V6" s="115"/>
    </row>
    <row r="7" spans="2:22" s="110" customFormat="1" ht="18.75" customHeight="1">
      <c r="B7" s="130" t="s">
        <v>269</v>
      </c>
      <c r="C7" s="131" t="s">
        <v>270</v>
      </c>
      <c r="D7" s="132" t="s">
        <v>271</v>
      </c>
      <c r="E7" s="131" t="s">
        <v>272</v>
      </c>
      <c r="F7" s="131" t="s">
        <v>273</v>
      </c>
      <c r="G7" s="131" t="s">
        <v>274</v>
      </c>
      <c r="H7" s="131" t="s">
        <v>275</v>
      </c>
      <c r="I7" s="131" t="s">
        <v>276</v>
      </c>
      <c r="J7" s="131" t="s">
        <v>277</v>
      </c>
      <c r="K7" s="131" t="s">
        <v>278</v>
      </c>
      <c r="L7" s="132" t="s">
        <v>279</v>
      </c>
      <c r="M7" s="133" t="s">
        <v>280</v>
      </c>
      <c r="O7" s="27" t="s">
        <v>281</v>
      </c>
      <c r="P7" s="27">
        <v>96.7</v>
      </c>
      <c r="Q7" s="28">
        <v>1</v>
      </c>
      <c r="R7" s="134">
        <f>P13</f>
        <v>124.09513960703205</v>
      </c>
      <c r="S7" s="135">
        <f t="shared" ref="S7:S12" si="0">R7*P7/100</f>
        <v>120</v>
      </c>
      <c r="T7" s="31">
        <f>P7/100/Q7*R7</f>
        <v>120</v>
      </c>
      <c r="U7" s="136">
        <f t="shared" ref="U7:U12" si="1">T7-S7</f>
        <v>0</v>
      </c>
      <c r="V7" s="115"/>
    </row>
    <row r="8" spans="2:22" s="110" customFormat="1" ht="22.5" customHeight="1">
      <c r="B8" s="130">
        <v>1</v>
      </c>
      <c r="C8" s="131" t="s">
        <v>190</v>
      </c>
      <c r="D8" s="137" t="str">
        <f>O7</f>
        <v>FP05</v>
      </c>
      <c r="E8" s="138">
        <f>E11</f>
        <v>60</v>
      </c>
      <c r="F8" s="138">
        <f>E8*0.2%</f>
        <v>0.12</v>
      </c>
      <c r="G8" s="138" t="s">
        <v>234</v>
      </c>
      <c r="H8" s="138" t="s">
        <v>234</v>
      </c>
      <c r="I8" s="138" t="s">
        <v>237</v>
      </c>
      <c r="J8" s="131" t="s">
        <v>237</v>
      </c>
      <c r="K8" s="131" t="s">
        <v>237</v>
      </c>
      <c r="L8" s="132" t="s">
        <v>237</v>
      </c>
      <c r="M8" s="139">
        <f>E8/E8</f>
        <v>1</v>
      </c>
      <c r="O8" s="117" t="s">
        <v>282</v>
      </c>
      <c r="P8" s="27">
        <v>2</v>
      </c>
      <c r="Q8" s="28">
        <v>1</v>
      </c>
      <c r="R8" s="134">
        <f>R7</f>
        <v>124.09513960703205</v>
      </c>
      <c r="S8" s="135">
        <f t="shared" si="0"/>
        <v>2.4819027921406409</v>
      </c>
      <c r="T8" s="31">
        <f>P8/100/Q8*R8</f>
        <v>2.4819027921406409</v>
      </c>
      <c r="U8" s="136">
        <f t="shared" si="1"/>
        <v>0</v>
      </c>
      <c r="V8" s="115"/>
    </row>
    <row r="9" spans="2:22" s="110" customFormat="1" ht="28">
      <c r="B9" s="130">
        <v>2</v>
      </c>
      <c r="C9" s="131" t="s">
        <v>283</v>
      </c>
      <c r="D9" s="137" t="str">
        <f>D2</f>
        <v>HEVER701</v>
      </c>
      <c r="E9" s="138">
        <f>T8</f>
        <v>2.4819027921406409</v>
      </c>
      <c r="F9" s="138">
        <f>0.01</f>
        <v>0.01</v>
      </c>
      <c r="G9" s="138" t="s">
        <v>186</v>
      </c>
      <c r="H9" s="138" t="s">
        <v>186</v>
      </c>
      <c r="I9" s="138" t="s">
        <v>186</v>
      </c>
      <c r="J9" s="131" t="s">
        <v>186</v>
      </c>
      <c r="K9" s="131" t="s">
        <v>186</v>
      </c>
      <c r="L9" s="132" t="s">
        <v>186</v>
      </c>
      <c r="M9" s="139">
        <f>(E8+E9)/SUM(E8:E9)</f>
        <v>1</v>
      </c>
      <c r="O9" s="117" t="s">
        <v>284</v>
      </c>
      <c r="P9" s="27">
        <v>0.5</v>
      </c>
      <c r="Q9" s="28">
        <v>0.05</v>
      </c>
      <c r="R9" s="134">
        <f>R8</f>
        <v>124.09513960703205</v>
      </c>
      <c r="S9" s="135">
        <f t="shared" si="0"/>
        <v>0.62047569803516023</v>
      </c>
      <c r="T9" s="31">
        <f>S9/Q9</f>
        <v>12.409513960703205</v>
      </c>
      <c r="U9" s="136">
        <f t="shared" si="1"/>
        <v>11.789038262668043</v>
      </c>
      <c r="V9" s="115"/>
    </row>
    <row r="10" spans="2:22" s="110" customFormat="1" ht="35.25" customHeight="1">
      <c r="B10" s="130">
        <v>3</v>
      </c>
      <c r="C10" s="131" t="s">
        <v>190</v>
      </c>
      <c r="D10" s="138" t="str">
        <f>O10</f>
        <v>SP</v>
      </c>
      <c r="E10" s="138">
        <f>T10</f>
        <v>0.62047569803516023</v>
      </c>
      <c r="F10" s="138">
        <f>0.01</f>
        <v>0.01</v>
      </c>
      <c r="G10" s="138" t="s">
        <v>186</v>
      </c>
      <c r="H10" s="138" t="s">
        <v>186</v>
      </c>
      <c r="I10" s="138" t="s">
        <v>186</v>
      </c>
      <c r="J10" s="131" t="s">
        <v>186</v>
      </c>
      <c r="K10" s="131" t="s">
        <v>186</v>
      </c>
      <c r="L10" s="132" t="s">
        <v>186</v>
      </c>
      <c r="M10" s="139">
        <f>(E9+E10)/SUM(E9:E10)</f>
        <v>1</v>
      </c>
      <c r="O10" s="27" t="s">
        <v>195</v>
      </c>
      <c r="P10" s="27">
        <v>0.5</v>
      </c>
      <c r="Q10" s="28">
        <v>1</v>
      </c>
      <c r="R10" s="134">
        <f>R9</f>
        <v>124.09513960703205</v>
      </c>
      <c r="S10" s="135">
        <f t="shared" si="0"/>
        <v>0.62047569803516023</v>
      </c>
      <c r="T10" s="31">
        <f>S10/Q10</f>
        <v>0.62047569803516023</v>
      </c>
      <c r="U10" s="136">
        <f t="shared" si="1"/>
        <v>0</v>
      </c>
      <c r="V10" s="115"/>
    </row>
    <row r="11" spans="2:22" s="110" customFormat="1" ht="43" customHeight="1">
      <c r="B11" s="130">
        <v>4</v>
      </c>
      <c r="C11" s="131" t="s">
        <v>240</v>
      </c>
      <c r="D11" s="137" t="str">
        <f>O7</f>
        <v>FP05</v>
      </c>
      <c r="E11" s="138">
        <f>T7/2</f>
        <v>60</v>
      </c>
      <c r="F11" s="138">
        <f>E11*0.2%</f>
        <v>0.12</v>
      </c>
      <c r="G11" s="131">
        <v>20</v>
      </c>
      <c r="H11" s="131">
        <v>1000</v>
      </c>
      <c r="I11" s="131">
        <v>10</v>
      </c>
      <c r="J11" s="140" t="s">
        <v>251</v>
      </c>
      <c r="K11" s="131" t="s">
        <v>186</v>
      </c>
      <c r="L11" s="132" t="s">
        <v>285</v>
      </c>
      <c r="M11" s="139">
        <f>SUM(E8:E11)/SUM(E8:E11)</f>
        <v>1</v>
      </c>
      <c r="O11" s="27"/>
      <c r="P11" s="27"/>
      <c r="Q11" s="28"/>
      <c r="R11" s="134"/>
      <c r="S11" s="135"/>
      <c r="T11" s="31"/>
      <c r="U11" s="136"/>
      <c r="V11" s="115"/>
    </row>
    <row r="12" spans="2:22" s="110" customFormat="1" ht="47.15" customHeight="1">
      <c r="B12" s="130">
        <v>5</v>
      </c>
      <c r="C12" s="131" t="s">
        <v>191</v>
      </c>
      <c r="D12" s="138" t="s">
        <v>193</v>
      </c>
      <c r="E12" s="141">
        <v>45</v>
      </c>
      <c r="F12" s="138">
        <f>E12*0.2%</f>
        <v>0.09</v>
      </c>
      <c r="G12" s="131">
        <v>5</v>
      </c>
      <c r="H12" s="138" t="s">
        <v>186</v>
      </c>
      <c r="I12" s="131">
        <v>15</v>
      </c>
      <c r="J12" s="140" t="s">
        <v>189</v>
      </c>
      <c r="K12" s="131" t="s">
        <v>186</v>
      </c>
      <c r="L12" s="132" t="s">
        <v>246</v>
      </c>
      <c r="M12" s="139">
        <f>SUM(E8:E11)/SUM(E8:E12)</f>
        <v>0.73230598874227182</v>
      </c>
      <c r="O12" s="27" t="s">
        <v>286</v>
      </c>
      <c r="P12" s="27">
        <v>0.3</v>
      </c>
      <c r="Q12" s="28">
        <v>0.25</v>
      </c>
      <c r="R12" s="134">
        <f>R10</f>
        <v>124.09513960703205</v>
      </c>
      <c r="S12" s="135">
        <f t="shared" si="0"/>
        <v>0.37228541882109617</v>
      </c>
      <c r="T12" s="31">
        <f>S12/Q12</f>
        <v>1.4891416752843847</v>
      </c>
      <c r="U12" s="142">
        <f t="shared" si="1"/>
        <v>1.1168562564632885</v>
      </c>
      <c r="V12" s="115"/>
    </row>
    <row r="13" spans="2:22" s="110" customFormat="1" ht="33">
      <c r="B13" s="130">
        <v>6</v>
      </c>
      <c r="C13" s="131" t="s">
        <v>250</v>
      </c>
      <c r="D13" s="138" t="s">
        <v>237</v>
      </c>
      <c r="E13" s="138" t="s">
        <v>186</v>
      </c>
      <c r="F13" s="138" t="s">
        <v>237</v>
      </c>
      <c r="G13" s="131">
        <v>15</v>
      </c>
      <c r="H13" s="138" t="s">
        <v>237</v>
      </c>
      <c r="I13" s="131">
        <v>15</v>
      </c>
      <c r="J13" s="140" t="s">
        <v>189</v>
      </c>
      <c r="K13" s="131" t="s">
        <v>186</v>
      </c>
      <c r="L13" s="132" t="s">
        <v>248</v>
      </c>
      <c r="M13" s="139">
        <f>M12</f>
        <v>0.73230598874227182</v>
      </c>
      <c r="O13" s="128" t="s">
        <v>249</v>
      </c>
      <c r="P13" s="134">
        <f>60/P7*200</f>
        <v>124.09513960703205</v>
      </c>
      <c r="Q13" s="143"/>
      <c r="R13" s="143"/>
      <c r="S13" s="27"/>
      <c r="T13" s="144"/>
      <c r="U13" s="136"/>
      <c r="V13" s="115"/>
    </row>
    <row r="14" spans="2:22" s="110" customFormat="1" ht="26.25" customHeight="1">
      <c r="B14" s="130">
        <v>7</v>
      </c>
      <c r="C14" s="131" t="s">
        <v>250</v>
      </c>
      <c r="D14" s="138" t="s">
        <v>237</v>
      </c>
      <c r="E14" s="138" t="s">
        <v>237</v>
      </c>
      <c r="F14" s="138" t="s">
        <v>186</v>
      </c>
      <c r="G14" s="131">
        <v>20</v>
      </c>
      <c r="H14" s="138" t="s">
        <v>186</v>
      </c>
      <c r="I14" s="131">
        <v>45</v>
      </c>
      <c r="J14" s="140" t="s">
        <v>251</v>
      </c>
      <c r="K14" s="131" t="s">
        <v>186</v>
      </c>
      <c r="L14" s="132" t="s">
        <v>287</v>
      </c>
      <c r="M14" s="139">
        <f>M13</f>
        <v>0.73230598874227182</v>
      </c>
      <c r="O14" s="145"/>
      <c r="P14" s="146"/>
      <c r="Q14" s="147"/>
      <c r="R14" s="147"/>
      <c r="S14" s="148"/>
      <c r="T14" s="149"/>
      <c r="U14" s="150"/>
      <c r="V14" s="115"/>
    </row>
    <row r="15" spans="2:22" s="110" customFormat="1" ht="42" customHeight="1">
      <c r="B15" s="130">
        <v>8</v>
      </c>
      <c r="C15" s="131" t="s">
        <v>191</v>
      </c>
      <c r="D15" s="138" t="s">
        <v>288</v>
      </c>
      <c r="E15" s="138">
        <v>3</v>
      </c>
      <c r="F15" s="138">
        <f>0.01</f>
        <v>0.01</v>
      </c>
      <c r="G15" s="151">
        <v>20</v>
      </c>
      <c r="H15" s="152">
        <v>1000</v>
      </c>
      <c r="I15" s="151">
        <v>30</v>
      </c>
      <c r="J15" s="140" t="s">
        <v>189</v>
      </c>
      <c r="K15" s="131" t="s">
        <v>237</v>
      </c>
      <c r="L15" s="132" t="s">
        <v>248</v>
      </c>
      <c r="M15" s="139">
        <f>(E8+E9+E10+E11)/SUM(E8:E15)</f>
        <v>0.7194662024949231</v>
      </c>
      <c r="V15" s="115"/>
    </row>
    <row r="16" spans="2:22" s="110" customFormat="1" ht="33">
      <c r="B16" s="130">
        <v>9</v>
      </c>
      <c r="C16" s="131" t="s">
        <v>283</v>
      </c>
      <c r="D16" s="138" t="str">
        <f>O12</f>
        <v>A1001</v>
      </c>
      <c r="E16" s="138">
        <f>T12</f>
        <v>1.4891416752843847</v>
      </c>
      <c r="F16" s="138">
        <f>0.01</f>
        <v>0.01</v>
      </c>
      <c r="G16" s="138" t="s">
        <v>237</v>
      </c>
      <c r="H16" s="138" t="s">
        <v>237</v>
      </c>
      <c r="I16" s="138" t="s">
        <v>289</v>
      </c>
      <c r="J16" s="140" t="s">
        <v>189</v>
      </c>
      <c r="K16" s="131" t="s">
        <v>258</v>
      </c>
      <c r="L16" s="132"/>
      <c r="M16" s="139">
        <f>(E8+E9+E10+E11+E16*Q12)/SUM(E8:E16)</f>
        <v>0.71541558815070461</v>
      </c>
      <c r="V16" s="115"/>
    </row>
    <row r="17" spans="2:22" s="110" customFormat="1" ht="29.5" customHeight="1">
      <c r="B17" s="130">
        <v>10</v>
      </c>
      <c r="C17" s="131" t="s">
        <v>173</v>
      </c>
      <c r="D17" s="138" t="s">
        <v>193</v>
      </c>
      <c r="E17" s="138">
        <v>7</v>
      </c>
      <c r="F17" s="138">
        <f>0.01</f>
        <v>0.01</v>
      </c>
      <c r="G17" s="151">
        <v>25</v>
      </c>
      <c r="H17" s="151">
        <v>1200</v>
      </c>
      <c r="I17" s="151">
        <v>15</v>
      </c>
      <c r="J17" s="140" t="s">
        <v>189</v>
      </c>
      <c r="K17" s="131" t="s">
        <v>253</v>
      </c>
      <c r="L17" s="132"/>
      <c r="M17" s="139">
        <f>(E8+E9+E10+E11+E16*Q12)/SUM(E8:E17)</f>
        <v>0.68753059050470733</v>
      </c>
      <c r="V17" s="115"/>
    </row>
    <row r="18" spans="2:22" s="110" customFormat="1" ht="34.5" customHeight="1">
      <c r="B18" s="130">
        <v>11</v>
      </c>
      <c r="C18" s="131" t="s">
        <v>173</v>
      </c>
      <c r="D18" s="132" t="str">
        <f>O9</f>
        <v>CNT
(LB122-50</v>
      </c>
      <c r="E18" s="138">
        <f>T9</f>
        <v>12.409513960703205</v>
      </c>
      <c r="F18" s="138">
        <f>E18*0.2%</f>
        <v>2.481902792140641E-2</v>
      </c>
      <c r="G18" s="131">
        <v>25</v>
      </c>
      <c r="H18" s="131">
        <v>2300</v>
      </c>
      <c r="I18" s="131">
        <v>150</v>
      </c>
      <c r="J18" s="140" t="s">
        <v>189</v>
      </c>
      <c r="K18" s="131" t="s">
        <v>253</v>
      </c>
      <c r="L18" s="132"/>
      <c r="M18" s="139">
        <f>(E8+E9+E10+E11+E16*Q12+E18*Q9)/SUM(E8:E18)</f>
        <v>0.64632537096383269</v>
      </c>
      <c r="V18" s="115"/>
    </row>
    <row r="19" spans="2:22" s="110" customFormat="1" ht="36.75" customHeight="1">
      <c r="B19" s="130">
        <v>12</v>
      </c>
      <c r="C19" s="131" t="s">
        <v>290</v>
      </c>
      <c r="D19" s="138" t="s">
        <v>193</v>
      </c>
      <c r="E19" s="131" t="s">
        <v>289</v>
      </c>
      <c r="F19" s="131" t="s">
        <v>186</v>
      </c>
      <c r="G19" s="131">
        <v>25</v>
      </c>
      <c r="H19" s="131">
        <v>2300</v>
      </c>
      <c r="I19" s="131">
        <v>30</v>
      </c>
      <c r="J19" s="140" t="s">
        <v>189</v>
      </c>
      <c r="K19" s="131" t="s">
        <v>253</v>
      </c>
      <c r="L19" s="153" t="s">
        <v>256</v>
      </c>
      <c r="M19" s="139" t="s">
        <v>186</v>
      </c>
      <c r="V19" s="115"/>
    </row>
    <row r="20" spans="2:22" s="110" customFormat="1" ht="33.5" thickBot="1">
      <c r="B20" s="130">
        <v>13</v>
      </c>
      <c r="C20" s="154" t="s">
        <v>291</v>
      </c>
      <c r="D20" s="154" t="s">
        <v>289</v>
      </c>
      <c r="E20" s="155" t="s">
        <v>237</v>
      </c>
      <c r="F20" s="156" t="s">
        <v>289</v>
      </c>
      <c r="G20" s="156">
        <v>11</v>
      </c>
      <c r="H20" s="155" t="s">
        <v>186</v>
      </c>
      <c r="I20" s="157">
        <v>30</v>
      </c>
      <c r="J20" s="158" t="s">
        <v>189</v>
      </c>
      <c r="K20" s="156" t="s">
        <v>253</v>
      </c>
      <c r="L20" s="154" t="s">
        <v>292</v>
      </c>
      <c r="M20" s="159" t="s">
        <v>237</v>
      </c>
      <c r="V20" s="115"/>
    </row>
    <row r="21" spans="2:22" s="110" customFormat="1" ht="15" thickBot="1">
      <c r="B21" s="160"/>
      <c r="C21" s="161"/>
      <c r="D21" s="161"/>
      <c r="E21" s="161"/>
      <c r="F21" s="161"/>
      <c r="G21" s="161"/>
      <c r="H21" s="161"/>
      <c r="I21" s="161"/>
      <c r="J21" s="161"/>
      <c r="K21" s="161"/>
      <c r="L21" s="161"/>
      <c r="M21" s="162"/>
      <c r="V21" s="115"/>
    </row>
    <row r="22" spans="2:22" s="110" customFormat="1">
      <c r="B22" s="163"/>
      <c r="C22" s="163"/>
      <c r="D22" s="163"/>
      <c r="E22" s="164"/>
      <c r="F22" s="163"/>
      <c r="G22" s="163"/>
      <c r="H22" s="163"/>
      <c r="I22" s="163"/>
      <c r="J22" s="163"/>
      <c r="K22" s="163"/>
      <c r="L22" s="163"/>
      <c r="M22" s="163"/>
      <c r="V22" s="115"/>
    </row>
  </sheetData>
  <mergeCells count="1">
    <mergeCell ref="B6:M6"/>
  </mergeCells>
  <phoneticPr fontId="38" type="noConversion"/>
  <printOptions horizontalCentered="1" verticalCentered="1"/>
  <pageMargins left="0.70866141732283472" right="0.70866141732283472" top="0.74803149606299213" bottom="0.74803149606299213" header="0.31496062992125984" footer="0.31496062992125984"/>
  <pageSetup paperSize="9" scale="4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2"/>
  <sheetViews>
    <sheetView view="pageBreakPreview" topLeftCell="B1" zoomScale="55" zoomScaleNormal="55" zoomScaleSheetLayoutView="55" workbookViewId="0">
      <selection activeCell="P19" sqref="P19"/>
    </sheetView>
  </sheetViews>
  <sheetFormatPr defaultColWidth="9.90625" defaultRowHeight="14"/>
  <cols>
    <col min="1" max="1" width="3.08984375" style="163" customWidth="1"/>
    <col min="2" max="2" width="11.453125" style="163" customWidth="1"/>
    <col min="3" max="3" width="13.90625" style="163" customWidth="1"/>
    <col min="4" max="4" width="13.08984375" style="163" customWidth="1"/>
    <col min="5" max="5" width="12.36328125" style="164" customWidth="1"/>
    <col min="6" max="6" width="11" style="163" customWidth="1"/>
    <col min="7" max="7" width="11.08984375" style="163" customWidth="1"/>
    <col min="8" max="8" width="9.6328125" style="163" customWidth="1"/>
    <col min="9" max="9" width="11.08984375" style="163" customWidth="1"/>
    <col min="10" max="10" width="22.6328125" style="163" customWidth="1"/>
    <col min="11" max="11" width="9.90625" style="163"/>
    <col min="12" max="12" width="30.6328125" style="163" customWidth="1"/>
    <col min="13" max="14" width="9.90625" style="163"/>
    <col min="15" max="15" width="14.08984375" style="163" bestFit="1" customWidth="1"/>
    <col min="16" max="21" width="9.90625" style="163"/>
    <col min="22" max="22" width="9.90625" style="165"/>
    <col min="23" max="16384" width="9.90625" style="163"/>
  </cols>
  <sheetData>
    <row r="1" spans="2:22" s="110" customFormat="1" ht="18.75" customHeight="1">
      <c r="B1" s="111" t="s">
        <v>202</v>
      </c>
      <c r="C1" s="111"/>
      <c r="D1" s="111" t="s">
        <v>203</v>
      </c>
      <c r="E1" s="111" t="s">
        <v>295</v>
      </c>
      <c r="F1" s="111" t="s">
        <v>260</v>
      </c>
      <c r="G1" s="112">
        <f>P13/M18</f>
        <v>96.000517063081688</v>
      </c>
      <c r="H1" s="111" t="s">
        <v>186</v>
      </c>
      <c r="I1" s="111" t="s">
        <v>143</v>
      </c>
      <c r="J1" s="113">
        <f>M18</f>
        <v>0.64632537096383269</v>
      </c>
      <c r="K1" s="114"/>
      <c r="L1" s="114"/>
      <c r="M1" s="114"/>
      <c r="V1" s="115"/>
    </row>
    <row r="2" spans="2:22" s="110" customFormat="1" ht="28">
      <c r="B2" s="116" t="s">
        <v>206</v>
      </c>
      <c r="C2" s="27" t="str">
        <f>O7</f>
        <v>FP05</v>
      </c>
      <c r="D2" s="117" t="str">
        <f>O8</f>
        <v>HEVER701</v>
      </c>
      <c r="E2" s="117" t="s">
        <v>261</v>
      </c>
      <c r="F2" s="27" t="s">
        <v>195</v>
      </c>
      <c r="G2" s="27"/>
      <c r="H2" s="111" t="str">
        <f>O12</f>
        <v>A1001</v>
      </c>
      <c r="I2" s="111" t="s">
        <v>209</v>
      </c>
      <c r="J2" s="111" t="s">
        <v>262</v>
      </c>
      <c r="K2" s="114"/>
      <c r="L2" s="114"/>
      <c r="M2" s="114"/>
      <c r="V2" s="115"/>
    </row>
    <row r="3" spans="2:22" s="110" customFormat="1" ht="18.75" customHeight="1">
      <c r="B3" s="116" t="s">
        <v>211</v>
      </c>
      <c r="C3" s="118">
        <v>0.96699999999999997</v>
      </c>
      <c r="D3" s="118">
        <v>0.02</v>
      </c>
      <c r="E3" s="118">
        <v>5.0000000000000001E-3</v>
      </c>
      <c r="F3" s="118">
        <v>5.0000000000000001E-3</v>
      </c>
      <c r="G3" s="118"/>
      <c r="H3" s="119">
        <v>3.0000000000000001E-3</v>
      </c>
      <c r="I3" s="111" t="s">
        <v>212</v>
      </c>
      <c r="J3" s="111">
        <v>20</v>
      </c>
      <c r="K3" s="114"/>
      <c r="L3" s="114"/>
      <c r="M3" s="114"/>
      <c r="V3" s="115"/>
    </row>
    <row r="4" spans="2:22" s="110" customFormat="1" ht="18.75" customHeight="1">
      <c r="B4" s="116" t="s">
        <v>213</v>
      </c>
      <c r="C4" s="28">
        <v>1</v>
      </c>
      <c r="D4" s="28">
        <v>1</v>
      </c>
      <c r="E4" s="28">
        <f>Q9</f>
        <v>0.05</v>
      </c>
      <c r="F4" s="28">
        <v>1</v>
      </c>
      <c r="G4" s="28"/>
      <c r="H4" s="120">
        <f>Q12</f>
        <v>0.25</v>
      </c>
      <c r="I4" s="111"/>
      <c r="J4" s="111"/>
      <c r="K4" s="114"/>
      <c r="L4" s="114"/>
      <c r="M4" s="114"/>
      <c r="V4" s="115"/>
    </row>
    <row r="5" spans="2:22" s="110" customFormat="1" ht="9" customHeight="1" thickBot="1">
      <c r="B5" s="121"/>
      <c r="C5" s="122"/>
      <c r="D5" s="123"/>
      <c r="E5" s="123"/>
      <c r="F5" s="123"/>
      <c r="G5" s="123"/>
      <c r="H5" s="124"/>
      <c r="I5" s="125"/>
      <c r="J5" s="126"/>
      <c r="K5" s="127"/>
      <c r="L5" s="127"/>
      <c r="M5" s="127"/>
      <c r="V5" s="115"/>
    </row>
    <row r="6" spans="2:22" s="110" customFormat="1" ht="21.75" customHeight="1">
      <c r="B6" s="424" t="s">
        <v>294</v>
      </c>
      <c r="C6" s="425"/>
      <c r="D6" s="425"/>
      <c r="E6" s="425"/>
      <c r="F6" s="425"/>
      <c r="G6" s="425"/>
      <c r="H6" s="425"/>
      <c r="I6" s="425"/>
      <c r="J6" s="425"/>
      <c r="K6" s="425"/>
      <c r="L6" s="425"/>
      <c r="M6" s="426"/>
      <c r="O6" s="27"/>
      <c r="P6" s="128" t="s">
        <v>264</v>
      </c>
      <c r="Q6" s="128" t="s">
        <v>265</v>
      </c>
      <c r="R6" s="128" t="s">
        <v>249</v>
      </c>
      <c r="S6" s="128" t="s">
        <v>266</v>
      </c>
      <c r="T6" s="129" t="s">
        <v>267</v>
      </c>
      <c r="U6" s="128" t="s">
        <v>268</v>
      </c>
      <c r="V6" s="115"/>
    </row>
    <row r="7" spans="2:22" s="110" customFormat="1" ht="18.75" customHeight="1">
      <c r="B7" s="130" t="s">
        <v>269</v>
      </c>
      <c r="C7" s="131" t="s">
        <v>270</v>
      </c>
      <c r="D7" s="132" t="s">
        <v>271</v>
      </c>
      <c r="E7" s="131" t="s">
        <v>272</v>
      </c>
      <c r="F7" s="131" t="s">
        <v>273</v>
      </c>
      <c r="G7" s="131" t="s">
        <v>274</v>
      </c>
      <c r="H7" s="131" t="s">
        <v>275</v>
      </c>
      <c r="I7" s="131" t="s">
        <v>276</v>
      </c>
      <c r="J7" s="131" t="s">
        <v>277</v>
      </c>
      <c r="K7" s="131" t="s">
        <v>278</v>
      </c>
      <c r="L7" s="132" t="s">
        <v>279</v>
      </c>
      <c r="M7" s="133" t="s">
        <v>280</v>
      </c>
      <c r="O7" s="27" t="s">
        <v>281</v>
      </c>
      <c r="P7" s="27">
        <v>96.7</v>
      </c>
      <c r="Q7" s="28">
        <v>1</v>
      </c>
      <c r="R7" s="134">
        <f>P13</f>
        <v>62.047569803516026</v>
      </c>
      <c r="S7" s="135">
        <f t="shared" ref="S7:S12" si="0">R7*P7/100</f>
        <v>60</v>
      </c>
      <c r="T7" s="31">
        <f>P7/100/Q7*R7</f>
        <v>60</v>
      </c>
      <c r="U7" s="136">
        <f t="shared" ref="U7:U12" si="1">T7-S7</f>
        <v>0</v>
      </c>
      <c r="V7" s="115"/>
    </row>
    <row r="8" spans="2:22" s="110" customFormat="1" ht="22.5" customHeight="1">
      <c r="B8" s="130">
        <v>1</v>
      </c>
      <c r="C8" s="131" t="s">
        <v>190</v>
      </c>
      <c r="D8" s="137" t="str">
        <f>O7</f>
        <v>FP05</v>
      </c>
      <c r="E8" s="138">
        <f>E11</f>
        <v>30</v>
      </c>
      <c r="F8" s="138">
        <f>E8*0.2%</f>
        <v>0.06</v>
      </c>
      <c r="G8" s="138" t="s">
        <v>234</v>
      </c>
      <c r="H8" s="138" t="s">
        <v>234</v>
      </c>
      <c r="I8" s="138" t="s">
        <v>237</v>
      </c>
      <c r="J8" s="131" t="s">
        <v>237</v>
      </c>
      <c r="K8" s="131" t="s">
        <v>237</v>
      </c>
      <c r="L8" s="132" t="s">
        <v>237</v>
      </c>
      <c r="M8" s="139">
        <f>E8/E8</f>
        <v>1</v>
      </c>
      <c r="O8" s="117" t="s">
        <v>282</v>
      </c>
      <c r="P8" s="27">
        <v>2</v>
      </c>
      <c r="Q8" s="28">
        <v>1</v>
      </c>
      <c r="R8" s="134">
        <f>R7</f>
        <v>62.047569803516026</v>
      </c>
      <c r="S8" s="135">
        <f t="shared" si="0"/>
        <v>1.2409513960703205</v>
      </c>
      <c r="T8" s="31">
        <f>P8/100/Q8*R8</f>
        <v>1.2409513960703205</v>
      </c>
      <c r="U8" s="136">
        <f t="shared" si="1"/>
        <v>0</v>
      </c>
      <c r="V8" s="115"/>
    </row>
    <row r="9" spans="2:22" s="110" customFormat="1" ht="28">
      <c r="B9" s="130">
        <v>2</v>
      </c>
      <c r="C9" s="131" t="s">
        <v>283</v>
      </c>
      <c r="D9" s="137" t="str">
        <f>D2</f>
        <v>HEVER701</v>
      </c>
      <c r="E9" s="138">
        <f>T8</f>
        <v>1.2409513960703205</v>
      </c>
      <c r="F9" s="138">
        <f>0.01</f>
        <v>0.01</v>
      </c>
      <c r="G9" s="138" t="s">
        <v>186</v>
      </c>
      <c r="H9" s="138" t="s">
        <v>186</v>
      </c>
      <c r="I9" s="138" t="s">
        <v>186</v>
      </c>
      <c r="J9" s="131" t="s">
        <v>186</v>
      </c>
      <c r="K9" s="131" t="s">
        <v>186</v>
      </c>
      <c r="L9" s="132" t="s">
        <v>186</v>
      </c>
      <c r="M9" s="139">
        <f>(E8+E9)/SUM(E8:E9)</f>
        <v>1</v>
      </c>
      <c r="O9" s="117" t="s">
        <v>284</v>
      </c>
      <c r="P9" s="27">
        <v>0.5</v>
      </c>
      <c r="Q9" s="28">
        <v>0.05</v>
      </c>
      <c r="R9" s="134">
        <f>R8</f>
        <v>62.047569803516026</v>
      </c>
      <c r="S9" s="135">
        <f t="shared" si="0"/>
        <v>0.31023784901758011</v>
      </c>
      <c r="T9" s="31">
        <f>S9/Q9</f>
        <v>6.2047569803516023</v>
      </c>
      <c r="U9" s="136">
        <f t="shared" si="1"/>
        <v>5.8945191313340217</v>
      </c>
      <c r="V9" s="115"/>
    </row>
    <row r="10" spans="2:22" s="110" customFormat="1" ht="35.25" customHeight="1">
      <c r="B10" s="130">
        <v>3</v>
      </c>
      <c r="C10" s="131" t="s">
        <v>190</v>
      </c>
      <c r="D10" s="138" t="str">
        <f>O10</f>
        <v>SP</v>
      </c>
      <c r="E10" s="138">
        <f>T10</f>
        <v>0.31023784901758011</v>
      </c>
      <c r="F10" s="138">
        <f>0.01</f>
        <v>0.01</v>
      </c>
      <c r="G10" s="138" t="s">
        <v>186</v>
      </c>
      <c r="H10" s="138" t="s">
        <v>186</v>
      </c>
      <c r="I10" s="138" t="s">
        <v>186</v>
      </c>
      <c r="J10" s="131" t="s">
        <v>186</v>
      </c>
      <c r="K10" s="131" t="s">
        <v>186</v>
      </c>
      <c r="L10" s="132" t="s">
        <v>186</v>
      </c>
      <c r="M10" s="139">
        <f>(E9+E10)/SUM(E9:E10)</f>
        <v>1</v>
      </c>
      <c r="O10" s="27" t="s">
        <v>195</v>
      </c>
      <c r="P10" s="27">
        <v>0.5</v>
      </c>
      <c r="Q10" s="28">
        <v>1</v>
      </c>
      <c r="R10" s="134">
        <f>R9</f>
        <v>62.047569803516026</v>
      </c>
      <c r="S10" s="135">
        <f t="shared" si="0"/>
        <v>0.31023784901758011</v>
      </c>
      <c r="T10" s="31">
        <f>S10/Q10</f>
        <v>0.31023784901758011</v>
      </c>
      <c r="U10" s="136">
        <f t="shared" si="1"/>
        <v>0</v>
      </c>
      <c r="V10" s="115"/>
    </row>
    <row r="11" spans="2:22" s="110" customFormat="1" ht="43" customHeight="1">
      <c r="B11" s="130">
        <v>4</v>
      </c>
      <c r="C11" s="131" t="s">
        <v>240</v>
      </c>
      <c r="D11" s="137" t="str">
        <f>O7</f>
        <v>FP05</v>
      </c>
      <c r="E11" s="138">
        <f>T7/2</f>
        <v>30</v>
      </c>
      <c r="F11" s="138">
        <f>E11*0.2%</f>
        <v>0.06</v>
      </c>
      <c r="G11" s="131">
        <v>20</v>
      </c>
      <c r="H11" s="131">
        <v>1000</v>
      </c>
      <c r="I11" s="131">
        <v>10</v>
      </c>
      <c r="J11" s="140" t="s">
        <v>251</v>
      </c>
      <c r="K11" s="131" t="s">
        <v>186</v>
      </c>
      <c r="L11" s="132" t="s">
        <v>285</v>
      </c>
      <c r="M11" s="139">
        <f>SUM(E8:E11)/SUM(E8:E11)</f>
        <v>1</v>
      </c>
      <c r="O11" s="27"/>
      <c r="P11" s="27"/>
      <c r="Q11" s="28"/>
      <c r="R11" s="134"/>
      <c r="S11" s="135"/>
      <c r="T11" s="31"/>
      <c r="U11" s="136"/>
      <c r="V11" s="115"/>
    </row>
    <row r="12" spans="2:22" s="110" customFormat="1" ht="47.15" customHeight="1">
      <c r="B12" s="130">
        <v>5</v>
      </c>
      <c r="C12" s="131" t="s">
        <v>191</v>
      </c>
      <c r="D12" s="138" t="s">
        <v>193</v>
      </c>
      <c r="E12" s="141">
        <v>22.5</v>
      </c>
      <c r="F12" s="138">
        <f>E12*0.2%</f>
        <v>4.4999999999999998E-2</v>
      </c>
      <c r="G12" s="131">
        <v>5</v>
      </c>
      <c r="H12" s="138" t="s">
        <v>186</v>
      </c>
      <c r="I12" s="131">
        <v>15</v>
      </c>
      <c r="J12" s="140" t="s">
        <v>189</v>
      </c>
      <c r="K12" s="131" t="s">
        <v>186</v>
      </c>
      <c r="L12" s="132" t="s">
        <v>246</v>
      </c>
      <c r="M12" s="139">
        <f>SUM(E8:E11)/SUM(E8:E12)</f>
        <v>0.73230598874227182</v>
      </c>
      <c r="O12" s="27" t="s">
        <v>286</v>
      </c>
      <c r="P12" s="27">
        <v>0.3</v>
      </c>
      <c r="Q12" s="28">
        <v>0.25</v>
      </c>
      <c r="R12" s="134">
        <f>R10</f>
        <v>62.047569803516026</v>
      </c>
      <c r="S12" s="135">
        <f t="shared" si="0"/>
        <v>0.18614270941054809</v>
      </c>
      <c r="T12" s="31">
        <f>S12/Q12</f>
        <v>0.74457083764219234</v>
      </c>
      <c r="U12" s="142">
        <f t="shared" si="1"/>
        <v>0.55842812823164423</v>
      </c>
      <c r="V12" s="115"/>
    </row>
    <row r="13" spans="2:22" s="110" customFormat="1" ht="33">
      <c r="B13" s="130">
        <v>6</v>
      </c>
      <c r="C13" s="131" t="s">
        <v>250</v>
      </c>
      <c r="D13" s="138" t="s">
        <v>237</v>
      </c>
      <c r="E13" s="138" t="s">
        <v>186</v>
      </c>
      <c r="F13" s="138" t="s">
        <v>237</v>
      </c>
      <c r="G13" s="131">
        <v>15</v>
      </c>
      <c r="H13" s="138" t="s">
        <v>237</v>
      </c>
      <c r="I13" s="131">
        <v>15</v>
      </c>
      <c r="J13" s="140" t="s">
        <v>189</v>
      </c>
      <c r="K13" s="131" t="s">
        <v>186</v>
      </c>
      <c r="L13" s="132" t="s">
        <v>248</v>
      </c>
      <c r="M13" s="139">
        <f>M12</f>
        <v>0.73230598874227182</v>
      </c>
      <c r="O13" s="128" t="s">
        <v>249</v>
      </c>
      <c r="P13" s="134">
        <f>30/P7*200</f>
        <v>62.047569803516026</v>
      </c>
      <c r="Q13" s="143"/>
      <c r="R13" s="143"/>
      <c r="S13" s="27"/>
      <c r="T13" s="144"/>
      <c r="U13" s="136"/>
      <c r="V13" s="115"/>
    </row>
    <row r="14" spans="2:22" s="110" customFormat="1" ht="26.25" customHeight="1">
      <c r="B14" s="130">
        <v>7</v>
      </c>
      <c r="C14" s="131" t="s">
        <v>250</v>
      </c>
      <c r="D14" s="138" t="s">
        <v>237</v>
      </c>
      <c r="E14" s="138" t="s">
        <v>237</v>
      </c>
      <c r="F14" s="138" t="s">
        <v>186</v>
      </c>
      <c r="G14" s="131">
        <v>20</v>
      </c>
      <c r="H14" s="138" t="s">
        <v>186</v>
      </c>
      <c r="I14" s="131">
        <v>45</v>
      </c>
      <c r="J14" s="140" t="s">
        <v>251</v>
      </c>
      <c r="K14" s="131" t="s">
        <v>186</v>
      </c>
      <c r="L14" s="132" t="s">
        <v>287</v>
      </c>
      <c r="M14" s="139">
        <f>M13</f>
        <v>0.73230598874227182</v>
      </c>
      <c r="O14" s="145"/>
      <c r="P14" s="146"/>
      <c r="Q14" s="147"/>
      <c r="R14" s="147"/>
      <c r="S14" s="148"/>
      <c r="T14" s="149"/>
      <c r="U14" s="150"/>
      <c r="V14" s="115"/>
    </row>
    <row r="15" spans="2:22" s="110" customFormat="1" ht="42" customHeight="1">
      <c r="B15" s="130">
        <v>8</v>
      </c>
      <c r="C15" s="131" t="s">
        <v>191</v>
      </c>
      <c r="D15" s="138" t="s">
        <v>288</v>
      </c>
      <c r="E15" s="138">
        <v>2</v>
      </c>
      <c r="F15" s="138">
        <f>0.01</f>
        <v>0.01</v>
      </c>
      <c r="G15" s="151">
        <v>20</v>
      </c>
      <c r="H15" s="152">
        <v>1000</v>
      </c>
      <c r="I15" s="151">
        <v>30</v>
      </c>
      <c r="J15" s="140" t="s">
        <v>189</v>
      </c>
      <c r="K15" s="131" t="s">
        <v>237</v>
      </c>
      <c r="L15" s="132" t="s">
        <v>248</v>
      </c>
      <c r="M15" s="139">
        <f>(E8+E9+E10+E11)/SUM(E8:E15)</f>
        <v>0.71528574776322984</v>
      </c>
      <c r="V15" s="115"/>
    </row>
    <row r="16" spans="2:22" s="110" customFormat="1" ht="33">
      <c r="B16" s="130">
        <v>9</v>
      </c>
      <c r="C16" s="131" t="s">
        <v>283</v>
      </c>
      <c r="D16" s="138" t="str">
        <f>O12</f>
        <v>A1001</v>
      </c>
      <c r="E16" s="138">
        <f>T12</f>
        <v>0.74457083764219234</v>
      </c>
      <c r="F16" s="138">
        <f>0.01</f>
        <v>0.01</v>
      </c>
      <c r="G16" s="138" t="s">
        <v>237</v>
      </c>
      <c r="H16" s="138" t="s">
        <v>237</v>
      </c>
      <c r="I16" s="138" t="s">
        <v>289</v>
      </c>
      <c r="J16" s="140" t="s">
        <v>189</v>
      </c>
      <c r="K16" s="131" t="s">
        <v>258</v>
      </c>
      <c r="L16" s="132"/>
      <c r="M16" s="139">
        <f>(E8+E9+E10+E11+E16*Q12)/SUM(E8:E16)</f>
        <v>0.71129432930425407</v>
      </c>
      <c r="V16" s="115"/>
    </row>
    <row r="17" spans="2:22" s="110" customFormat="1" ht="29.5" customHeight="1">
      <c r="B17" s="130">
        <v>10</v>
      </c>
      <c r="C17" s="131" t="s">
        <v>173</v>
      </c>
      <c r="D17" s="138" t="s">
        <v>193</v>
      </c>
      <c r="E17" s="138">
        <v>3</v>
      </c>
      <c r="F17" s="138">
        <f>0.01</f>
        <v>0.01</v>
      </c>
      <c r="G17" s="151">
        <v>25</v>
      </c>
      <c r="H17" s="151">
        <v>1200</v>
      </c>
      <c r="I17" s="151">
        <v>15</v>
      </c>
      <c r="J17" s="140" t="s">
        <v>189</v>
      </c>
      <c r="K17" s="131" t="s">
        <v>253</v>
      </c>
      <c r="L17" s="132"/>
      <c r="M17" s="139">
        <f>(E8+E9+E10+E11+E16*Q12)/SUM(E8:E17)</f>
        <v>0.68753059050470733</v>
      </c>
      <c r="V17" s="115"/>
    </row>
    <row r="18" spans="2:22" s="110" customFormat="1" ht="34.5" customHeight="1">
      <c r="B18" s="130">
        <v>11</v>
      </c>
      <c r="C18" s="131" t="s">
        <v>173</v>
      </c>
      <c r="D18" s="132" t="str">
        <f>O9</f>
        <v>CNT
(LB122-50</v>
      </c>
      <c r="E18" s="138">
        <f>T9</f>
        <v>6.2047569803516023</v>
      </c>
      <c r="F18" s="138">
        <f>E18*0.2%</f>
        <v>1.2409513960703205E-2</v>
      </c>
      <c r="G18" s="131">
        <v>25</v>
      </c>
      <c r="H18" s="131">
        <v>2300</v>
      </c>
      <c r="I18" s="131">
        <v>150</v>
      </c>
      <c r="J18" s="140" t="s">
        <v>189</v>
      </c>
      <c r="K18" s="131" t="s">
        <v>253</v>
      </c>
      <c r="L18" s="132"/>
      <c r="M18" s="139">
        <f>(E8+E9+E10+E11+E16*Q12+E18*Q9)/SUM(E8:E18)</f>
        <v>0.64632537096383269</v>
      </c>
      <c r="V18" s="115"/>
    </row>
    <row r="19" spans="2:22" s="110" customFormat="1" ht="36.75" customHeight="1">
      <c r="B19" s="130">
        <v>12</v>
      </c>
      <c r="C19" s="131" t="s">
        <v>290</v>
      </c>
      <c r="D19" s="138" t="s">
        <v>193</v>
      </c>
      <c r="E19" s="131" t="s">
        <v>289</v>
      </c>
      <c r="F19" s="131" t="s">
        <v>186</v>
      </c>
      <c r="G19" s="131">
        <v>25</v>
      </c>
      <c r="H19" s="131">
        <v>2300</v>
      </c>
      <c r="I19" s="131">
        <v>30</v>
      </c>
      <c r="J19" s="140" t="s">
        <v>189</v>
      </c>
      <c r="K19" s="131" t="s">
        <v>253</v>
      </c>
      <c r="L19" s="153" t="s">
        <v>256</v>
      </c>
      <c r="M19" s="139" t="s">
        <v>186</v>
      </c>
      <c r="V19" s="115"/>
    </row>
    <row r="20" spans="2:22" s="110" customFormat="1" ht="33.5" thickBot="1">
      <c r="B20" s="130">
        <v>13</v>
      </c>
      <c r="C20" s="154" t="s">
        <v>291</v>
      </c>
      <c r="D20" s="154" t="s">
        <v>289</v>
      </c>
      <c r="E20" s="155" t="s">
        <v>237</v>
      </c>
      <c r="F20" s="156" t="s">
        <v>289</v>
      </c>
      <c r="G20" s="156">
        <v>11</v>
      </c>
      <c r="H20" s="155" t="s">
        <v>186</v>
      </c>
      <c r="I20" s="157">
        <v>30</v>
      </c>
      <c r="J20" s="158" t="s">
        <v>189</v>
      </c>
      <c r="K20" s="156" t="s">
        <v>253</v>
      </c>
      <c r="L20" s="154" t="s">
        <v>292</v>
      </c>
      <c r="M20" s="159" t="s">
        <v>237</v>
      </c>
      <c r="V20" s="115"/>
    </row>
    <row r="21" spans="2:22" s="110" customFormat="1" ht="15" thickBot="1">
      <c r="B21" s="160"/>
      <c r="C21" s="161"/>
      <c r="D21" s="161"/>
      <c r="E21" s="161"/>
      <c r="F21" s="161"/>
      <c r="G21" s="161"/>
      <c r="H21" s="161"/>
      <c r="I21" s="161"/>
      <c r="J21" s="161"/>
      <c r="K21" s="161"/>
      <c r="L21" s="161"/>
      <c r="M21" s="162"/>
      <c r="V21" s="115"/>
    </row>
    <row r="22" spans="2:22" s="110" customFormat="1">
      <c r="B22" s="163"/>
      <c r="C22" s="163"/>
      <c r="D22" s="163"/>
      <c r="E22" s="164"/>
      <c r="F22" s="163"/>
      <c r="G22" s="163"/>
      <c r="H22" s="163"/>
      <c r="I22" s="163"/>
      <c r="J22" s="163"/>
      <c r="K22" s="163"/>
      <c r="L22" s="163"/>
      <c r="M22" s="163"/>
      <c r="V22" s="115"/>
    </row>
  </sheetData>
  <mergeCells count="1">
    <mergeCell ref="B6:M6"/>
  </mergeCells>
  <phoneticPr fontId="38" type="noConversion"/>
  <printOptions horizontalCentered="1" verticalCentered="1"/>
  <pageMargins left="0.70866141732283472" right="0.70866141732283472" top="0.74803149606299213" bottom="0.74803149606299213" header="0.31496062992125984" footer="0.31496062992125984"/>
  <pageSetup paperSize="9" scale="43" orientation="landscape" r:id="rId1"/>
  <rowBreaks count="1" manualBreakCount="1">
    <brk id="20"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F24"/>
  <sheetViews>
    <sheetView zoomScale="55" zoomScaleNormal="55" workbookViewId="0">
      <selection activeCell="C13" sqref="C13"/>
    </sheetView>
  </sheetViews>
  <sheetFormatPr defaultColWidth="9" defaultRowHeight="14"/>
  <cols>
    <col min="1" max="1" width="5.08984375" style="1" customWidth="1"/>
    <col min="2" max="2" width="10" style="1" customWidth="1"/>
    <col min="3" max="3" width="12.453125" style="2" customWidth="1"/>
    <col min="4" max="4" width="8.36328125" style="1" customWidth="1"/>
    <col min="5" max="5" width="6.36328125" style="1" customWidth="1"/>
    <col min="6" max="8" width="8.90625" style="1" customWidth="1"/>
    <col min="9" max="9" width="22.90625" style="1" customWidth="1"/>
    <col min="10" max="10" width="8.6328125" style="1" customWidth="1"/>
    <col min="11" max="11" width="26" style="2" customWidth="1"/>
    <col min="12" max="14" width="9.453125" style="1" customWidth="1"/>
    <col min="15" max="15" width="9" style="1" customWidth="1"/>
    <col min="16" max="16" width="15.453125" style="1" customWidth="1"/>
    <col min="17" max="17" width="9.36328125" style="1" customWidth="1"/>
    <col min="18" max="20" width="9" style="1"/>
    <col min="21" max="21" width="9" style="3"/>
    <col min="22" max="22" width="13.36328125" style="1" customWidth="1"/>
    <col min="23" max="16384" width="9" style="1"/>
  </cols>
  <sheetData>
    <row r="1" spans="1:32" ht="17.5">
      <c r="A1" s="427" t="s">
        <v>180</v>
      </c>
      <c r="B1" s="422"/>
      <c r="C1" s="422"/>
      <c r="D1" s="422"/>
      <c r="E1" s="422"/>
      <c r="F1" s="422"/>
      <c r="G1" s="422"/>
      <c r="H1" s="422"/>
      <c r="I1" s="422"/>
      <c r="J1" s="422"/>
      <c r="K1" s="423"/>
      <c r="L1" s="13"/>
      <c r="M1" s="14"/>
      <c r="N1" s="14"/>
      <c r="P1" s="4"/>
      <c r="Q1" s="24" t="s">
        <v>142</v>
      </c>
      <c r="R1" s="24" t="s">
        <v>143</v>
      </c>
      <c r="S1" s="24" t="s">
        <v>144</v>
      </c>
      <c r="T1" s="24" t="s">
        <v>145</v>
      </c>
      <c r="U1" s="25" t="s">
        <v>146</v>
      </c>
      <c r="V1" s="26" t="s">
        <v>147</v>
      </c>
    </row>
    <row r="2" spans="1:32" ht="30" customHeight="1">
      <c r="A2" s="4" t="s">
        <v>148</v>
      </c>
      <c r="B2" s="4" t="s">
        <v>149</v>
      </c>
      <c r="C2" s="5" t="s">
        <v>150</v>
      </c>
      <c r="D2" s="4" t="s">
        <v>151</v>
      </c>
      <c r="E2" s="4" t="s">
        <v>152</v>
      </c>
      <c r="F2" s="4" t="s">
        <v>153</v>
      </c>
      <c r="G2" s="4" t="s">
        <v>154</v>
      </c>
      <c r="H2" s="4" t="s">
        <v>155</v>
      </c>
      <c r="I2" s="4" t="s">
        <v>156</v>
      </c>
      <c r="J2" s="4" t="s">
        <v>157</v>
      </c>
      <c r="K2" s="5" t="s">
        <v>158</v>
      </c>
      <c r="L2" s="4" t="s">
        <v>159</v>
      </c>
      <c r="M2" s="15"/>
      <c r="N2" s="15"/>
      <c r="P2" s="4" t="s">
        <v>160</v>
      </c>
      <c r="Q2" s="27">
        <v>96.8</v>
      </c>
      <c r="R2" s="28">
        <v>1</v>
      </c>
      <c r="S2" s="29">
        <f>Q12</f>
        <v>61.983471074380169</v>
      </c>
      <c r="T2" s="30">
        <f>S2*Q2/100</f>
        <v>60</v>
      </c>
      <c r="U2" s="31">
        <f>Q2/100/R2*S2</f>
        <v>60</v>
      </c>
      <c r="V2" s="32">
        <f>U2-T2</f>
        <v>0</v>
      </c>
    </row>
    <row r="3" spans="1:32" ht="26.5" customHeight="1">
      <c r="A3" s="4">
        <v>1</v>
      </c>
      <c r="B3" s="4" t="s">
        <v>161</v>
      </c>
      <c r="C3" s="6" t="str">
        <f>P2</f>
        <v>FP05</v>
      </c>
      <c r="D3" s="7">
        <v>40</v>
      </c>
      <c r="E3" s="7">
        <f>D3*0.5%</f>
        <v>0.2</v>
      </c>
      <c r="F3" s="7" t="s">
        <v>27</v>
      </c>
      <c r="G3" s="7" t="s">
        <v>27</v>
      </c>
      <c r="H3" s="7" t="s">
        <v>27</v>
      </c>
      <c r="I3" s="4" t="s">
        <v>27</v>
      </c>
      <c r="J3" s="4" t="s">
        <v>27</v>
      </c>
      <c r="K3" s="5" t="s">
        <v>27</v>
      </c>
      <c r="L3" s="16">
        <f>D3/D3</f>
        <v>1</v>
      </c>
      <c r="M3" s="17"/>
      <c r="N3" s="17"/>
      <c r="P3" s="5" t="s">
        <v>181</v>
      </c>
      <c r="Q3" s="27">
        <v>2</v>
      </c>
      <c r="R3" s="28">
        <v>1</v>
      </c>
      <c r="S3" s="29">
        <f>S2</f>
        <v>61.983471074380169</v>
      </c>
      <c r="T3" s="30">
        <f>S3*Q3/100</f>
        <v>1.2396694214876034</v>
      </c>
      <c r="U3" s="31">
        <f>Q3/100/R3*S3</f>
        <v>1.2396694214876034</v>
      </c>
      <c r="V3" s="32">
        <f>U3-T3</f>
        <v>0</v>
      </c>
    </row>
    <row r="4" spans="1:32" ht="28" customHeight="1">
      <c r="A4" s="4">
        <v>2</v>
      </c>
      <c r="B4" s="4" t="s">
        <v>161</v>
      </c>
      <c r="C4" s="6" t="str">
        <f>P3</f>
        <v>PVDF2520-P5</v>
      </c>
      <c r="D4" s="7">
        <f>U3</f>
        <v>1.2396694214876034</v>
      </c>
      <c r="E4" s="7">
        <f t="shared" ref="E4:E7" si="0">D4*0.5%</f>
        <v>6.1983471074380167E-3</v>
      </c>
      <c r="F4" s="7" t="s">
        <v>27</v>
      </c>
      <c r="G4" s="7" t="s">
        <v>27</v>
      </c>
      <c r="H4" s="7" t="s">
        <v>27</v>
      </c>
      <c r="I4" s="4" t="s">
        <v>27</v>
      </c>
      <c r="J4" s="4" t="s">
        <v>27</v>
      </c>
      <c r="K4" s="5" t="s">
        <v>27</v>
      </c>
      <c r="L4" s="16">
        <f>(D3+D4)/SUM(D3:D4)</f>
        <v>1</v>
      </c>
      <c r="M4" s="17"/>
      <c r="N4" s="17"/>
      <c r="P4" s="5" t="s">
        <v>163</v>
      </c>
      <c r="Q4" s="27">
        <v>0.5</v>
      </c>
      <c r="R4" s="28">
        <v>0.05</v>
      </c>
      <c r="S4" s="29">
        <f>S3</f>
        <v>61.983471074380169</v>
      </c>
      <c r="T4" s="30">
        <f>S4*Q4/100</f>
        <v>0.30991735537190085</v>
      </c>
      <c r="U4" s="31">
        <f>T4/R4</f>
        <v>6.1983471074380168</v>
      </c>
      <c r="V4" s="32">
        <f>U4-T4</f>
        <v>5.8884297520661155</v>
      </c>
    </row>
    <row r="5" spans="1:32" ht="16.5">
      <c r="A5" s="4">
        <v>3</v>
      </c>
      <c r="B5" s="4" t="s">
        <v>161</v>
      </c>
      <c r="C5" s="8" t="str">
        <f>P5</f>
        <v>80R</v>
      </c>
      <c r="D5" s="7">
        <f>U5</f>
        <v>0.30991735537190085</v>
      </c>
      <c r="E5" s="7">
        <f t="shared" si="0"/>
        <v>1.5495867768595042E-3</v>
      </c>
      <c r="F5" s="7" t="s">
        <v>27</v>
      </c>
      <c r="G5" s="7" t="s">
        <v>27</v>
      </c>
      <c r="H5" s="7" t="s">
        <v>27</v>
      </c>
      <c r="I5" s="4" t="s">
        <v>27</v>
      </c>
      <c r="J5" s="4" t="s">
        <v>27</v>
      </c>
      <c r="K5" s="5" t="s">
        <v>27</v>
      </c>
      <c r="L5" s="16">
        <f>(D4+D5)/SUM(D4:D5)</f>
        <v>1</v>
      </c>
      <c r="M5" s="17"/>
      <c r="N5" s="17"/>
      <c r="P5" s="4" t="s">
        <v>164</v>
      </c>
      <c r="Q5" s="27">
        <v>0.5</v>
      </c>
      <c r="R5" s="28">
        <v>1</v>
      </c>
      <c r="S5" s="29">
        <f>S4</f>
        <v>61.983471074380169</v>
      </c>
      <c r="T5" s="30">
        <f>S5*Q5/100</f>
        <v>0.30991735537190085</v>
      </c>
      <c r="U5" s="31">
        <f>T5/R5</f>
        <v>0.30991735537190085</v>
      </c>
      <c r="V5" s="32">
        <f>U5-T5</f>
        <v>0</v>
      </c>
    </row>
    <row r="6" spans="1:32" ht="33">
      <c r="A6" s="4">
        <v>4</v>
      </c>
      <c r="B6" s="4" t="s">
        <v>165</v>
      </c>
      <c r="C6" s="6" t="str">
        <f>P2</f>
        <v>FP05</v>
      </c>
      <c r="D6" s="7">
        <v>20</v>
      </c>
      <c r="E6" s="7">
        <f t="shared" si="0"/>
        <v>0.1</v>
      </c>
      <c r="F6" s="4">
        <v>20</v>
      </c>
      <c r="G6" s="4">
        <v>1000</v>
      </c>
      <c r="H6" s="4">
        <v>10</v>
      </c>
      <c r="I6" s="18" t="s">
        <v>166</v>
      </c>
      <c r="J6" s="4" t="s">
        <v>27</v>
      </c>
      <c r="K6" s="19" t="s">
        <v>167</v>
      </c>
      <c r="L6" s="16">
        <f>SUM(D3:D6)/SUM(D3:D6)</f>
        <v>1</v>
      </c>
      <c r="M6" s="20"/>
      <c r="N6" s="21"/>
      <c r="P6" s="4" t="s">
        <v>182</v>
      </c>
      <c r="Q6" s="27">
        <v>0.2</v>
      </c>
      <c r="R6" s="28">
        <v>0.75</v>
      </c>
      <c r="S6" s="29">
        <f>S5</f>
        <v>61.983471074380169</v>
      </c>
      <c r="T6" s="30">
        <f>S6*Q6/100</f>
        <v>0.12396694214876035</v>
      </c>
      <c r="U6" s="31">
        <f>T6/R6</f>
        <v>0.16528925619834714</v>
      </c>
      <c r="V6" s="32"/>
    </row>
    <row r="7" spans="1:32" ht="36" customHeight="1">
      <c r="A7" s="4">
        <v>5</v>
      </c>
      <c r="B7" s="4" t="s">
        <v>165</v>
      </c>
      <c r="C7" s="7" t="s">
        <v>169</v>
      </c>
      <c r="D7" s="7">
        <v>20.5</v>
      </c>
      <c r="E7" s="7">
        <f t="shared" si="0"/>
        <v>0.10250000000000001</v>
      </c>
      <c r="F7" s="4">
        <v>11</v>
      </c>
      <c r="G7" s="7" t="s">
        <v>27</v>
      </c>
      <c r="H7" s="4">
        <v>15</v>
      </c>
      <c r="I7" s="18" t="s">
        <v>166</v>
      </c>
      <c r="J7" s="4" t="s">
        <v>27</v>
      </c>
      <c r="K7" s="19" t="s">
        <v>167</v>
      </c>
      <c r="L7" s="16">
        <f>SUM(D3:D6)/SUM(D3:D7)</f>
        <v>0.75015108783239315</v>
      </c>
      <c r="M7" s="17"/>
      <c r="N7" s="17"/>
      <c r="P7" s="4"/>
      <c r="Q7" s="4"/>
      <c r="R7" s="33"/>
      <c r="S7" s="34"/>
      <c r="T7" s="4"/>
      <c r="U7" s="35"/>
      <c r="V7" s="32"/>
    </row>
    <row r="8" spans="1:32" ht="49.5">
      <c r="A8" s="4">
        <v>6</v>
      </c>
      <c r="B8" s="4" t="s">
        <v>171</v>
      </c>
      <c r="C8" s="7" t="s">
        <v>27</v>
      </c>
      <c r="D8" s="7" t="s">
        <v>27</v>
      </c>
      <c r="E8" s="7" t="s">
        <v>27</v>
      </c>
      <c r="F8" s="4">
        <v>20</v>
      </c>
      <c r="G8" s="7" t="s">
        <v>27</v>
      </c>
      <c r="H8" s="9">
        <v>80</v>
      </c>
      <c r="I8" s="18" t="s">
        <v>166</v>
      </c>
      <c r="J8" s="4" t="s">
        <v>27</v>
      </c>
      <c r="K8" s="5" t="s">
        <v>172</v>
      </c>
      <c r="L8" s="16">
        <f>L7</f>
        <v>0.75015108783239315</v>
      </c>
      <c r="M8" s="17"/>
      <c r="N8" s="17"/>
      <c r="P8" s="4"/>
      <c r="Q8" s="4"/>
      <c r="R8" s="33"/>
      <c r="S8" s="34"/>
      <c r="T8" s="4"/>
      <c r="U8" s="35"/>
      <c r="V8" s="32"/>
    </row>
    <row r="9" spans="1:32" ht="33">
      <c r="A9" s="4">
        <v>7</v>
      </c>
      <c r="B9" s="4" t="s">
        <v>161</v>
      </c>
      <c r="C9" s="7" t="s">
        <v>182</v>
      </c>
      <c r="D9" s="7">
        <f>U6</f>
        <v>0.16528925619834714</v>
      </c>
      <c r="E9" s="7">
        <f t="shared" ref="E9:E11" si="1">D9*0.5%</f>
        <v>8.2644628099173573E-4</v>
      </c>
      <c r="F9" s="7" t="s">
        <v>27</v>
      </c>
      <c r="G9" s="7" t="s">
        <v>27</v>
      </c>
      <c r="H9" s="7" t="s">
        <v>27</v>
      </c>
      <c r="I9" s="18" t="s">
        <v>166</v>
      </c>
      <c r="J9" s="4" t="s">
        <v>27</v>
      </c>
      <c r="K9" s="4" t="s">
        <v>27</v>
      </c>
      <c r="L9" s="16">
        <f>(SUM(D3:D6)+D9*R6)/SUM(D3:D9)</f>
        <v>0.75015078407720137</v>
      </c>
      <c r="M9" s="17"/>
      <c r="N9" s="17"/>
      <c r="P9" s="4"/>
      <c r="Q9" s="4"/>
      <c r="R9" s="33"/>
      <c r="S9" s="34"/>
      <c r="T9" s="4"/>
      <c r="U9" s="421" t="s">
        <v>196</v>
      </c>
      <c r="V9" s="422"/>
      <c r="W9" s="422"/>
      <c r="X9" s="422"/>
      <c r="Y9" s="422"/>
      <c r="Z9" s="422"/>
      <c r="AA9" s="422"/>
      <c r="AB9" s="422"/>
      <c r="AC9" s="422"/>
      <c r="AD9" s="422"/>
      <c r="AE9" s="423"/>
      <c r="AF9" s="13"/>
    </row>
    <row r="10" spans="1:32" ht="33">
      <c r="A10" s="4">
        <v>7</v>
      </c>
      <c r="B10" s="10" t="s">
        <v>173</v>
      </c>
      <c r="C10" s="7" t="s">
        <v>169</v>
      </c>
      <c r="D10" s="7">
        <v>20</v>
      </c>
      <c r="E10" s="7">
        <f t="shared" si="1"/>
        <v>0.1</v>
      </c>
      <c r="F10" s="11">
        <v>25</v>
      </c>
      <c r="G10" s="11">
        <v>2000</v>
      </c>
      <c r="H10" s="11">
        <v>20</v>
      </c>
      <c r="I10" s="18" t="s">
        <v>166</v>
      </c>
      <c r="J10" s="4" t="s">
        <v>174</v>
      </c>
      <c r="K10" s="5"/>
      <c r="L10" s="16">
        <f>(D3+D4+D5+D6+D9*R6+D11*R4)/SUM(D3:D10)</f>
        <v>0.60640362225097022</v>
      </c>
      <c r="M10" s="17"/>
      <c r="N10" s="17"/>
      <c r="P10" s="4"/>
      <c r="Q10" s="4"/>
      <c r="R10" s="33"/>
      <c r="S10" s="34"/>
      <c r="T10" s="4"/>
      <c r="U10" s="4" t="s">
        <v>148</v>
      </c>
      <c r="V10" s="4" t="s">
        <v>149</v>
      </c>
      <c r="W10" s="5" t="s">
        <v>150</v>
      </c>
      <c r="X10" s="4" t="s">
        <v>151</v>
      </c>
      <c r="Y10" s="4" t="s">
        <v>152</v>
      </c>
      <c r="Z10" s="4" t="s">
        <v>153</v>
      </c>
      <c r="AA10" s="4" t="s">
        <v>154</v>
      </c>
      <c r="AB10" s="4" t="s">
        <v>155</v>
      </c>
      <c r="AC10" s="4" t="s">
        <v>156</v>
      </c>
      <c r="AD10" s="4" t="s">
        <v>157</v>
      </c>
      <c r="AE10" s="5" t="s">
        <v>158</v>
      </c>
      <c r="AF10" s="4" t="s">
        <v>159</v>
      </c>
    </row>
    <row r="11" spans="1:32" ht="33">
      <c r="A11" s="4">
        <v>8</v>
      </c>
      <c r="B11" s="10" t="s">
        <v>173</v>
      </c>
      <c r="C11" s="5" t="s">
        <v>163</v>
      </c>
      <c r="D11" s="7">
        <f>U4</f>
        <v>6.1983471074380168</v>
      </c>
      <c r="E11" s="7">
        <f t="shared" si="1"/>
        <v>3.0991735537190084E-2</v>
      </c>
      <c r="F11" s="11">
        <v>25</v>
      </c>
      <c r="G11" s="11">
        <v>3000</v>
      </c>
      <c r="H11" s="12">
        <v>180</v>
      </c>
      <c r="I11" s="18" t="s">
        <v>166</v>
      </c>
      <c r="J11" s="4" t="s">
        <v>174</v>
      </c>
      <c r="K11" s="5" t="s">
        <v>175</v>
      </c>
      <c r="L11" s="16">
        <f>(D3+D4+D5+D6+D9*R6+D11*R4)/SUM(D3:D11)</f>
        <v>0.57173349595974998</v>
      </c>
      <c r="M11" s="17"/>
      <c r="N11" s="17"/>
      <c r="P11" s="4"/>
      <c r="Q11" s="4"/>
      <c r="R11" s="33"/>
      <c r="S11" s="34"/>
      <c r="T11" s="4"/>
      <c r="U11" s="4">
        <v>1</v>
      </c>
      <c r="V11" s="4" t="s">
        <v>161</v>
      </c>
      <c r="W11" s="6">
        <f>AH10</f>
        <v>0</v>
      </c>
      <c r="X11" s="7">
        <f>AM10/2</f>
        <v>0</v>
      </c>
      <c r="Y11" s="7">
        <f t="shared" ref="Y11:Y15" si="2">X11*0.5%</f>
        <v>0</v>
      </c>
      <c r="Z11" s="7" t="s">
        <v>27</v>
      </c>
      <c r="AA11" s="7" t="s">
        <v>27</v>
      </c>
      <c r="AB11" s="7" t="s">
        <v>27</v>
      </c>
      <c r="AC11" s="4" t="s">
        <v>27</v>
      </c>
      <c r="AD11" s="4" t="s">
        <v>27</v>
      </c>
      <c r="AE11" s="5" t="s">
        <v>27</v>
      </c>
      <c r="AF11" s="16" t="e">
        <f>X11/X11</f>
        <v>#DIV/0!</v>
      </c>
    </row>
    <row r="12" spans="1:32" ht="33">
      <c r="A12" s="4">
        <v>9</v>
      </c>
      <c r="B12" s="4" t="s">
        <v>176</v>
      </c>
      <c r="C12" s="7" t="s">
        <v>169</v>
      </c>
      <c r="D12" s="4" t="s">
        <v>27</v>
      </c>
      <c r="E12" s="4" t="s">
        <v>27</v>
      </c>
      <c r="F12" s="4">
        <v>25</v>
      </c>
      <c r="G12" s="4">
        <v>3000</v>
      </c>
      <c r="H12" s="4">
        <v>30</v>
      </c>
      <c r="I12" s="18" t="s">
        <v>166</v>
      </c>
      <c r="J12" s="4" t="s">
        <v>174</v>
      </c>
      <c r="K12" s="22" t="s">
        <v>177</v>
      </c>
      <c r="L12" s="16" t="s">
        <v>27</v>
      </c>
      <c r="M12" s="17"/>
      <c r="N12" s="17"/>
      <c r="P12" s="23" t="s">
        <v>144</v>
      </c>
      <c r="Q12" s="36">
        <f>60/Q2*100</f>
        <v>61.983471074380169</v>
      </c>
      <c r="R12" s="37"/>
      <c r="S12" s="37"/>
      <c r="T12" s="4"/>
      <c r="U12" s="4">
        <v>2</v>
      </c>
      <c r="V12" s="4" t="s">
        <v>161</v>
      </c>
      <c r="W12" s="6">
        <f>AH11</f>
        <v>0</v>
      </c>
      <c r="X12" s="7">
        <f>AM11</f>
        <v>0</v>
      </c>
      <c r="Y12" s="7">
        <f t="shared" si="2"/>
        <v>0</v>
      </c>
      <c r="Z12" s="7" t="s">
        <v>27</v>
      </c>
      <c r="AA12" s="7" t="s">
        <v>27</v>
      </c>
      <c r="AB12" s="7" t="s">
        <v>27</v>
      </c>
      <c r="AC12" s="4" t="s">
        <v>27</v>
      </c>
      <c r="AD12" s="4" t="s">
        <v>27</v>
      </c>
      <c r="AE12" s="5" t="s">
        <v>27</v>
      </c>
      <c r="AF12" s="16" t="e">
        <f>(X11+X12)/SUM(X11:X12)</f>
        <v>#DIV/0!</v>
      </c>
    </row>
    <row r="13" spans="1:32" ht="50.25" customHeight="1">
      <c r="A13" s="4">
        <v>10</v>
      </c>
      <c r="B13" s="4" t="s">
        <v>178</v>
      </c>
      <c r="C13" s="5" t="s">
        <v>27</v>
      </c>
      <c r="D13" s="7" t="s">
        <v>27</v>
      </c>
      <c r="E13" s="4" t="s">
        <v>27</v>
      </c>
      <c r="F13" s="4">
        <v>10</v>
      </c>
      <c r="G13" s="7" t="s">
        <v>27</v>
      </c>
      <c r="H13" s="11">
        <v>30</v>
      </c>
      <c r="I13" s="18" t="s">
        <v>166</v>
      </c>
      <c r="J13" s="4" t="s">
        <v>174</v>
      </c>
      <c r="K13" s="5" t="s">
        <v>179</v>
      </c>
      <c r="L13" s="16" t="s">
        <v>27</v>
      </c>
      <c r="M13" s="17"/>
      <c r="N13" s="17"/>
      <c r="U13" s="4">
        <v>3</v>
      </c>
      <c r="V13" s="4" t="s">
        <v>161</v>
      </c>
      <c r="W13" s="8">
        <f>AH13</f>
        <v>0</v>
      </c>
      <c r="X13" s="7">
        <f>AM13</f>
        <v>0</v>
      </c>
      <c r="Y13" s="7">
        <f t="shared" si="2"/>
        <v>0</v>
      </c>
      <c r="Z13" s="7" t="s">
        <v>27</v>
      </c>
      <c r="AA13" s="7" t="s">
        <v>27</v>
      </c>
      <c r="AB13" s="7" t="s">
        <v>27</v>
      </c>
      <c r="AC13" s="4" t="s">
        <v>27</v>
      </c>
      <c r="AD13" s="4" t="s">
        <v>27</v>
      </c>
      <c r="AE13" s="5" t="s">
        <v>27</v>
      </c>
      <c r="AF13" s="16" t="e">
        <f>(X12+X13)/SUM(X12:X13)</f>
        <v>#DIV/0!</v>
      </c>
    </row>
    <row r="14" spans="1:32" ht="99">
      <c r="U14" s="4">
        <v>4</v>
      </c>
      <c r="V14" s="4" t="s">
        <v>165</v>
      </c>
      <c r="W14" s="6">
        <f>AH10</f>
        <v>0</v>
      </c>
      <c r="X14" s="7">
        <f>AM10/2</f>
        <v>0</v>
      </c>
      <c r="Y14" s="7">
        <f t="shared" si="2"/>
        <v>0</v>
      </c>
      <c r="Z14" s="4">
        <v>20</v>
      </c>
      <c r="AA14" s="4">
        <v>1000</v>
      </c>
      <c r="AB14" s="4">
        <v>10</v>
      </c>
      <c r="AC14" s="18" t="s">
        <v>166</v>
      </c>
      <c r="AD14" s="4" t="s">
        <v>27</v>
      </c>
      <c r="AE14" s="19" t="s">
        <v>167</v>
      </c>
      <c r="AF14" s="16" t="e">
        <f>SUM(X11:X14)/SUM(X11:X14)</f>
        <v>#DIV/0!</v>
      </c>
    </row>
    <row r="15" spans="1:32" ht="99">
      <c r="U15" s="4">
        <v>5</v>
      </c>
      <c r="V15" s="4" t="s">
        <v>165</v>
      </c>
      <c r="W15" s="7" t="s">
        <v>169</v>
      </c>
      <c r="X15" s="101">
        <v>68</v>
      </c>
      <c r="Y15" s="7">
        <f t="shared" si="2"/>
        <v>0.34</v>
      </c>
      <c r="Z15" s="4">
        <v>5</v>
      </c>
      <c r="AA15" s="7" t="s">
        <v>27</v>
      </c>
      <c r="AB15" s="102">
        <v>5</v>
      </c>
      <c r="AC15" s="18" t="s">
        <v>166</v>
      </c>
      <c r="AD15" s="4" t="s">
        <v>27</v>
      </c>
      <c r="AE15" s="97" t="s">
        <v>187</v>
      </c>
      <c r="AF15" s="100">
        <f>SUM(X11:X14)/SUM(X11:X15)</f>
        <v>0</v>
      </c>
    </row>
    <row r="16" spans="1:32" ht="99">
      <c r="U16" s="4">
        <v>6</v>
      </c>
      <c r="V16" s="4" t="s">
        <v>171</v>
      </c>
      <c r="W16" s="7" t="s">
        <v>187</v>
      </c>
      <c r="X16" s="7" t="s">
        <v>186</v>
      </c>
      <c r="Y16" s="7" t="s">
        <v>187</v>
      </c>
      <c r="Z16" s="4">
        <v>10</v>
      </c>
      <c r="AA16" s="7" t="s">
        <v>186</v>
      </c>
      <c r="AB16" s="102">
        <v>5</v>
      </c>
      <c r="AC16" s="18" t="s">
        <v>189</v>
      </c>
      <c r="AD16" s="4" t="s">
        <v>187</v>
      </c>
      <c r="AE16" s="19" t="s">
        <v>186</v>
      </c>
      <c r="AF16" s="16">
        <f>AF15</f>
        <v>0</v>
      </c>
    </row>
    <row r="17" spans="21:32" ht="99">
      <c r="U17" s="4">
        <v>7</v>
      </c>
      <c r="V17" s="4" t="s">
        <v>171</v>
      </c>
      <c r="W17" s="7" t="s">
        <v>186</v>
      </c>
      <c r="X17" s="7" t="s">
        <v>187</v>
      </c>
      <c r="Y17" s="7" t="s">
        <v>186</v>
      </c>
      <c r="Z17" s="4">
        <v>15</v>
      </c>
      <c r="AA17" s="7" t="s">
        <v>186</v>
      </c>
      <c r="AB17" s="102">
        <v>5</v>
      </c>
      <c r="AC17" s="18" t="s">
        <v>189</v>
      </c>
      <c r="AD17" s="4" t="s">
        <v>187</v>
      </c>
      <c r="AE17" s="19" t="s">
        <v>188</v>
      </c>
      <c r="AF17" s="16">
        <f>AF16</f>
        <v>0</v>
      </c>
    </row>
    <row r="18" spans="21:32" ht="99">
      <c r="U18" s="4">
        <v>8</v>
      </c>
      <c r="V18" s="4" t="s">
        <v>171</v>
      </c>
      <c r="W18" s="7" t="s">
        <v>27</v>
      </c>
      <c r="X18" s="7" t="s">
        <v>27</v>
      </c>
      <c r="Y18" s="7" t="s">
        <v>27</v>
      </c>
      <c r="Z18" s="4">
        <v>20</v>
      </c>
      <c r="AA18" s="7" t="s">
        <v>27</v>
      </c>
      <c r="AB18" s="102">
        <v>45</v>
      </c>
      <c r="AC18" s="18" t="s">
        <v>166</v>
      </c>
      <c r="AD18" s="4" t="s">
        <v>27</v>
      </c>
      <c r="AE18" s="5"/>
      <c r="AF18" s="16">
        <f>AF15</f>
        <v>0</v>
      </c>
    </row>
    <row r="19" spans="21:32" ht="99">
      <c r="U19" s="4">
        <v>9</v>
      </c>
      <c r="V19" s="10" t="s">
        <v>191</v>
      </c>
      <c r="W19" s="99" t="s">
        <v>193</v>
      </c>
      <c r="X19" s="7">
        <v>8</v>
      </c>
      <c r="Y19" s="7">
        <f>X19*0.5%</f>
        <v>0.04</v>
      </c>
      <c r="Z19" s="102">
        <v>25</v>
      </c>
      <c r="AA19" s="98">
        <v>200</v>
      </c>
      <c r="AB19" s="4">
        <v>10</v>
      </c>
      <c r="AC19" s="18" t="s">
        <v>189</v>
      </c>
      <c r="AD19" s="4" t="s">
        <v>187</v>
      </c>
      <c r="AE19" s="5" t="s">
        <v>187</v>
      </c>
      <c r="AF19" s="16">
        <f>(X11+X12+X13+X14)/SUM(X11:X19)</f>
        <v>0</v>
      </c>
    </row>
    <row r="20" spans="21:32" ht="99">
      <c r="U20" s="4">
        <v>10</v>
      </c>
      <c r="V20" s="10" t="s">
        <v>190</v>
      </c>
      <c r="W20" s="7">
        <f>AH14</f>
        <v>0</v>
      </c>
      <c r="X20" s="7">
        <f>AM14</f>
        <v>0</v>
      </c>
      <c r="Y20" s="7">
        <f t="shared" ref="Y20:Y22" si="3">X20*0.5%</f>
        <v>0</v>
      </c>
      <c r="Z20" s="7" t="s">
        <v>27</v>
      </c>
      <c r="AA20" s="7" t="s">
        <v>27</v>
      </c>
      <c r="AB20" s="7" t="s">
        <v>27</v>
      </c>
      <c r="AC20" s="18" t="s">
        <v>166</v>
      </c>
      <c r="AD20" s="4" t="s">
        <v>27</v>
      </c>
      <c r="AE20" s="4" t="s">
        <v>187</v>
      </c>
      <c r="AF20" s="16">
        <f>(SUM(X11:X14)+X20*AJ14)/SUM(X11:X20)</f>
        <v>0</v>
      </c>
    </row>
    <row r="21" spans="21:32" ht="99">
      <c r="U21" s="4">
        <v>11</v>
      </c>
      <c r="V21" s="10" t="s">
        <v>173</v>
      </c>
      <c r="W21" s="7" t="s">
        <v>169</v>
      </c>
      <c r="X21" s="107">
        <v>12</v>
      </c>
      <c r="Y21" s="7">
        <f t="shared" si="3"/>
        <v>0.06</v>
      </c>
      <c r="Z21" s="11">
        <v>25</v>
      </c>
      <c r="AA21" s="12">
        <v>1500</v>
      </c>
      <c r="AB21" s="11">
        <v>20</v>
      </c>
      <c r="AC21" s="18" t="s">
        <v>166</v>
      </c>
      <c r="AD21" s="4" t="s">
        <v>174</v>
      </c>
      <c r="AE21" s="4" t="s">
        <v>27</v>
      </c>
      <c r="AF21" s="16">
        <f>(X11+X12+X13+X14+X20*AJ14)/SUM(X11:X21)</f>
        <v>0</v>
      </c>
    </row>
    <row r="22" spans="21:32" ht="99">
      <c r="U22" s="4">
        <v>12</v>
      </c>
      <c r="V22" s="10" t="s">
        <v>173</v>
      </c>
      <c r="W22" s="5" t="s">
        <v>192</v>
      </c>
      <c r="X22" s="7">
        <f>AM12</f>
        <v>0</v>
      </c>
      <c r="Y22" s="7">
        <f t="shared" si="3"/>
        <v>0</v>
      </c>
      <c r="Z22" s="11">
        <v>25</v>
      </c>
      <c r="AA22" s="11">
        <v>2000</v>
      </c>
      <c r="AB22" s="11">
        <v>150</v>
      </c>
      <c r="AC22" s="18" t="s">
        <v>166</v>
      </c>
      <c r="AD22" s="4" t="s">
        <v>174</v>
      </c>
      <c r="AE22" s="5"/>
      <c r="AF22" s="108">
        <f>(X11+X12+X13+X14+X20*AJ14+X22*AJ12)/SUM(X11:X22)</f>
        <v>0</v>
      </c>
    </row>
    <row r="23" spans="21:32" ht="99">
      <c r="U23" s="4">
        <v>13</v>
      </c>
      <c r="V23" s="4" t="s">
        <v>176</v>
      </c>
      <c r="W23" s="7" t="s">
        <v>169</v>
      </c>
      <c r="X23" s="4" t="s">
        <v>186</v>
      </c>
      <c r="Y23" s="4" t="s">
        <v>27</v>
      </c>
      <c r="Z23" s="4">
        <v>25</v>
      </c>
      <c r="AA23" s="4">
        <v>2000</v>
      </c>
      <c r="AB23" s="4">
        <v>30</v>
      </c>
      <c r="AC23" s="18" t="s">
        <v>166</v>
      </c>
      <c r="AD23" s="4" t="s">
        <v>174</v>
      </c>
      <c r="AE23" s="103" t="s">
        <v>199</v>
      </c>
      <c r="AF23" s="16" t="s">
        <v>187</v>
      </c>
    </row>
    <row r="24" spans="21:32" ht="99">
      <c r="U24" s="4">
        <v>14</v>
      </c>
      <c r="V24" s="4" t="s">
        <v>178</v>
      </c>
      <c r="W24" s="5" t="s">
        <v>27</v>
      </c>
      <c r="X24" s="7" t="s">
        <v>27</v>
      </c>
      <c r="Y24" s="4" t="s">
        <v>27</v>
      </c>
      <c r="Z24" s="4">
        <v>10</v>
      </c>
      <c r="AA24" s="7" t="s">
        <v>27</v>
      </c>
      <c r="AB24" s="11">
        <v>30</v>
      </c>
      <c r="AC24" s="18" t="s">
        <v>166</v>
      </c>
      <c r="AD24" s="4" t="s">
        <v>174</v>
      </c>
      <c r="AE24" s="5" t="s">
        <v>179</v>
      </c>
      <c r="AF24" s="16" t="s">
        <v>27</v>
      </c>
    </row>
  </sheetData>
  <mergeCells count="2">
    <mergeCell ref="A1:K1"/>
    <mergeCell ref="U9:AE9"/>
  </mergeCells>
  <phoneticPr fontId="38" type="noConversion"/>
  <printOptions horizontalCentered="1" verticalCentered="1"/>
  <pageMargins left="0.70866141732283505" right="0.70866141732283505" top="0.74803149606299202" bottom="0.74803149606299202" header="0.31496062992126" footer="0.31496062992126"/>
  <pageSetup paperSize="0" orientation="portrait" horizontalDpi="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8" master=""/>
  <rangeList sheetStid="32" master="">
    <arrUserId title="区域1_1" rangeCreator="" othersAccessPermission="edit"/>
    <arrUserId title="区域1_1_2_1" rangeCreator="" othersAccessPermission="edit"/>
    <arrUserId title="区域1_1_2_3_1" rangeCreator="" othersAccessPermission="edit"/>
    <arrUserId title="区域1_1_3_3_1" rangeCreator="" othersAccessPermission="edit"/>
    <arrUserId title="区域1_1_2_4_1" rangeCreator="" othersAccessPermission="edit"/>
    <arrUserId title="区域1_1_2_1_1_12_1" rangeCreator="" othersAccessPermission="edit"/>
    <arrUserId title="区域1_1_2_1_1_5_1_1" rangeCreator="" othersAccessPermission="edit"/>
    <arrUserId title="区域1_1_2_6_1" rangeCreator="" othersAccessPermission="edit"/>
    <arrUserId title="区域1_1_1_1_2_1_1" rangeCreator="" othersAccessPermission="edit"/>
    <arrUserId title="区域1_1_2_1_1_11_1_1" rangeCreator="" othersAccessPermission="edit"/>
    <arrUserId title="区域1_1_2_7_4_4" rangeCreator="" othersAccessPermission="edit"/>
    <arrUserId title="区域1_1_4_2_3_2" rangeCreator="" othersAccessPermission="edit"/>
    <arrUserId title="区域1_1_4_3_3_3" rangeCreator="" othersAccessPermission="edit"/>
    <arrUserId title="区域1_1_2_3_1_3_2" rangeCreator="" othersAccessPermission="edit"/>
    <arrUserId title="区域1_1_2_3_2_1_1" rangeCreator="" othersAccessPermission="edit"/>
    <arrUserId title="区域1_1_4_4_1_3" rangeCreator="" othersAccessPermission="edit"/>
    <arrUserId title="区域1_1_1_2_1_2_1" rangeCreator="" othersAccessPermission="edit"/>
    <arrUserId title="区域1_1_5_1_2" rangeCreator="" othersAccessPermission="edit"/>
    <arrUserId title="区域1_1_4_5_1_1" rangeCreator="" othersAccessPermission="edit"/>
    <arrUserId title="区域1_1_1_4_1_3_1" rangeCreator="" othersAccessPermission="edit"/>
    <arrUserId title="区域1_1_1_2_1_2_1_1_2" rangeCreator="" othersAccessPermission="edit"/>
    <arrUserId title="区域1_1_2_4_1_1_2_1_1" rangeCreator="" othersAccessPermission="edit"/>
    <arrUserId title="区域1_1_2_4_1_1_7_1_2" rangeCreator="" othersAccessPermission="edit"/>
    <arrUserId title="区域1_1_2_4_3_1_4_1_2" rangeCreator="" othersAccessPermission="edit"/>
    <arrUserId title="区域1_1_2_4_3_1_5_1_2" rangeCreator="" othersAccessPermission="edit"/>
    <arrUserId title="区域1_1_2_4_3_1_6_1_2" rangeCreator="" othersAccessPermission="edit"/>
    <arrUserId title="区域1_1_2_4_3_1_7_1_1" rangeCreator="" othersAccessPermission="edit"/>
    <arrUserId title="区域1_1_1_2_5_2_8" rangeCreator="" othersAccessPermission="edit"/>
    <arrUserId title="区域1_1_4_1_1" rangeCreator="" othersAccessPermission="edit"/>
    <arrUserId title="区域1_1_10_1_2" rangeCreator="" othersAccessPermission="edit"/>
    <arrUserId title="区域1_1_11_1_1" rangeCreator="" othersAccessPermission="edit"/>
    <arrUserId title="区域1_1_12_1_1" rangeCreator="" othersAccessPermission="edit"/>
    <arrUserId title="区域1_1_25_1_1" rangeCreator="" othersAccessPermission="edit"/>
    <arrUserId title="区域1_1_4_4_1_1_1" rangeCreator="" othersAccessPermission="edit"/>
    <arrUserId title="区域1_1_8_2_1" rangeCreator="" othersAccessPermission="edit"/>
    <arrUserId title="区域1_1_3_1_1_3_4_1_1" rangeCreator="" othersAccessPermission="edit"/>
    <arrUserId title="区域1_1_8_4_1_1" rangeCreator="" othersAccessPermission="edit"/>
    <arrUserId title="区域1_1_4_3_1_1_1_1" rangeCreator="" othersAccessPermission="edit"/>
    <arrUserId title="区域1_1_2_7_4_1_1" rangeCreator="" othersAccessPermission="edit"/>
    <arrUserId title="区域1_1_5_1_1_1" rangeCreator="" othersAccessPermission="edit"/>
    <arrUserId title="区域1_1_4_4_1_1_2_1" rangeCreator="" othersAccessPermission="edit"/>
    <arrUserId title="区域1_1_2_7_4_3_1" rangeCreator="" othersAccessPermission="edit"/>
    <arrUserId title="区域1_1_2_8_3_2_1" rangeCreator="" othersAccessPermission="edit"/>
    <arrUserId title="区域1_1_4_5_1_2_1" rangeCreator="" othersAccessPermission="edit"/>
    <arrUserId title="区域1_1_8_1_2_1" rangeCreator="" othersAccessPermission="edit"/>
    <arrUserId title="区域1_1_4_2_3_1_1" rangeCreator="" othersAccessPermission="edit"/>
    <arrUserId title="区域1_1_2_3_1_3_1_1" rangeCreator="" othersAccessPermission="edit"/>
    <arrUserId title="区域1_1_1_5_1_1_1_1_1" rangeCreator="" othersAccessPermission="edit"/>
    <arrUserId title="区域1_1_2_4_3_1_4_1_1_1" rangeCreator="" othersAccessPermission="edit"/>
    <arrUserId title="区域1_1_1_2_5_2_3_1" rangeCreator="" othersAccessPermission="edit"/>
    <arrUserId title="区域1_1_18_1_1_1" rangeCreator="" othersAccessPermission="edit"/>
    <arrUserId title="区域1_1_19_1_1_1" rangeCreator="" othersAccessPermission="edit"/>
    <arrUserId title="区域1_1_4_3_3_1_1" rangeCreator="" othersAccessPermission="edit"/>
    <arrUserId title="区域1_1_2_4_3_1_5_1_1_1" rangeCreator="" othersAccessPermission="edit"/>
    <arrUserId title="区域1_1_2_4_3_1_6_1_1_1" rangeCreator="" othersAccessPermission="edit"/>
    <arrUserId title="区域1_1_1_2_5_2_4_1" rangeCreator="" othersAccessPermission="edit"/>
    <arrUserId title="区域1_1_27_1_1" rangeCreator="" othersAccessPermission="edit"/>
    <arrUserId title="区域1_1_4_3_3_4_1" rangeCreator="" othersAccessPermission="edit"/>
    <arrUserId title="区域1_1_10_1_1_1" rangeCreator="" othersAccessPermission="edit"/>
    <arrUserId title="区域1_1_1_2_1_2_1_1_1_1" rangeCreator="" othersAccessPermission="edit"/>
    <arrUserId title="区域1_1_10_1_1_2_1" rangeCreator="" othersAccessPermission="edit"/>
    <arrUserId title="区域1_1_2_8_3_3_1" rangeCreator="" othersAccessPermission="edit"/>
    <arrUserId title="区域1_1_4_11_2_1_1" rangeCreator="" othersAccessPermission="edit"/>
    <arrUserId title="区域1_1_4_3_3_2_1" rangeCreator="" othersAccessPermission="edit"/>
    <arrUserId title="区域1_1_1_2_5_2_1_1" rangeCreator="" othersAccessPermission="edit"/>
    <arrUserId title="区域1_1_2_7_4_2_1" rangeCreator="" othersAccessPermission="edit"/>
    <arrUserId title="区域1_1_1_2_5_2_6_1" rangeCreator="" othersAccessPermission="edit"/>
    <arrUserId title="区域1_1_1_2_5_2_7_1" rangeCreator="" othersAccessPermission="edit"/>
  </rangeList>
  <rangeList sheetStid="39" master="">
    <arrUserId title="区域1_1" rangeCreator="" othersAccessPermission="edit"/>
  </rangeList>
  <rangeList sheetStid="42" master=""/>
  <rangeList sheetStid="46" master=""/>
  <rangeList sheetStid="45"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6</vt:i4>
      </vt:variant>
    </vt:vector>
  </HeadingPairs>
  <TitlesOfParts>
    <vt:vector size="15" baseType="lpstr">
      <vt:lpstr> 修订履历</vt:lpstr>
      <vt:lpstr>正极合浆工序控制计划</vt:lpstr>
      <vt:lpstr>附图、附表</vt:lpstr>
      <vt:lpstr>防错清单</vt:lpstr>
      <vt:lpstr>PD-350L-1</vt:lpstr>
      <vt:lpstr>PD-300L</vt:lpstr>
      <vt:lpstr>备用200L</vt:lpstr>
      <vt:lpstr>备用100L</vt:lpstr>
      <vt:lpstr>PD-100L </vt:lpstr>
      <vt:lpstr>' 修订履历'!Print_Area</vt:lpstr>
      <vt:lpstr>备用100L!Print_Area</vt:lpstr>
      <vt:lpstr>备用200L!Print_Area</vt:lpstr>
      <vt:lpstr>附图、附表!Print_Area</vt:lpstr>
      <vt:lpstr>正极合浆工序控制计划!Print_Area</vt:lpstr>
      <vt:lpstr>正极合浆工序控制计划!Print_Titles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LiJianBin李见斌</dc:creator>
  <cp:lastModifiedBy>ChenTian陈恬</cp:lastModifiedBy>
  <cp:lastPrinted>2024-08-23T06:34:27Z</cp:lastPrinted>
  <dcterms:created xsi:type="dcterms:W3CDTF">2006-09-16T00:00:00Z</dcterms:created>
  <dcterms:modified xsi:type="dcterms:W3CDTF">2025-06-18T09:43:52Z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3AA4D818559942DDA6593C2FE65D402A</vt:lpwstr>
  </property>
  <property fmtid="{D5CDD505-2E9C-101B-9397-08002B2CF9AE}" pid="3" name="KSOProductBuildVer">
    <vt:lpwstr>2052-11.1.0.12598</vt:lpwstr>
  </property>
</Properties>
</file>